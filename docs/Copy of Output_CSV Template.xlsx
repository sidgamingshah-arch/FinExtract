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isil-my.sharepoint.com/personal/siddharthsha_ad_crisil_com/Documents/"/>
    </mc:Choice>
  </mc:AlternateContent>
  <xr:revisionPtr revIDLastSave="0" documentId="8_{78819E85-5246-4BC7-8CD4-D37E85D294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ement Setup" sheetId="3" r:id="rId1"/>
    <sheet name="Balance Sheet" sheetId="4" r:id="rId2"/>
    <sheet name="Income Statement" sheetId="5" r:id="rId3"/>
    <sheet name="Cash Flow" sheetId="6" r:id="rId4"/>
    <sheet name="Covenants &amp; Supplemental" sheetId="7" r:id="rId5"/>
    <sheet name="Notes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5" l="1"/>
  <c r="B78" i="5"/>
  <c r="B105" i="4"/>
  <c r="B49" i="7"/>
  <c r="B85" i="6"/>
  <c r="B84" i="6"/>
  <c r="B81" i="6"/>
  <c r="B66" i="6"/>
  <c r="B44" i="6"/>
  <c r="B37" i="6"/>
  <c r="B106" i="5"/>
  <c r="B92" i="5"/>
  <c r="B87" i="5"/>
  <c r="B64" i="5"/>
  <c r="B48" i="5"/>
  <c r="B18" i="5"/>
  <c r="B17" i="5"/>
  <c r="B219" i="4"/>
  <c r="B217" i="4"/>
  <c r="B165" i="4"/>
  <c r="B113" i="4"/>
  <c r="B96" i="4"/>
  <c r="B26" i="4"/>
  <c r="B16" i="4"/>
  <c r="B14" i="4"/>
  <c r="B93" i="5" l="1"/>
  <c r="B97" i="5" s="1"/>
  <c r="B59" i="4"/>
  <c r="B106" i="4" s="1"/>
  <c r="B118" i="4" s="1"/>
  <c r="B126" i="4" s="1"/>
  <c r="B128" i="4" s="1"/>
  <c r="B220" i="4" s="1"/>
</calcChain>
</file>

<file path=xl/sharedStrings.xml><?xml version="1.0" encoding="utf-8"?>
<sst xmlns="http://schemas.openxmlformats.org/spreadsheetml/2006/main" count="524" uniqueCount="512">
  <si>
    <t>Statement Setup &amp; Controls</t>
  </si>
  <si>
    <t>AA | Consolidated | 31/12/2020 | HKD | ILLUSTRATIVE DUMMY VALUES</t>
  </si>
  <si>
    <t>Field</t>
  </si>
  <si>
    <t>Reported Value</t>
  </si>
  <si>
    <t>Customer's Name</t>
  </si>
  <si>
    <t>AA</t>
  </si>
  <si>
    <t>Customer Statement Type</t>
  </si>
  <si>
    <t>Consolidated</t>
  </si>
  <si>
    <t>Rounding</t>
  </si>
  <si>
    <t>ACTUAL</t>
  </si>
  <si>
    <t>Source Currency</t>
  </si>
  <si>
    <t>HKD</t>
  </si>
  <si>
    <t>Target Currency</t>
  </si>
  <si>
    <t>Statement Date</t>
  </si>
  <si>
    <t>31/12/2020</t>
  </si>
  <si>
    <t>Periods</t>
  </si>
  <si>
    <t>Total Assets</t>
  </si>
  <si>
    <t>Total Equity &amp; Reserves &amp; Liab</t>
  </si>
  <si>
    <t>Total Income &amp; Expenses</t>
  </si>
  <si>
    <t>Difference</t>
  </si>
  <si>
    <t>Unexplained Adj to Ret Profits</t>
  </si>
  <si>
    <t>Audit Opinion(Stmt Source)</t>
  </si>
  <si>
    <t>Unqualified</t>
  </si>
  <si>
    <t>Accounting Standard</t>
  </si>
  <si>
    <t>IFRS</t>
  </si>
  <si>
    <t>Accountant</t>
  </si>
  <si>
    <t>BB</t>
  </si>
  <si>
    <t>Analyst</t>
  </si>
  <si>
    <t>CC</t>
  </si>
  <si>
    <t>Statement type</t>
  </si>
  <si>
    <t>Annual</t>
  </si>
  <si>
    <t>Status</t>
  </si>
  <si>
    <t>Work In Progress</t>
  </si>
  <si>
    <t>Reconcile To</t>
  </si>
  <si>
    <t>31/12/2019</t>
  </si>
  <si>
    <t>Balance Sheet</t>
  </si>
  <si>
    <t>Line Item</t>
  </si>
  <si>
    <t>Value (HKD)</t>
  </si>
  <si>
    <t>Non-Current Assets</t>
  </si>
  <si>
    <t>Land</t>
  </si>
  <si>
    <t>Buildings</t>
  </si>
  <si>
    <t>Leasehold Improvements</t>
  </si>
  <si>
    <t>Plant &amp; Equipment</t>
  </si>
  <si>
    <t>Furniture &amp; Fixtures</t>
  </si>
  <si>
    <t>Vehicles &amp; Transport Equipment</t>
  </si>
  <si>
    <t>Other Fixed Assets</t>
  </si>
  <si>
    <t>Construction in Progress</t>
  </si>
  <si>
    <t>Gross Fixed Assets</t>
  </si>
  <si>
    <t>Accum Deprec &amp; Impairment(-)</t>
  </si>
  <si>
    <t>Net Fixed Assets</t>
  </si>
  <si>
    <t>Goodwill</t>
  </si>
  <si>
    <t>Accum Goodwill Amortized(-)</t>
  </si>
  <si>
    <t>Land use rights</t>
  </si>
  <si>
    <t>Concessions, Licenses &amp; Trdmrks</t>
  </si>
  <si>
    <t>Patents</t>
  </si>
  <si>
    <t>Start-Up Capitalized Expenses</t>
  </si>
  <si>
    <t>R&amp;D Capitalized Expenses</t>
  </si>
  <si>
    <t>Other Intangible Assets</t>
  </si>
  <si>
    <t>Accum Intgbl Assets Amort(-)</t>
  </si>
  <si>
    <t>Net Intangibles</t>
  </si>
  <si>
    <t>Investment Property(Net)</t>
  </si>
  <si>
    <t>Investment in Subsidiaries</t>
  </si>
  <si>
    <t>Investments in Associates</t>
  </si>
  <si>
    <t>Invest in JVs &amp; Partnerships</t>
  </si>
  <si>
    <t>Entrusted loan receivables- related parties(LTP)</t>
  </si>
  <si>
    <t>Due from directors</t>
  </si>
  <si>
    <t>Due from subsidiaries</t>
  </si>
  <si>
    <t>Due from Related Parties(LTP)</t>
  </si>
  <si>
    <t>Entrusted loan receivables- shareholders(LTP)</t>
  </si>
  <si>
    <t>Due from MI</t>
  </si>
  <si>
    <t>Due from S'holder(LTP)</t>
  </si>
  <si>
    <t>Wealth management products(LTP) (from Secur&amp;Fincl)</t>
  </si>
  <si>
    <t>Secur &amp; Other Fincl Assets(LTP)</t>
  </si>
  <si>
    <t>Futures(NCA)</t>
  </si>
  <si>
    <t>Options(NCA)</t>
  </si>
  <si>
    <t>Forwards(NCA)</t>
  </si>
  <si>
    <t>Commodities(NCA)</t>
  </si>
  <si>
    <t>Swaps(NCA)</t>
  </si>
  <si>
    <t>Deriv &amp; Hedg Assets(LTP)</t>
  </si>
  <si>
    <t>Rtrmnt Plan Actuarial Surplus</t>
  </si>
  <si>
    <t>Wealth management products(LTP) (from OtherAsset)</t>
  </si>
  <si>
    <t>Pledged Deposits(LTP)</t>
  </si>
  <si>
    <t>Pledged Secur &amp; Other Fincl Assets(LTP)</t>
  </si>
  <si>
    <t>Other Non-Current Assets</t>
  </si>
  <si>
    <t>Deferred Tax Assets</t>
  </si>
  <si>
    <t>Entrusted loan receivables- third parties(LTP)</t>
  </si>
  <si>
    <t>Wealth management products(LTP) (from Receivables)</t>
  </si>
  <si>
    <t>Reverse repo(LTP)</t>
  </si>
  <si>
    <t>Other Receivables(LTP)</t>
  </si>
  <si>
    <t>Prepaid land lease payments(LTP)</t>
  </si>
  <si>
    <t>Prepayments(LTP)</t>
  </si>
  <si>
    <t>Restricted Cash</t>
  </si>
  <si>
    <t>Total Non-Current Assets</t>
  </si>
  <si>
    <t>Current Assets</t>
  </si>
  <si>
    <t>Operating Lease Receivables</t>
  </si>
  <si>
    <t>Raw materials</t>
  </si>
  <si>
    <t>WIP</t>
  </si>
  <si>
    <t>Finished goods</t>
  </si>
  <si>
    <t>Inventories</t>
  </si>
  <si>
    <t>Due from JVs &amp; Partnerships</t>
  </si>
  <si>
    <t>Entrusted loan receivables- related parties(CP)</t>
  </si>
  <si>
    <t>Due from Related Parties(CP)</t>
  </si>
  <si>
    <t>Entrusted loan receivables- shareholders(CP)</t>
  </si>
  <si>
    <t>Due from S'holder(CP)</t>
  </si>
  <si>
    <t>Short Term Securities</t>
  </si>
  <si>
    <t>Wealth management products(CP) (from Secur&amp;Fincl)</t>
  </si>
  <si>
    <t>Secur &amp; Other Fincl Assets(CP)</t>
  </si>
  <si>
    <t>Futures(CA)</t>
  </si>
  <si>
    <t>Options(CA)</t>
  </si>
  <si>
    <t>Forwards(CA)</t>
  </si>
  <si>
    <t>Commodities(CA)</t>
  </si>
  <si>
    <t>Swaps(CA)</t>
  </si>
  <si>
    <t>Deriv &amp; Hedg Assets(CP)</t>
  </si>
  <si>
    <t>Assets Plgd Under Securitization</t>
  </si>
  <si>
    <t>Current Tax Receivables</t>
  </si>
  <si>
    <t>Prepaid land lease payments(CP)</t>
  </si>
  <si>
    <t>Prepayments(CP)</t>
  </si>
  <si>
    <t>Assets Related to Disc Ops</t>
  </si>
  <si>
    <t>Pledged Deposits</t>
  </si>
  <si>
    <t>Pledged Secur &amp; Other Fincl Assets(CP)</t>
  </si>
  <si>
    <t>Wealth management products(CP) (from OtherAsset)</t>
  </si>
  <si>
    <t>Segregated Account(CA)</t>
  </si>
  <si>
    <t>Suspense Account(CA)</t>
  </si>
  <si>
    <t>Other Current Assets</t>
  </si>
  <si>
    <t>Trade receivables- related parties</t>
  </si>
  <si>
    <t>Trade and other receivables- related parties</t>
  </si>
  <si>
    <t>Trade and other receivables</t>
  </si>
  <si>
    <t>Trade Receivables(Gross)</t>
  </si>
  <si>
    <t>Allow for Doubtful Accounts(-)</t>
  </si>
  <si>
    <t>Net Trade Receivables</t>
  </si>
  <si>
    <t>Subscribed Capital-Called Not Paid</t>
  </si>
  <si>
    <t>Entrusted loan receivables- third parties(CP)</t>
  </si>
  <si>
    <t>Wealth management products(CP) (from Receivables)</t>
  </si>
  <si>
    <t>Reverse repo(CP)</t>
  </si>
  <si>
    <t>Other Receivables(CP)</t>
  </si>
  <si>
    <t>Wealth management products(CP) (from cash equ.)</t>
  </si>
  <si>
    <t>Cash Equivalents</t>
  </si>
  <si>
    <t>Cash in Hand and at Banks</t>
  </si>
  <si>
    <t>Total Current Assets</t>
  </si>
  <si>
    <t>Equity &amp; Reserves</t>
  </si>
  <si>
    <t>Common Share Capital</t>
  </si>
  <si>
    <t>Pref Share Capital</t>
  </si>
  <si>
    <t>Share Premium</t>
  </si>
  <si>
    <t>Special Items with Equity Character</t>
  </si>
  <si>
    <t>Capital &amp; Restricted Reserves</t>
  </si>
  <si>
    <t>Permanent Equity</t>
  </si>
  <si>
    <t>Revaluation Reserves</t>
  </si>
  <si>
    <t>Hedging Reserves</t>
  </si>
  <si>
    <t>Other Reserves</t>
  </si>
  <si>
    <t>Auditor adj on retained profits</t>
  </si>
  <si>
    <t>Retained Profits</t>
  </si>
  <si>
    <t>Treasury Shares(-)</t>
  </si>
  <si>
    <t>Forex Translation Equity</t>
  </si>
  <si>
    <t>Subordinated Debt from related parties</t>
  </si>
  <si>
    <t>Subordinated Debt Equity</t>
  </si>
  <si>
    <t>Other Equity</t>
  </si>
  <si>
    <t>Policyholders Equity</t>
  </si>
  <si>
    <t>Accum Oth Eqty Rsrv Inc</t>
  </si>
  <si>
    <t>Minority Interest Equity</t>
  </si>
  <si>
    <t>Total Equity &amp; Reserves</t>
  </si>
  <si>
    <t>Non-Current Liabilities</t>
  </si>
  <si>
    <t>LTD Bank</t>
  </si>
  <si>
    <t>Entrusted loan payables- third parties(LTP)</t>
  </si>
  <si>
    <t>Perpetual Bond</t>
  </si>
  <si>
    <t>Repo(LTP)</t>
  </si>
  <si>
    <t>LTD Other</t>
  </si>
  <si>
    <t>LTD Convertible</t>
  </si>
  <si>
    <t>LTD Subordinated</t>
  </si>
  <si>
    <t>Finance Leases(LTP)</t>
  </si>
  <si>
    <t>Entrusted loan payables- related parties(LTP)</t>
  </si>
  <si>
    <t>Due to directors(LTP)</t>
  </si>
  <si>
    <t>Due to subsidiaries(LTP)</t>
  </si>
  <si>
    <t>Due to Related Parties(LTP)</t>
  </si>
  <si>
    <t>Entrusted loan payables- shareholders(LTP)</t>
  </si>
  <si>
    <t>Due to MI(LTP)</t>
  </si>
  <si>
    <t>Due to S'holder(LTP)</t>
  </si>
  <si>
    <t>Lease liabilities(LTP)</t>
  </si>
  <si>
    <t>Other Non-Current Liabilities</t>
  </si>
  <si>
    <t>Customer Advances(LTP)</t>
  </si>
  <si>
    <t>Deferred Income(LTP)</t>
  </si>
  <si>
    <t>Futures(NCL)</t>
  </si>
  <si>
    <t>Options(NCL)</t>
  </si>
  <si>
    <t>Forwards(NCL)</t>
  </si>
  <si>
    <t>Commodities(NCL)</t>
  </si>
  <si>
    <t>Swaps(NCL)</t>
  </si>
  <si>
    <t>Deriv &amp; Hedg Liab(LTP)</t>
  </si>
  <si>
    <t>Trade and other payables(LTP)</t>
  </si>
  <si>
    <t>Trade Payables(LTP)</t>
  </si>
  <si>
    <t>Soc Sec &amp; Other Taxes(LTP)</t>
  </si>
  <si>
    <t>Decomm &amp; Envir Costs(LTP)</t>
  </si>
  <si>
    <t>Share Option Costs(LTP)</t>
  </si>
  <si>
    <t>Retirement Benefits(LTP)</t>
  </si>
  <si>
    <t>Deferred Tax Liability</t>
  </si>
  <si>
    <t>Restruct Provision(LTP)</t>
  </si>
  <si>
    <t>Tax Provision(LTP)</t>
  </si>
  <si>
    <t>Other Provisions(LTP)</t>
  </si>
  <si>
    <t>Total Non-Current Liabilities</t>
  </si>
  <si>
    <t>Current Liabilities</t>
  </si>
  <si>
    <t>CPLTD Bank</t>
  </si>
  <si>
    <t>Entrusted loan payables- third parties(CP)</t>
  </si>
  <si>
    <t>CPLTD Other</t>
  </si>
  <si>
    <t>CPLTD Convertible</t>
  </si>
  <si>
    <t>CPLTD Subordinated</t>
  </si>
  <si>
    <t>Trade financing</t>
  </si>
  <si>
    <t>ST Bank Loans Payable</t>
  </si>
  <si>
    <t>IPO Loans (ST Bank Loans Pay)</t>
  </si>
  <si>
    <t>IPO Loans (ST Other Loans Pay)</t>
  </si>
  <si>
    <t>Repo(CP)</t>
  </si>
  <si>
    <t>ST Other Loans Payable</t>
  </si>
  <si>
    <t>Finance Leases(CP)</t>
  </si>
  <si>
    <t>Overdrafts</t>
  </si>
  <si>
    <t>Entrusted loan payables- related parties(CP)</t>
  </si>
  <si>
    <t>Due to directors(CP)</t>
  </si>
  <si>
    <t>Due to subsidiaries(CP)</t>
  </si>
  <si>
    <t>Due to Related Parties(CP)</t>
  </si>
  <si>
    <t>Entrusted loan payables- shareholders(CP)</t>
  </si>
  <si>
    <t>Due to MI(CP)</t>
  </si>
  <si>
    <t>Due to S'holder(CP)</t>
  </si>
  <si>
    <t>Liabilities to Enterprises</t>
  </si>
  <si>
    <t>Lease liabilities(CP)</t>
  </si>
  <si>
    <t>Segregated Account(CL)</t>
  </si>
  <si>
    <t>Suspense Account(CL)</t>
  </si>
  <si>
    <t>Other Current Liabilities</t>
  </si>
  <si>
    <t>Customer Advances(CP)</t>
  </si>
  <si>
    <t>Deferred Income(CP)</t>
  </si>
  <si>
    <t>Billings in Excess of Costs</t>
  </si>
  <si>
    <t>Futures(CL)</t>
  </si>
  <si>
    <t>Options(CL)</t>
  </si>
  <si>
    <t>Forwards(CL)</t>
  </si>
  <si>
    <t>Commodities(CL)</t>
  </si>
  <si>
    <t>Swaps(CL)</t>
  </si>
  <si>
    <t>Deriv &amp; Hedg Liab(CP)</t>
  </si>
  <si>
    <t>Current Tax Payable</t>
  </si>
  <si>
    <t>Interest Payable</t>
  </si>
  <si>
    <t>Soc Sec &amp; Other Taxes(CP)</t>
  </si>
  <si>
    <t>Proposed Dividends</t>
  </si>
  <si>
    <t>Dividends Payable</t>
  </si>
  <si>
    <t>Notes Payable(CP)</t>
  </si>
  <si>
    <t>Trade payables- related parties</t>
  </si>
  <si>
    <t>Trade and other payables- related parties</t>
  </si>
  <si>
    <t>Trade and other payables(CP)</t>
  </si>
  <si>
    <t>Trade Payables(CP)</t>
  </si>
  <si>
    <t>Decomm &amp; Envir Costs(CP)</t>
  </si>
  <si>
    <t>Share Option Costs(CP)</t>
  </si>
  <si>
    <t>Retirement Benefits(CP)</t>
  </si>
  <si>
    <t>Restruct Provision(CP)</t>
  </si>
  <si>
    <t>Tax Provision(CP)</t>
  </si>
  <si>
    <t>Other Provisions(CP)</t>
  </si>
  <si>
    <t>Total Current Liabilities</t>
  </si>
  <si>
    <t>Total Liabilities</t>
  </si>
  <si>
    <t>Total Equity and Liabilities</t>
  </si>
  <si>
    <t>Income Statement &amp; Comprehensive Income</t>
  </si>
  <si>
    <t>Income &amp; Expenses</t>
  </si>
  <si>
    <t>Sales(Revenues)</t>
  </si>
  <si>
    <t>Net Premium Earned</t>
  </si>
  <si>
    <t>Changes in Inventories Incr/(Dcr)</t>
  </si>
  <si>
    <t>Expenses(Own Work Capitalized)(+)</t>
  </si>
  <si>
    <t>Derivatives(COS)</t>
  </si>
  <si>
    <t>Cost of Sales</t>
  </si>
  <si>
    <t>Net Claims and Benefits</t>
  </si>
  <si>
    <t>Goods &amp; Services</t>
  </si>
  <si>
    <t>Material Expenses</t>
  </si>
  <si>
    <t>Amort &amp; Impairment(Intgbl)(COS)</t>
  </si>
  <si>
    <t>Deprec &amp; Impairment(COS)</t>
  </si>
  <si>
    <t>Total Cost of Sales</t>
  </si>
  <si>
    <t>Gross Profit</t>
  </si>
  <si>
    <t>Rents &amp; Royalty Income</t>
  </si>
  <si>
    <t>Other Operating Income</t>
  </si>
  <si>
    <t>Commission Income (Other Operating Inc)</t>
  </si>
  <si>
    <t>Commission Income (Sales)</t>
  </si>
  <si>
    <t>Grants &amp; Subsidies</t>
  </si>
  <si>
    <t>Selling &amp; Marketing Expenses</t>
  </si>
  <si>
    <t>General &amp; Admin Expenses</t>
  </si>
  <si>
    <t>Personnel &amp; Benefit Expenses</t>
  </si>
  <si>
    <t>Officers Compensation</t>
  </si>
  <si>
    <t>Operating Lease &amp; Rent Expenses</t>
  </si>
  <si>
    <t>Research &amp; Development</t>
  </si>
  <si>
    <t>Restructuring Costs</t>
  </si>
  <si>
    <t>Asset impairment loss</t>
  </si>
  <si>
    <t>Other Operating Expenses</t>
  </si>
  <si>
    <t>Commission Expenses (Other Operating Exp)</t>
  </si>
  <si>
    <t>Commission Expenses (Cost of Sales)</t>
  </si>
  <si>
    <t>Bad Debt Expense (Other Receivables)</t>
  </si>
  <si>
    <t>Bad Debt Expense (Trade and Other Receivables)</t>
  </si>
  <si>
    <t>Bad Debt Expense</t>
  </si>
  <si>
    <t>Prov for Retirement Costs</t>
  </si>
  <si>
    <t>Share Option Costs</t>
  </si>
  <si>
    <t>Other Taxes</t>
  </si>
  <si>
    <t>Other Oper Exp(Provisions)</t>
  </si>
  <si>
    <t>Impairment(Fixed Assets)(Oper Exp)</t>
  </si>
  <si>
    <t>Deprec &amp; Impairment(Oper Exp)</t>
  </si>
  <si>
    <t>Impairment(Intgbl)</t>
  </si>
  <si>
    <t>Amort &amp; Impairment(Intgbl)</t>
  </si>
  <si>
    <t>Goodwill Amortization</t>
  </si>
  <si>
    <t>Capitalized Costs</t>
  </si>
  <si>
    <t>Net Operating Profit</t>
  </si>
  <si>
    <t>Interest income from derivatives</t>
  </si>
  <si>
    <t>Interest income from wealth management products</t>
  </si>
  <si>
    <t>Interest income from Entrusted loan receivables</t>
  </si>
  <si>
    <t>Interest Income</t>
  </si>
  <si>
    <t>Interest on lease liabilities</t>
  </si>
  <si>
    <t>Interest on debt market instruments</t>
  </si>
  <si>
    <t>Interest on capital market instruments</t>
  </si>
  <si>
    <t>Interest on trade finance</t>
  </si>
  <si>
    <t>Interest paid to related parties</t>
  </si>
  <si>
    <t>Interest expense - capitalised</t>
  </si>
  <si>
    <t>Finance cost on derivatives</t>
  </si>
  <si>
    <t>Bank charge and interest expense</t>
  </si>
  <si>
    <t>Interest Expense(-)</t>
  </si>
  <si>
    <t>Other Debt Service Expenses(-)</t>
  </si>
  <si>
    <t>Deferred Interest Expense(-)</t>
  </si>
  <si>
    <t>Net Interest Income(Expense)</t>
  </si>
  <si>
    <t>Income(Loss) from Related Party</t>
  </si>
  <si>
    <t>Income(Loss) from Joint Ventures</t>
  </si>
  <si>
    <t>Fncl income from derivatives</t>
  </si>
  <si>
    <t>Fncl income from wealth management products</t>
  </si>
  <si>
    <t>Other Fncl Asset Income(Dvds)</t>
  </si>
  <si>
    <t>Gain(loss) on derivatives</t>
  </si>
  <si>
    <t>Gain(loss) on wealth management products</t>
  </si>
  <si>
    <t>Gain(Loss) on Fncl Assets</t>
  </si>
  <si>
    <t>Adjsts to Scrtzn Programs</t>
  </si>
  <si>
    <t>Rlzd Forex Translation G(L)</t>
  </si>
  <si>
    <t>FMV adj on derivatives</t>
  </si>
  <si>
    <t>FMV adj on wealth management products</t>
  </si>
  <si>
    <t>FMV Adj on Fncl Assets</t>
  </si>
  <si>
    <t>Net Other Financial Inc(Exp)</t>
  </si>
  <si>
    <t>Gain(Loss) Disp of Fixed Assets</t>
  </si>
  <si>
    <t>Gain(Loss) on Invest Properties</t>
  </si>
  <si>
    <t>Gain(Loss) Disp of Disc Ops</t>
  </si>
  <si>
    <t>Exchange Gain(Loss) Sale of Bus</t>
  </si>
  <si>
    <t>Other Non-Income Related Taxes</t>
  </si>
  <si>
    <t>Other Non-Operating Inc(Exp)</t>
  </si>
  <si>
    <t>FMV adj on investment properties</t>
  </si>
  <si>
    <t>Other Non-Oper Inc(Exp)(NC)</t>
  </si>
  <si>
    <t>Other Income(Expense)</t>
  </si>
  <si>
    <t>Profit(Loss) Before Tax</t>
  </si>
  <si>
    <t>Current Income Taxes</t>
  </si>
  <si>
    <t>Deferred Income Taxes(NC)</t>
  </si>
  <si>
    <t>Prior Year Tax Adj(-)</t>
  </si>
  <si>
    <t>Total Income Tax</t>
  </si>
  <si>
    <t>Profit(Loss) Bef Extraord Items</t>
  </si>
  <si>
    <t>Extraordinary Income(Exp)</t>
  </si>
  <si>
    <t>Extraordinary Income(Exp)(NC)</t>
  </si>
  <si>
    <t>Minority Interests(PL)</t>
  </si>
  <si>
    <t>Profit for the year</t>
  </si>
  <si>
    <t xml:space="preserve">Other Equity &amp; Reserve Inc(Exp) </t>
  </si>
  <si>
    <t>Unreal Gain(Loss) Fixed Assets</t>
  </si>
  <si>
    <t>Unreal Gain(Loss) Invest Prpty</t>
  </si>
  <si>
    <t>Unreal Gain(Loss) Investments</t>
  </si>
  <si>
    <t>Deferred Hedging Gain(Loss)</t>
  </si>
  <si>
    <t>Derivatives FMV Adjustment</t>
  </si>
  <si>
    <t>Minimum Pension Liability Adj</t>
  </si>
  <si>
    <t>Other Equity &amp; Reserves Adj</t>
  </si>
  <si>
    <t>Total Other Comprehensive Income</t>
  </si>
  <si>
    <t>Adj to Retained Profits</t>
  </si>
  <si>
    <t>Cash Div Pref Shares(-)</t>
  </si>
  <si>
    <t>Proposed Cash Dividends</t>
  </si>
  <si>
    <t>Cash Div Common Shares(-)</t>
  </si>
  <si>
    <t>Stock Dividends(NC)(-)</t>
  </si>
  <si>
    <t>Transfer to Reserves(-)</t>
  </si>
  <si>
    <t>Prior Period Adjustments</t>
  </si>
  <si>
    <t>Other Adj to Retained Profits</t>
  </si>
  <si>
    <t>Cash Flow Statement</t>
  </si>
  <si>
    <t>IAS7 ICF-Oper Activ(Indirect)</t>
  </si>
  <si>
    <t>Net Profit/(Loss)</t>
  </si>
  <si>
    <t>Other After Tax (Income)/Expense</t>
  </si>
  <si>
    <t>Minority Interests(CF)</t>
  </si>
  <si>
    <t>Income Tax Expense</t>
  </si>
  <si>
    <t>Depreciation</t>
  </si>
  <si>
    <t>Amortization &amp; Asset Impairment</t>
  </si>
  <si>
    <t>Cash Flow from Hedging(Oper)</t>
  </si>
  <si>
    <t>Assoc Profit Share(Net of Dvds)</t>
  </si>
  <si>
    <t>Interest Inc Received(Oper)</t>
  </si>
  <si>
    <t>Interest Expense</t>
  </si>
  <si>
    <t>Cash Flow Disp Fixed Assets</t>
  </si>
  <si>
    <t>Cash Flow Disp Financial Assets</t>
  </si>
  <si>
    <t>Chg in Trade Receivables</t>
  </si>
  <si>
    <t>Chg in Other Receivables</t>
  </si>
  <si>
    <t>Chg in Inventories</t>
  </si>
  <si>
    <t>Chg in Prepayments &amp; Def Assets</t>
  </si>
  <si>
    <t>Chg in Fncl Instruments(Trading)</t>
  </si>
  <si>
    <t>Chg in Other Current Assets</t>
  </si>
  <si>
    <t>Chg in Trade Payables</t>
  </si>
  <si>
    <t>Chg in Provisions</t>
  </si>
  <si>
    <t>Chg in Post Employ Bnft Oblig</t>
  </si>
  <si>
    <t>Chg in Other Current Liab</t>
  </si>
  <si>
    <t>Chg in Other Wkng Capital Items</t>
  </si>
  <si>
    <t>Chg in Taxes Payable</t>
  </si>
  <si>
    <t>Chg in Deferred Taxes</t>
  </si>
  <si>
    <t>Dividends Received(Oper)</t>
  </si>
  <si>
    <t>Income Taxes Paid(Indirect)</t>
  </si>
  <si>
    <t>Interest Paid(Oper)</t>
  </si>
  <si>
    <t>Dividends Paid(Oper)</t>
  </si>
  <si>
    <t>Cash Flow Extraord Items(Oper)</t>
  </si>
  <si>
    <t>Other Non-Cash Adjs(Oper)</t>
  </si>
  <si>
    <t>Cash Flows Oper Activ(Indirect)</t>
  </si>
  <si>
    <t>IAS 7 ICF-Oper Activ(Direct)</t>
  </si>
  <si>
    <t>Cash Receipts from Customers</t>
  </si>
  <si>
    <t>Cash Paid to Suppliers</t>
  </si>
  <si>
    <t>Cash Paid to Employees</t>
  </si>
  <si>
    <t>Income Taxes Paid(Direct)</t>
  </si>
  <si>
    <t>Borrowing Costs Paid</t>
  </si>
  <si>
    <t>Cash Flows Oper Activ(Direct)</t>
  </si>
  <si>
    <t>IAS 7 ICF-Investing Activities</t>
  </si>
  <si>
    <t>Purchase Intangible Assets</t>
  </si>
  <si>
    <t>Proceeds Sale Intgbl Assets</t>
  </si>
  <si>
    <t>Purchase PPE</t>
  </si>
  <si>
    <t>Proceeds Sale PPE</t>
  </si>
  <si>
    <t>Purchase Investment Property</t>
  </si>
  <si>
    <t>Proceeds Sale Investment Prop</t>
  </si>
  <si>
    <t>Purchase Financial Assets</t>
  </si>
  <si>
    <t>Proceeds Sale Fncl Assets</t>
  </si>
  <si>
    <t>Purchase Other Assets</t>
  </si>
  <si>
    <t>Proceeds Sale Other Assets</t>
  </si>
  <si>
    <t>Investment Assoc &amp; Affiliates</t>
  </si>
  <si>
    <t>Sale Assoc &amp; Affiliates</t>
  </si>
  <si>
    <t>Acq of Sub(Net of Cash Acqrd)</t>
  </si>
  <si>
    <t>Proceeds Sale of Subsidiary</t>
  </si>
  <si>
    <t>Payment Fin Lease Liab</t>
  </si>
  <si>
    <t>Interest Income Rcvd(Invest)</t>
  </si>
  <si>
    <t>Dividends Received(Invest)</t>
  </si>
  <si>
    <t>Cash Flow Extraord Items(Invest)</t>
  </si>
  <si>
    <t>Cash Flow Hedging(Invest)</t>
  </si>
  <si>
    <t>Other Invest Cash Flows</t>
  </si>
  <si>
    <t>Cash Flows from Invest Activities</t>
  </si>
  <si>
    <t>IAS 7 ICF-Financing Activities</t>
  </si>
  <si>
    <t>Net Proceeds Issuance of Capital</t>
  </si>
  <si>
    <t>Purchase(Sale) Treasury Stock</t>
  </si>
  <si>
    <t>Proceeds Non-Cur Borrowings</t>
  </si>
  <si>
    <t>Issue Costs Non-Cur Borrowings</t>
  </si>
  <si>
    <t>Repayments Non-Cur Borrowings</t>
  </si>
  <si>
    <t>Chg in Current Borrowings</t>
  </si>
  <si>
    <t>Interest Paid(Fin)</t>
  </si>
  <si>
    <t>Translation Adj Relating to Cash</t>
  </si>
  <si>
    <t>Cash Flow Extraord Items(Fin)</t>
  </si>
  <si>
    <t>Cash Flow from Hedging(Fin)</t>
  </si>
  <si>
    <t>Dividends Paid(Fin)</t>
  </si>
  <si>
    <t>Dvds Paid(Minority S'holders)</t>
  </si>
  <si>
    <t>Other Financing Cash Flows</t>
  </si>
  <si>
    <t>Cash Flows from Finance Activities</t>
  </si>
  <si>
    <t>Net Foreign Exchange Difference</t>
  </si>
  <si>
    <t>Beg of Period-Cash &amp; Cash Equiv</t>
  </si>
  <si>
    <t>End of Period-Cash &amp; Cash Equiv</t>
  </si>
  <si>
    <t>Unexplained Adjustment to Cash</t>
  </si>
  <si>
    <t>Covenants &amp; Supplemental Data</t>
  </si>
  <si>
    <t>Metric</t>
  </si>
  <si>
    <t>Reported Value (HKD)</t>
  </si>
  <si>
    <t>Supplemental Data</t>
  </si>
  <si>
    <t>Exchange Rate(Period End)</t>
  </si>
  <si>
    <t>Exchange Rate(Period Average)</t>
  </si>
  <si>
    <t>Num Outstanding Common Shares</t>
  </si>
  <si>
    <t>Num Outstanding Preferred Shares</t>
  </si>
  <si>
    <t>Num Employees</t>
  </si>
  <si>
    <t>Gross Premium Written*Insur. Co. Only</t>
  </si>
  <si>
    <t>Gross Premium Written - life*Insur. Co. Only</t>
  </si>
  <si>
    <t>Gross Premium Written - Non-life*Insur. Co. Only</t>
  </si>
  <si>
    <t>Net Premium Written*Insur. Co. Only</t>
  </si>
  <si>
    <t>Net Investment Income*Insur. Co. Only</t>
  </si>
  <si>
    <t>Net Technical Reserve(Equity side)*Insur. Co. Only</t>
  </si>
  <si>
    <t>Net Technical Reserve(Liab. side)*Insur. Co. Only</t>
  </si>
  <si>
    <t>Off Balance Sheet Data</t>
  </si>
  <si>
    <t>Off Balance Sheet Assets</t>
  </si>
  <si>
    <t>Operating Lease Commitments</t>
  </si>
  <si>
    <t>Off Balance Sheet Liabilities</t>
  </si>
  <si>
    <t>Credit Compliance</t>
  </si>
  <si>
    <t>Min Working Capital</t>
  </si>
  <si>
    <t>Min Current Ratio</t>
  </si>
  <si>
    <t>Min Quick Ratio</t>
  </si>
  <si>
    <t>Max Debt to Tangible Worth</t>
  </si>
  <si>
    <t>Min Interest Coverage</t>
  </si>
  <si>
    <t>Min Earnings Coverage</t>
  </si>
  <si>
    <t>Min Cash Flow Coverage</t>
  </si>
  <si>
    <t>Max Capital Expenditures</t>
  </si>
  <si>
    <t>Max Off Balance Sheet Leverage</t>
  </si>
  <si>
    <t>Min Net Profit Margin</t>
  </si>
  <si>
    <t>Min Return on Assets</t>
  </si>
  <si>
    <t>Min Return on Equity</t>
  </si>
  <si>
    <t>Max Net Trade Receivable Days</t>
  </si>
  <si>
    <t>Max Inventory Days</t>
  </si>
  <si>
    <t>Max Trade Payable Days</t>
  </si>
  <si>
    <t>Max Sales Growth</t>
  </si>
  <si>
    <t>Min Tangible Net Worth</t>
  </si>
  <si>
    <t>Max Subordinated Debt</t>
  </si>
  <si>
    <t>Max Cash Dividends</t>
  </si>
  <si>
    <t>Min Cash Balance</t>
  </si>
  <si>
    <t>CAPITAL AND LEASE COMMITMENTS</t>
  </si>
  <si>
    <t>Capital commitments for fixed assets</t>
  </si>
  <si>
    <t>Capital commitments for LT assets</t>
  </si>
  <si>
    <t>Capital commitments for intangible assets</t>
  </si>
  <si>
    <t>Capital Commitments for Investments</t>
  </si>
  <si>
    <t>Capital Commitments</t>
  </si>
  <si>
    <t>Operating Lease Commitments (Notes)</t>
  </si>
  <si>
    <t>Financial Statement Notes</t>
  </si>
  <si>
    <t>Note</t>
  </si>
  <si>
    <t>Disclosure</t>
  </si>
  <si>
    <t>Notes</t>
  </si>
  <si>
    <t>Related Party Transactions</t>
  </si>
  <si>
    <t>Illustrative disclosure: related-party sales of HKD 120 and purchases of HKD 85 during the period.</t>
  </si>
  <si>
    <t>Pledged Assets</t>
  </si>
  <si>
    <t>Illustrative disclosure: cash, receivables, inventories and fixed assets with a carrying value of HKD 600 are pledged as security.</t>
  </si>
  <si>
    <t>Secure Borrowings</t>
  </si>
  <si>
    <t>Illustrative disclosure: secured bank borrowings comprise HKD 250 short-term and HKD 400 long-term facilities.</t>
  </si>
  <si>
    <t>Derivatives</t>
  </si>
  <si>
    <t>Illustrative disclosure: derivative assets are HKD 35 and derivative liabilities are HKD 28.</t>
  </si>
  <si>
    <t>Contingent liabilities</t>
  </si>
  <si>
    <t>Illustrative disclosure: guarantees and litigation exposures total HKD 75; outcome remains uncertain.</t>
  </si>
  <si>
    <t>Auditor's opinion</t>
  </si>
  <si>
    <t>Unqualified opinion — illustrative dummy text only.</t>
  </si>
  <si>
    <t>其他Notes</t>
  </si>
  <si>
    <t>Illustrative placeholder for other financial statement notes.</t>
  </si>
  <si>
    <t>Confirmed with RM</t>
  </si>
  <si>
    <t>Pending relationship-manager confirmation — illustrative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</si>
</sst>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;\-"/>
  </numFmts>
  <fonts count="23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57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i/>
      <sz val="10"/>
      <color rgb="FF666666"/>
      <name val="Aptos"/>
    </font>
    <font>
      <b/>
      <sz val="10"/>
      <color rgb="FFFFFFFF"/>
      <name val="Aptos"/>
    </font>
    <font>
      <sz val="10"/>
      <color theme="1"/>
      <name val="Aptos"/>
    </font>
    <font>
      <b/>
      <sz val="10"/>
      <color theme="1"/>
      <name val="Aptos"/>
    </font>
    <font>
      <b/>
      <sz val="10"/>
      <color rgb="FF17365D"/>
      <name val="Aptos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AF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0" fillId="0" borderId="0" xfId="0" applyFont="1">
      <alignment vertical="center"/>
    </xf>
    <xf numFmtId="0" fontId="19" fillId="34" borderId="10" xfId="0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5" borderId="11" xfId="0" applyFont="1" applyFill="1" applyBorder="1">
      <alignment vertical="center"/>
    </xf>
    <xf numFmtId="0" fontId="22" fillId="36" borderId="12" xfId="0" applyFont="1" applyFill="1" applyBorder="1">
      <alignment vertical="center"/>
    </xf>
    <xf numFmtId="164" fontId="22" fillId="36" borderId="12" xfId="0" applyNumberFormat="1" applyFont="1" applyFill="1" applyBorder="1" applyAlignment="1">
      <alignment horizontal="right" vertical="center"/>
    </xf>
    <xf numFmtId="164" fontId="20" fillId="0" borderId="0" xfId="0" applyNumberFormat="1" applyFont="1" applyAlignment="1">
      <alignment horizontal="right" vertical="center"/>
    </xf>
    <xf numFmtId="164" fontId="21" fillId="35" borderId="11" xfId="0" applyNumberFormat="1" applyFont="1" applyFill="1" applyBorder="1" applyAlignment="1">
      <alignment horizontal="right" vertical="center"/>
    </xf>
    <xf numFmtId="0" fontId="22" fillId="36" borderId="10" xfId="0" applyFont="1" applyFill="1" applyBorder="1">
      <alignment vertical="center"/>
    </xf>
    <xf numFmtId="164" fontId="22" fillId="36" borderId="10" xfId="0" applyNumberFormat="1" applyFont="1" applyFill="1" applyBorder="1" applyAlignment="1">
      <alignment horizontal="right" vertical="center"/>
    </xf>
    <xf numFmtId="0" fontId="19" fillId="34" borderId="0" xfId="0" applyFont="1" applyFill="1">
      <alignment vertical="center"/>
    </xf>
    <xf numFmtId="164" fontId="19" fillId="34" borderId="0" xfId="0" applyNumberFormat="1" applyFont="1" applyFill="1">
      <alignment vertical="center"/>
    </xf>
    <xf numFmtId="0" fontId="22" fillId="36" borderId="12" xfId="0" applyFont="1" applyFill="1" applyBorder="1" applyAlignment="1">
      <alignment vertical="top" wrapText="1"/>
    </xf>
    <xf numFmtId="0" fontId="20" fillId="0" borderId="0" xfId="0" applyFont="1" applyAlignment="1">
      <alignment vertical="top"/>
    </xf>
    <xf numFmtId="0" fontId="20" fillId="0" borderId="0" xfId="0" applyFont="1" applyAlignment="1">
      <alignment vertical="top" wrapText="1"/>
    </xf>
    <xf numFmtId="164" fontId="20" fillId="0" borderId="0" xfId="0" applyNumberFormat="1" applyFont="1">
      <alignment vertical="center"/>
    </xf>
    <xf numFmtId="164" fontId="21" fillId="35" borderId="11" xfId="0" applyNumberFormat="1" applyFont="1" applyFill="1" applyBorder="1">
      <alignment vertical="center"/>
    </xf>
    <xf numFmtId="2" fontId="20" fillId="0" borderId="0" xfId="0" applyNumberFormat="1" applyFont="1" applyAlignment="1">
      <alignment horizontal="right" vertical="center"/>
    </xf>
    <xf numFmtId="0" fontId="19" fillId="33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9" fillId="34" borderId="0" xfId="0" applyFont="1" applyFill="1" applyAlignment="1">
      <alignment vertical="center"/>
    </xf>
    <xf numFmtId="164" fontId="19" fillId="34" borderId="0" xfId="0" applyNumberFormat="1" applyFont="1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62E6-C792-4B3E-9419-529932A92C8F}">
  <dimension ref="A1:B23"/>
  <sheetViews>
    <sheetView tabSelected="1" workbookViewId="0">
      <selection activeCell="C22" sqref="C22"/>
    </sheetView>
  </sheetViews>
  <sheetFormatPr defaultRowHeight="15.75"/>
  <cols>
    <col min="1" max="1" width="50" customWidth="1"/>
    <col min="2" max="2" width="18.375" customWidth="1"/>
  </cols>
  <sheetData>
    <row r="1" spans="1:2">
      <c r="A1" s="21" t="s">
        <v>0</v>
      </c>
      <c r="B1" s="21"/>
    </row>
    <row r="2" spans="1:2">
      <c r="A2" s="22" t="s">
        <v>1</v>
      </c>
      <c r="B2" s="22"/>
    </row>
    <row r="3" spans="1:2">
      <c r="A3" s="2"/>
      <c r="B3" s="2"/>
    </row>
    <row r="4" spans="1:2">
      <c r="A4" s="3" t="s">
        <v>2</v>
      </c>
      <c r="B4" s="3" t="s">
        <v>3</v>
      </c>
    </row>
    <row r="5" spans="1:2">
      <c r="A5" s="2" t="s">
        <v>4</v>
      </c>
      <c r="B5" s="2" t="s">
        <v>5</v>
      </c>
    </row>
    <row r="6" spans="1:2">
      <c r="A6" s="2" t="s">
        <v>6</v>
      </c>
      <c r="B6" s="2" t="s">
        <v>7</v>
      </c>
    </row>
    <row r="7" spans="1:2">
      <c r="A7" s="2" t="s">
        <v>8</v>
      </c>
      <c r="B7" s="2" t="s">
        <v>9</v>
      </c>
    </row>
    <row r="8" spans="1:2">
      <c r="A8" s="2" t="s">
        <v>10</v>
      </c>
      <c r="B8" s="2" t="s">
        <v>11</v>
      </c>
    </row>
    <row r="9" spans="1:2">
      <c r="A9" s="2" t="s">
        <v>12</v>
      </c>
      <c r="B9" s="2" t="s">
        <v>11</v>
      </c>
    </row>
    <row r="10" spans="1:2">
      <c r="A10" s="2" t="s">
        <v>13</v>
      </c>
      <c r="B10" s="2" t="s">
        <v>14</v>
      </c>
    </row>
    <row r="11" spans="1:2">
      <c r="A11" s="2" t="s">
        <v>15</v>
      </c>
      <c r="B11" s="18">
        <v>12</v>
      </c>
    </row>
    <row r="12" spans="1:2">
      <c r="A12" s="6" t="s">
        <v>16</v>
      </c>
      <c r="B12" s="19">
        <v>2120</v>
      </c>
    </row>
    <row r="13" spans="1:2">
      <c r="A13" s="6" t="s">
        <v>17</v>
      </c>
      <c r="B13" s="19">
        <v>2120</v>
      </c>
    </row>
    <row r="14" spans="1:2">
      <c r="A14" s="6" t="s">
        <v>18</v>
      </c>
      <c r="B14" s="19">
        <v>209</v>
      </c>
    </row>
    <row r="15" spans="1:2">
      <c r="A15" s="2" t="s">
        <v>19</v>
      </c>
      <c r="B15" s="18">
        <v>0</v>
      </c>
    </row>
    <row r="16" spans="1:2">
      <c r="A16" s="2" t="s">
        <v>20</v>
      </c>
      <c r="B16" s="18">
        <v>0</v>
      </c>
    </row>
    <row r="17" spans="1:2">
      <c r="A17" s="2" t="s">
        <v>21</v>
      </c>
      <c r="B17" s="2" t="s">
        <v>22</v>
      </c>
    </row>
    <row r="18" spans="1:2">
      <c r="A18" s="2" t="s">
        <v>23</v>
      </c>
      <c r="B18" s="2" t="s">
        <v>24</v>
      </c>
    </row>
    <row r="19" spans="1:2">
      <c r="A19" s="2" t="s">
        <v>25</v>
      </c>
      <c r="B19" s="2" t="s">
        <v>26</v>
      </c>
    </row>
    <row r="20" spans="1:2">
      <c r="A20" s="2" t="s">
        <v>27</v>
      </c>
      <c r="B20" s="2" t="s">
        <v>28</v>
      </c>
    </row>
    <row r="21" spans="1:2">
      <c r="A21" s="2" t="s">
        <v>29</v>
      </c>
      <c r="B21" s="2" t="s">
        <v>30</v>
      </c>
    </row>
    <row r="22" spans="1:2">
      <c r="A22" s="2" t="s">
        <v>31</v>
      </c>
      <c r="B22" s="2" t="s">
        <v>32</v>
      </c>
    </row>
    <row r="23" spans="1:2">
      <c r="A23" s="2" t="s">
        <v>33</v>
      </c>
      <c r="B23" s="2" t="s">
        <v>34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6408C-3DDE-4AFF-9921-D1CAAA9B9614}">
  <dimension ref="A1:B220"/>
  <sheetViews>
    <sheetView showFormulas="1" topLeftCell="A208" workbookViewId="0">
      <selection activeCell="B135" sqref="B135"/>
    </sheetView>
  </sheetViews>
  <sheetFormatPr defaultRowHeight="15.75"/>
  <cols>
    <col min="1" max="1" width="50" customWidth="1"/>
    <col min="2" max="2" width="18.375" customWidth="1"/>
  </cols>
  <sheetData>
    <row r="1" spans="1:2">
      <c r="A1" s="21" t="s">
        <v>35</v>
      </c>
      <c r="B1" s="21"/>
    </row>
    <row r="2" spans="1:2">
      <c r="A2" s="22" t="s">
        <v>1</v>
      </c>
      <c r="B2" s="22"/>
    </row>
    <row r="3" spans="1:2">
      <c r="A3" s="2"/>
      <c r="B3" s="2"/>
    </row>
    <row r="4" spans="1:2">
      <c r="A4" s="3" t="s">
        <v>36</v>
      </c>
      <c r="B4" s="3" t="s">
        <v>37</v>
      </c>
    </row>
    <row r="5" spans="1:2">
      <c r="A5" s="7" t="s">
        <v>38</v>
      </c>
      <c r="B5" s="8"/>
    </row>
    <row r="6" spans="1:2">
      <c r="A6" s="2" t="s">
        <v>39</v>
      </c>
      <c r="B6" s="9">
        <v>26</v>
      </c>
    </row>
    <row r="7" spans="1:2">
      <c r="A7" s="2" t="s">
        <v>40</v>
      </c>
      <c r="B7" s="9">
        <v>43</v>
      </c>
    </row>
    <row r="8" spans="1:2">
      <c r="A8" s="2" t="s">
        <v>41</v>
      </c>
      <c r="B8" s="9">
        <v>17</v>
      </c>
    </row>
    <row r="9" spans="1:2">
      <c r="A9" s="2" t="s">
        <v>42</v>
      </c>
      <c r="B9" s="9">
        <v>34</v>
      </c>
    </row>
    <row r="10" spans="1:2">
      <c r="A10" s="2" t="s">
        <v>43</v>
      </c>
      <c r="B10" s="9">
        <v>51</v>
      </c>
    </row>
    <row r="11" spans="1:2">
      <c r="A11" s="2" t="s">
        <v>44</v>
      </c>
      <c r="B11" s="9">
        <v>25</v>
      </c>
    </row>
    <row r="12" spans="1:2">
      <c r="A12" s="2" t="s">
        <v>45</v>
      </c>
      <c r="B12" s="9">
        <v>42</v>
      </c>
    </row>
    <row r="13" spans="1:2">
      <c r="A13" s="2" t="s">
        <v>46</v>
      </c>
      <c r="B13" s="9">
        <v>16</v>
      </c>
    </row>
    <row r="14" spans="1:2">
      <c r="A14" s="2" t="s">
        <v>47</v>
      </c>
      <c r="B14" s="9">
        <f>SUM(B6:B13)</f>
        <v>254</v>
      </c>
    </row>
    <row r="15" spans="1:2">
      <c r="A15" s="2" t="s">
        <v>48</v>
      </c>
      <c r="B15" s="9">
        <v>-89</v>
      </c>
    </row>
    <row r="16" spans="1:2">
      <c r="A16" s="2" t="s">
        <v>49</v>
      </c>
      <c r="B16" s="9">
        <f>B14+B15</f>
        <v>165</v>
      </c>
    </row>
    <row r="17" spans="1:2">
      <c r="A17" s="2" t="s">
        <v>50</v>
      </c>
      <c r="B17" s="9">
        <v>41</v>
      </c>
    </row>
    <row r="18" spans="1:2">
      <c r="A18" s="2" t="s">
        <v>51</v>
      </c>
      <c r="B18" s="9">
        <v>15</v>
      </c>
    </row>
    <row r="19" spans="1:2">
      <c r="A19" s="2" t="s">
        <v>52</v>
      </c>
      <c r="B19" s="9">
        <v>32</v>
      </c>
    </row>
    <row r="20" spans="1:2">
      <c r="A20" s="2" t="s">
        <v>53</v>
      </c>
      <c r="B20" s="9">
        <v>49</v>
      </c>
    </row>
    <row r="21" spans="1:2">
      <c r="A21" s="2" t="s">
        <v>54</v>
      </c>
      <c r="B21" s="9">
        <v>23</v>
      </c>
    </row>
    <row r="22" spans="1:2">
      <c r="A22" s="2" t="s">
        <v>55</v>
      </c>
      <c r="B22" s="9">
        <v>40</v>
      </c>
    </row>
    <row r="23" spans="1:2">
      <c r="A23" s="2" t="s">
        <v>56</v>
      </c>
      <c r="B23" s="9">
        <v>14</v>
      </c>
    </row>
    <row r="24" spans="1:2">
      <c r="A24" s="2" t="s">
        <v>57</v>
      </c>
      <c r="B24" s="9">
        <v>31</v>
      </c>
    </row>
    <row r="25" spans="1:2">
      <c r="A25" s="2" t="s">
        <v>58</v>
      </c>
      <c r="B25" s="9">
        <v>-49</v>
      </c>
    </row>
    <row r="26" spans="1:2">
      <c r="A26" s="2" t="s">
        <v>59</v>
      </c>
      <c r="B26" s="9">
        <f>SUM(B17:B25)</f>
        <v>196</v>
      </c>
    </row>
    <row r="27" spans="1:2">
      <c r="A27" s="2" t="s">
        <v>60</v>
      </c>
      <c r="B27" s="9">
        <v>39</v>
      </c>
    </row>
    <row r="28" spans="1:2">
      <c r="A28" s="2" t="s">
        <v>61</v>
      </c>
      <c r="B28" s="9">
        <v>13</v>
      </c>
    </row>
    <row r="29" spans="1:2">
      <c r="A29" s="2" t="s">
        <v>62</v>
      </c>
      <c r="B29" s="9">
        <v>30</v>
      </c>
    </row>
    <row r="30" spans="1:2">
      <c r="A30" s="2" t="s">
        <v>63</v>
      </c>
      <c r="B30" s="9">
        <v>47</v>
      </c>
    </row>
    <row r="31" spans="1:2">
      <c r="A31" s="2" t="s">
        <v>64</v>
      </c>
      <c r="B31" s="9">
        <v>21</v>
      </c>
    </row>
    <row r="32" spans="1:2">
      <c r="A32" s="2" t="s">
        <v>65</v>
      </c>
      <c r="B32" s="9">
        <v>38</v>
      </c>
    </row>
    <row r="33" spans="1:2">
      <c r="A33" s="2" t="s">
        <v>66</v>
      </c>
      <c r="B33" s="9">
        <v>12</v>
      </c>
    </row>
    <row r="34" spans="1:2">
      <c r="A34" s="2" t="s">
        <v>67</v>
      </c>
      <c r="B34" s="9">
        <v>29</v>
      </c>
    </row>
    <row r="35" spans="1:2">
      <c r="A35" s="2" t="s">
        <v>68</v>
      </c>
      <c r="B35" s="9">
        <v>46</v>
      </c>
    </row>
    <row r="36" spans="1:2">
      <c r="A36" s="2" t="s">
        <v>69</v>
      </c>
      <c r="B36" s="9">
        <v>20</v>
      </c>
    </row>
    <row r="37" spans="1:2">
      <c r="A37" s="2" t="s">
        <v>70</v>
      </c>
      <c r="B37" s="9">
        <v>37</v>
      </c>
    </row>
    <row r="38" spans="1:2">
      <c r="A38" s="2" t="s">
        <v>71</v>
      </c>
      <c r="B38" s="9">
        <v>11</v>
      </c>
    </row>
    <row r="39" spans="1:2">
      <c r="A39" s="2" t="s">
        <v>72</v>
      </c>
      <c r="B39" s="9">
        <v>28</v>
      </c>
    </row>
    <row r="40" spans="1:2">
      <c r="A40" s="2" t="s">
        <v>73</v>
      </c>
      <c r="B40" s="9">
        <v>45</v>
      </c>
    </row>
    <row r="41" spans="1:2">
      <c r="A41" s="2" t="s">
        <v>74</v>
      </c>
      <c r="B41" s="9">
        <v>19</v>
      </c>
    </row>
    <row r="42" spans="1:2">
      <c r="A42" s="2" t="s">
        <v>75</v>
      </c>
      <c r="B42" s="9">
        <v>36</v>
      </c>
    </row>
    <row r="43" spans="1:2">
      <c r="A43" s="2" t="s">
        <v>76</v>
      </c>
      <c r="B43" s="9">
        <v>10</v>
      </c>
    </row>
    <row r="44" spans="1:2">
      <c r="A44" s="2" t="s">
        <v>77</v>
      </c>
      <c r="B44" s="9">
        <v>27</v>
      </c>
    </row>
    <row r="45" spans="1:2">
      <c r="A45" s="2" t="s">
        <v>78</v>
      </c>
      <c r="B45" s="9">
        <v>44</v>
      </c>
    </row>
    <row r="46" spans="1:2">
      <c r="A46" s="2" t="s">
        <v>79</v>
      </c>
      <c r="B46" s="9">
        <v>18</v>
      </c>
    </row>
    <row r="47" spans="1:2">
      <c r="A47" s="2" t="s">
        <v>80</v>
      </c>
      <c r="B47" s="9">
        <v>35</v>
      </c>
    </row>
    <row r="48" spans="1:2">
      <c r="A48" s="2" t="s">
        <v>81</v>
      </c>
      <c r="B48" s="9">
        <v>52</v>
      </c>
    </row>
    <row r="49" spans="1:2">
      <c r="A49" s="2" t="s">
        <v>82</v>
      </c>
      <c r="B49" s="9">
        <v>26</v>
      </c>
    </row>
    <row r="50" spans="1:2">
      <c r="A50" s="2" t="s">
        <v>83</v>
      </c>
      <c r="B50" s="9">
        <v>43</v>
      </c>
    </row>
    <row r="51" spans="1:2">
      <c r="A51" s="2" t="s">
        <v>84</v>
      </c>
      <c r="B51" s="9">
        <v>17</v>
      </c>
    </row>
    <row r="52" spans="1:2">
      <c r="A52" s="2" t="s">
        <v>85</v>
      </c>
      <c r="B52" s="9">
        <v>34</v>
      </c>
    </row>
    <row r="53" spans="1:2">
      <c r="A53" s="2" t="s">
        <v>86</v>
      </c>
      <c r="B53" s="9">
        <v>51</v>
      </c>
    </row>
    <row r="54" spans="1:2">
      <c r="A54" s="2" t="s">
        <v>87</v>
      </c>
      <c r="B54" s="9">
        <v>25</v>
      </c>
    </row>
    <row r="55" spans="1:2">
      <c r="A55" s="2" t="s">
        <v>88</v>
      </c>
      <c r="B55" s="9">
        <v>42</v>
      </c>
    </row>
    <row r="56" spans="1:2">
      <c r="A56" s="2" t="s">
        <v>89</v>
      </c>
      <c r="B56" s="9">
        <v>16</v>
      </c>
    </row>
    <row r="57" spans="1:2">
      <c r="A57" s="2" t="s">
        <v>90</v>
      </c>
      <c r="B57" s="9">
        <v>33</v>
      </c>
    </row>
    <row r="58" spans="1:2">
      <c r="A58" s="2" t="s">
        <v>91</v>
      </c>
      <c r="B58" s="9">
        <v>50</v>
      </c>
    </row>
    <row r="59" spans="1:2">
      <c r="A59" s="6" t="s">
        <v>92</v>
      </c>
      <c r="B59" s="10">
        <f>B16+B26+SUM(B27:B58)</f>
        <v>1355</v>
      </c>
    </row>
    <row r="60" spans="1:2">
      <c r="A60" s="11" t="s">
        <v>93</v>
      </c>
      <c r="B60" s="12"/>
    </row>
    <row r="61" spans="1:2">
      <c r="A61" s="2" t="s">
        <v>94</v>
      </c>
      <c r="B61" s="9">
        <v>15</v>
      </c>
    </row>
    <row r="62" spans="1:2">
      <c r="A62" s="2" t="s">
        <v>95</v>
      </c>
      <c r="B62" s="9">
        <v>32</v>
      </c>
    </row>
    <row r="63" spans="1:2">
      <c r="A63" s="2" t="s">
        <v>96</v>
      </c>
      <c r="B63" s="9">
        <v>49</v>
      </c>
    </row>
    <row r="64" spans="1:2">
      <c r="A64" s="2" t="s">
        <v>97</v>
      </c>
      <c r="B64" s="9">
        <v>23</v>
      </c>
    </row>
    <row r="65" spans="1:2">
      <c r="A65" s="2" t="s">
        <v>98</v>
      </c>
      <c r="B65" s="9">
        <v>22</v>
      </c>
    </row>
    <row r="66" spans="1:2">
      <c r="A66" s="2" t="s">
        <v>99</v>
      </c>
      <c r="B66" s="9">
        <v>14</v>
      </c>
    </row>
    <row r="67" spans="1:2">
      <c r="A67" s="2" t="s">
        <v>100</v>
      </c>
      <c r="B67" s="9">
        <v>31</v>
      </c>
    </row>
    <row r="68" spans="1:2">
      <c r="A68" s="2" t="s">
        <v>101</v>
      </c>
      <c r="B68" s="9">
        <v>48</v>
      </c>
    </row>
    <row r="69" spans="1:2">
      <c r="A69" s="2" t="s">
        <v>102</v>
      </c>
      <c r="B69" s="9">
        <v>22</v>
      </c>
    </row>
    <row r="70" spans="1:2">
      <c r="A70" s="2" t="s">
        <v>103</v>
      </c>
      <c r="B70" s="9">
        <v>39</v>
      </c>
    </row>
    <row r="71" spans="1:2">
      <c r="A71" s="2" t="s">
        <v>104</v>
      </c>
      <c r="B71" s="9">
        <v>13</v>
      </c>
    </row>
    <row r="72" spans="1:2">
      <c r="A72" s="2" t="s">
        <v>105</v>
      </c>
      <c r="B72" s="9">
        <v>30</v>
      </c>
    </row>
    <row r="73" spans="1:2">
      <c r="A73" s="2" t="s">
        <v>106</v>
      </c>
      <c r="B73" s="9">
        <v>47</v>
      </c>
    </row>
    <row r="74" spans="1:2">
      <c r="A74" s="2" t="s">
        <v>107</v>
      </c>
      <c r="B74" s="9">
        <v>21</v>
      </c>
    </row>
    <row r="75" spans="1:2">
      <c r="A75" s="2" t="s">
        <v>108</v>
      </c>
      <c r="B75" s="9">
        <v>38</v>
      </c>
    </row>
    <row r="76" spans="1:2">
      <c r="A76" s="2" t="s">
        <v>109</v>
      </c>
      <c r="B76" s="9">
        <v>12</v>
      </c>
    </row>
    <row r="77" spans="1:2">
      <c r="A77" s="2" t="s">
        <v>110</v>
      </c>
      <c r="B77" s="9">
        <v>29</v>
      </c>
    </row>
    <row r="78" spans="1:2">
      <c r="A78" s="2" t="s">
        <v>111</v>
      </c>
      <c r="B78" s="9">
        <v>46</v>
      </c>
    </row>
    <row r="79" spans="1:2">
      <c r="A79" s="2" t="s">
        <v>112</v>
      </c>
      <c r="B79" s="9">
        <v>20</v>
      </c>
    </row>
    <row r="80" spans="1:2">
      <c r="A80" s="2" t="s">
        <v>113</v>
      </c>
      <c r="B80" s="9">
        <v>37</v>
      </c>
    </row>
    <row r="81" spans="1:2">
      <c r="A81" s="2" t="s">
        <v>114</v>
      </c>
      <c r="B81" s="9">
        <v>11</v>
      </c>
    </row>
    <row r="82" spans="1:2">
      <c r="A82" s="2" t="s">
        <v>115</v>
      </c>
      <c r="B82" s="9">
        <v>28</v>
      </c>
    </row>
    <row r="83" spans="1:2">
      <c r="A83" s="2" t="s">
        <v>116</v>
      </c>
      <c r="B83" s="9">
        <v>45</v>
      </c>
    </row>
    <row r="84" spans="1:2">
      <c r="A84" s="2" t="s">
        <v>117</v>
      </c>
      <c r="B84" s="9">
        <v>19</v>
      </c>
    </row>
    <row r="85" spans="1:2">
      <c r="A85" s="2" t="s">
        <v>118</v>
      </c>
      <c r="B85" s="9">
        <v>36</v>
      </c>
    </row>
    <row r="86" spans="1:2">
      <c r="A86" s="2" t="s">
        <v>119</v>
      </c>
      <c r="B86" s="9">
        <v>10</v>
      </c>
    </row>
    <row r="87" spans="1:2">
      <c r="A87" s="2" t="s">
        <v>120</v>
      </c>
      <c r="B87" s="9">
        <v>27</v>
      </c>
    </row>
    <row r="88" spans="1:2">
      <c r="A88" s="2" t="s">
        <v>121</v>
      </c>
      <c r="B88" s="9">
        <v>44</v>
      </c>
    </row>
    <row r="89" spans="1:2">
      <c r="A89" s="2" t="s">
        <v>122</v>
      </c>
      <c r="B89" s="9">
        <v>18</v>
      </c>
    </row>
    <row r="90" spans="1:2">
      <c r="A90" s="2" t="s">
        <v>123</v>
      </c>
      <c r="B90" s="9">
        <v>35</v>
      </c>
    </row>
    <row r="91" spans="1:2">
      <c r="A91" s="2" t="s">
        <v>124</v>
      </c>
      <c r="B91" s="9">
        <v>52</v>
      </c>
    </row>
    <row r="92" spans="1:2">
      <c r="A92" s="2" t="s">
        <v>125</v>
      </c>
      <c r="B92" s="9">
        <v>26</v>
      </c>
    </row>
    <row r="93" spans="1:2">
      <c r="A93" s="2" t="s">
        <v>126</v>
      </c>
      <c r="B93" s="9">
        <v>43</v>
      </c>
    </row>
    <row r="94" spans="1:2">
      <c r="A94" s="2" t="s">
        <v>127</v>
      </c>
      <c r="B94" s="9">
        <v>17</v>
      </c>
    </row>
    <row r="95" spans="1:2">
      <c r="A95" s="2" t="s">
        <v>128</v>
      </c>
      <c r="B95" s="9">
        <v>-5</v>
      </c>
    </row>
    <row r="96" spans="1:2">
      <c r="A96" s="2" t="s">
        <v>129</v>
      </c>
      <c r="B96" s="9">
        <f>B94+B95</f>
        <v>12</v>
      </c>
    </row>
    <row r="97" spans="1:2">
      <c r="A97" s="2" t="s">
        <v>130</v>
      </c>
      <c r="B97" s="9">
        <v>25</v>
      </c>
    </row>
    <row r="98" spans="1:2">
      <c r="A98" s="2" t="s">
        <v>131</v>
      </c>
      <c r="B98" s="9">
        <v>42</v>
      </c>
    </row>
    <row r="99" spans="1:2">
      <c r="A99" s="2" t="s">
        <v>132</v>
      </c>
      <c r="B99" s="9">
        <v>16</v>
      </c>
    </row>
    <row r="100" spans="1:2">
      <c r="A100" s="2" t="s">
        <v>133</v>
      </c>
      <c r="B100" s="9">
        <v>33</v>
      </c>
    </row>
    <row r="101" spans="1:2">
      <c r="A101" s="2" t="s">
        <v>134</v>
      </c>
      <c r="B101" s="9">
        <v>50</v>
      </c>
    </row>
    <row r="102" spans="1:2">
      <c r="A102" s="2" t="s">
        <v>135</v>
      </c>
      <c r="B102" s="9">
        <v>24</v>
      </c>
    </row>
    <row r="103" spans="1:2">
      <c r="A103" s="2" t="s">
        <v>136</v>
      </c>
      <c r="B103" s="9">
        <v>41</v>
      </c>
    </row>
    <row r="104" spans="1:2">
      <c r="A104" s="2" t="s">
        <v>137</v>
      </c>
      <c r="B104" s="9">
        <v>15</v>
      </c>
    </row>
    <row r="105" spans="1:2">
      <c r="A105" s="6" t="s">
        <v>138</v>
      </c>
      <c r="B105" s="10">
        <f>SUM(B61:B93)+B96+SUM(B97:B104)</f>
        <v>1240</v>
      </c>
    </row>
    <row r="106" spans="1:2">
      <c r="A106" s="6" t="s">
        <v>16</v>
      </c>
      <c r="B106" s="10">
        <f>B59+B105</f>
        <v>2595</v>
      </c>
    </row>
    <row r="107" spans="1:2">
      <c r="A107" s="11" t="s">
        <v>139</v>
      </c>
      <c r="B107" s="12"/>
    </row>
    <row r="108" spans="1:2">
      <c r="A108" s="2" t="s">
        <v>140</v>
      </c>
      <c r="B108" s="9">
        <v>40</v>
      </c>
    </row>
    <row r="109" spans="1:2">
      <c r="A109" s="2" t="s">
        <v>141</v>
      </c>
      <c r="B109" s="9">
        <v>14</v>
      </c>
    </row>
    <row r="110" spans="1:2">
      <c r="A110" s="2" t="s">
        <v>142</v>
      </c>
      <c r="B110" s="9">
        <v>31</v>
      </c>
    </row>
    <row r="111" spans="1:2">
      <c r="A111" s="2" t="s">
        <v>143</v>
      </c>
      <c r="B111" s="9">
        <v>48</v>
      </c>
    </row>
    <row r="112" spans="1:2">
      <c r="A112" s="2" t="s">
        <v>144</v>
      </c>
      <c r="B112" s="9">
        <v>22</v>
      </c>
    </row>
    <row r="113" spans="1:2">
      <c r="A113" s="2" t="s">
        <v>145</v>
      </c>
      <c r="B113" s="9">
        <f>SUM(B108:B112)</f>
        <v>155</v>
      </c>
    </row>
    <row r="114" spans="1:2">
      <c r="A114" s="2" t="s">
        <v>146</v>
      </c>
      <c r="B114" s="9">
        <v>13</v>
      </c>
    </row>
    <row r="115" spans="1:2">
      <c r="A115" s="2" t="s">
        <v>147</v>
      </c>
      <c r="B115" s="9">
        <v>30</v>
      </c>
    </row>
    <row r="116" spans="1:2">
      <c r="A116" s="2" t="s">
        <v>148</v>
      </c>
      <c r="B116" s="9">
        <v>47</v>
      </c>
    </row>
    <row r="117" spans="1:2">
      <c r="A117" s="2" t="s">
        <v>149</v>
      </c>
      <c r="B117" s="9">
        <v>21</v>
      </c>
    </row>
    <row r="118" spans="1:2">
      <c r="A118" s="2" t="s">
        <v>150</v>
      </c>
      <c r="B118" s="9">
        <f>B106-B165-B217-B127-B113-SUM(B114:B117)-SUM(B119:B125)</f>
        <v>-485</v>
      </c>
    </row>
    <row r="119" spans="1:2">
      <c r="A119" s="2" t="s">
        <v>151</v>
      </c>
      <c r="B119" s="9">
        <v>-12</v>
      </c>
    </row>
    <row r="120" spans="1:2">
      <c r="A120" s="2" t="s">
        <v>152</v>
      </c>
      <c r="B120" s="9">
        <v>29</v>
      </c>
    </row>
    <row r="121" spans="1:2">
      <c r="A121" s="2" t="s">
        <v>153</v>
      </c>
      <c r="B121" s="9">
        <v>46</v>
      </c>
    </row>
    <row r="122" spans="1:2">
      <c r="A122" s="2" t="s">
        <v>154</v>
      </c>
      <c r="B122" s="9">
        <v>20</v>
      </c>
    </row>
    <row r="123" spans="1:2">
      <c r="A123" s="2" t="s">
        <v>155</v>
      </c>
      <c r="B123" s="9">
        <v>37</v>
      </c>
    </row>
    <row r="124" spans="1:2">
      <c r="A124" s="2" t="s">
        <v>156</v>
      </c>
      <c r="B124" s="9">
        <v>11</v>
      </c>
    </row>
    <row r="125" spans="1:2">
      <c r="A125" s="2" t="s">
        <v>157</v>
      </c>
      <c r="B125" s="9">
        <v>28</v>
      </c>
    </row>
    <row r="126" spans="1:2">
      <c r="A126" s="2" t="s">
        <v>139</v>
      </c>
      <c r="B126" s="9">
        <f>B113+SUM(B114:B125)</f>
        <v>-60</v>
      </c>
    </row>
    <row r="127" spans="1:2">
      <c r="A127" s="2" t="s">
        <v>158</v>
      </c>
      <c r="B127" s="9">
        <v>19</v>
      </c>
    </row>
    <row r="128" spans="1:2">
      <c r="A128" s="6" t="s">
        <v>159</v>
      </c>
      <c r="B128" s="10">
        <f>B126+B127</f>
        <v>-41</v>
      </c>
    </row>
    <row r="129" spans="1:2">
      <c r="A129" s="11" t="s">
        <v>160</v>
      </c>
      <c r="B129" s="12"/>
    </row>
    <row r="130" spans="1:2">
      <c r="A130" s="2" t="s">
        <v>161</v>
      </c>
      <c r="B130" s="9">
        <v>27</v>
      </c>
    </row>
    <row r="131" spans="1:2">
      <c r="A131" s="2" t="s">
        <v>162</v>
      </c>
      <c r="B131" s="9">
        <v>44</v>
      </c>
    </row>
    <row r="132" spans="1:2">
      <c r="A132" s="2" t="s">
        <v>163</v>
      </c>
      <c r="B132" s="9">
        <v>18</v>
      </c>
    </row>
    <row r="133" spans="1:2">
      <c r="A133" s="2" t="s">
        <v>164</v>
      </c>
      <c r="B133" s="9">
        <v>35</v>
      </c>
    </row>
    <row r="134" spans="1:2">
      <c r="A134" s="2" t="s">
        <v>165</v>
      </c>
      <c r="B134" s="9">
        <v>52</v>
      </c>
    </row>
    <row r="135" spans="1:2">
      <c r="A135" s="2" t="s">
        <v>166</v>
      </c>
      <c r="B135" s="9">
        <v>26</v>
      </c>
    </row>
    <row r="136" spans="1:2">
      <c r="A136" s="2" t="s">
        <v>167</v>
      </c>
      <c r="B136" s="9">
        <v>43</v>
      </c>
    </row>
    <row r="137" spans="1:2">
      <c r="A137" s="2" t="s">
        <v>168</v>
      </c>
      <c r="B137" s="9">
        <v>17</v>
      </c>
    </row>
    <row r="138" spans="1:2">
      <c r="A138" s="2" t="s">
        <v>169</v>
      </c>
      <c r="B138" s="9">
        <v>34</v>
      </c>
    </row>
    <row r="139" spans="1:2">
      <c r="A139" s="2" t="s">
        <v>170</v>
      </c>
      <c r="B139" s="9">
        <v>51</v>
      </c>
    </row>
    <row r="140" spans="1:2">
      <c r="A140" s="2" t="s">
        <v>171</v>
      </c>
      <c r="B140" s="9">
        <v>25</v>
      </c>
    </row>
    <row r="141" spans="1:2">
      <c r="A141" s="2" t="s">
        <v>172</v>
      </c>
      <c r="B141" s="9">
        <v>42</v>
      </c>
    </row>
    <row r="142" spans="1:2">
      <c r="A142" s="2" t="s">
        <v>173</v>
      </c>
      <c r="B142" s="9">
        <v>16</v>
      </c>
    </row>
    <row r="143" spans="1:2">
      <c r="A143" s="2" t="s">
        <v>174</v>
      </c>
      <c r="B143" s="9">
        <v>33</v>
      </c>
    </row>
    <row r="144" spans="1:2">
      <c r="A144" s="2" t="s">
        <v>175</v>
      </c>
      <c r="B144" s="9">
        <v>50</v>
      </c>
    </row>
    <row r="145" spans="1:2">
      <c r="A145" s="2" t="s">
        <v>176</v>
      </c>
      <c r="B145" s="9">
        <v>24</v>
      </c>
    </row>
    <row r="146" spans="1:2">
      <c r="A146" s="2" t="s">
        <v>177</v>
      </c>
      <c r="B146" s="9">
        <v>41</v>
      </c>
    </row>
    <row r="147" spans="1:2">
      <c r="A147" s="2" t="s">
        <v>178</v>
      </c>
      <c r="B147" s="9">
        <v>15</v>
      </c>
    </row>
    <row r="148" spans="1:2">
      <c r="A148" s="2" t="s">
        <v>179</v>
      </c>
      <c r="B148" s="9">
        <v>32</v>
      </c>
    </row>
    <row r="149" spans="1:2">
      <c r="A149" s="2" t="s">
        <v>180</v>
      </c>
      <c r="B149" s="9">
        <v>49</v>
      </c>
    </row>
    <row r="150" spans="1:2">
      <c r="A150" s="2" t="s">
        <v>181</v>
      </c>
      <c r="B150" s="9">
        <v>23</v>
      </c>
    </row>
    <row r="151" spans="1:2">
      <c r="A151" s="2" t="s">
        <v>182</v>
      </c>
      <c r="B151" s="9">
        <v>40</v>
      </c>
    </row>
    <row r="152" spans="1:2">
      <c r="A152" s="2" t="s">
        <v>183</v>
      </c>
      <c r="B152" s="9">
        <v>14</v>
      </c>
    </row>
    <row r="153" spans="1:2">
      <c r="A153" s="2" t="s">
        <v>184</v>
      </c>
      <c r="B153" s="9">
        <v>31</v>
      </c>
    </row>
    <row r="154" spans="1:2">
      <c r="A154" s="2" t="s">
        <v>185</v>
      </c>
      <c r="B154" s="9">
        <v>48</v>
      </c>
    </row>
    <row r="155" spans="1:2">
      <c r="A155" s="2" t="s">
        <v>186</v>
      </c>
      <c r="B155" s="9">
        <v>22</v>
      </c>
    </row>
    <row r="156" spans="1:2">
      <c r="A156" s="2" t="s">
        <v>187</v>
      </c>
      <c r="B156" s="9">
        <v>39</v>
      </c>
    </row>
    <row r="157" spans="1:2">
      <c r="A157" s="2" t="s">
        <v>188</v>
      </c>
      <c r="B157" s="9">
        <v>13</v>
      </c>
    </row>
    <row r="158" spans="1:2">
      <c r="A158" s="2" t="s">
        <v>189</v>
      </c>
      <c r="B158" s="9">
        <v>30</v>
      </c>
    </row>
    <row r="159" spans="1:2">
      <c r="A159" s="2" t="s">
        <v>190</v>
      </c>
      <c r="B159" s="9">
        <v>47</v>
      </c>
    </row>
    <row r="160" spans="1:2">
      <c r="A160" s="2" t="s">
        <v>191</v>
      </c>
      <c r="B160" s="9">
        <v>21</v>
      </c>
    </row>
    <row r="161" spans="1:2">
      <c r="A161" s="2" t="s">
        <v>192</v>
      </c>
      <c r="B161" s="9">
        <v>38</v>
      </c>
    </row>
    <row r="162" spans="1:2">
      <c r="A162" s="2" t="s">
        <v>193</v>
      </c>
      <c r="B162" s="9">
        <v>12</v>
      </c>
    </row>
    <row r="163" spans="1:2">
      <c r="A163" s="2" t="s">
        <v>194</v>
      </c>
      <c r="B163" s="9">
        <v>29</v>
      </c>
    </row>
    <row r="164" spans="1:2">
      <c r="A164" s="2" t="s">
        <v>195</v>
      </c>
      <c r="B164" s="9">
        <v>46</v>
      </c>
    </row>
    <row r="165" spans="1:2">
      <c r="A165" s="6" t="s">
        <v>196</v>
      </c>
      <c r="B165" s="10">
        <f>SUM(B130:B164)</f>
        <v>1127</v>
      </c>
    </row>
    <row r="166" spans="1:2">
      <c r="A166" s="11" t="s">
        <v>197</v>
      </c>
      <c r="B166" s="12"/>
    </row>
    <row r="167" spans="1:2">
      <c r="A167" s="2" t="s">
        <v>198</v>
      </c>
      <c r="B167" s="9">
        <v>11</v>
      </c>
    </row>
    <row r="168" spans="1:2">
      <c r="A168" s="2" t="s">
        <v>199</v>
      </c>
      <c r="B168" s="9">
        <v>28</v>
      </c>
    </row>
    <row r="169" spans="1:2">
      <c r="A169" s="2" t="s">
        <v>200</v>
      </c>
      <c r="B169" s="9">
        <v>45</v>
      </c>
    </row>
    <row r="170" spans="1:2">
      <c r="A170" s="2" t="s">
        <v>201</v>
      </c>
      <c r="B170" s="9">
        <v>19</v>
      </c>
    </row>
    <row r="171" spans="1:2">
      <c r="A171" s="2" t="s">
        <v>202</v>
      </c>
      <c r="B171" s="9">
        <v>36</v>
      </c>
    </row>
    <row r="172" spans="1:2">
      <c r="A172" s="2" t="s">
        <v>203</v>
      </c>
      <c r="B172" s="9">
        <v>10</v>
      </c>
    </row>
    <row r="173" spans="1:2">
      <c r="A173" s="2" t="s">
        <v>204</v>
      </c>
      <c r="B173" s="9">
        <v>27</v>
      </c>
    </row>
    <row r="174" spans="1:2">
      <c r="A174" s="2" t="s">
        <v>205</v>
      </c>
      <c r="B174" s="9">
        <v>44</v>
      </c>
    </row>
    <row r="175" spans="1:2">
      <c r="A175" s="2" t="s">
        <v>206</v>
      </c>
      <c r="B175" s="9">
        <v>18</v>
      </c>
    </row>
    <row r="176" spans="1:2">
      <c r="A176" s="2" t="s">
        <v>207</v>
      </c>
      <c r="B176" s="9">
        <v>35</v>
      </c>
    </row>
    <row r="177" spans="1:2">
      <c r="A177" s="2" t="s">
        <v>208</v>
      </c>
      <c r="B177" s="9">
        <v>52</v>
      </c>
    </row>
    <row r="178" spans="1:2">
      <c r="A178" s="2" t="s">
        <v>209</v>
      </c>
      <c r="B178" s="9">
        <v>26</v>
      </c>
    </row>
    <row r="179" spans="1:2">
      <c r="A179" s="2" t="s">
        <v>210</v>
      </c>
      <c r="B179" s="9">
        <v>43</v>
      </c>
    </row>
    <row r="180" spans="1:2">
      <c r="A180" s="2" t="s">
        <v>211</v>
      </c>
      <c r="B180" s="9">
        <v>17</v>
      </c>
    </row>
    <row r="181" spans="1:2">
      <c r="A181" s="2" t="s">
        <v>212</v>
      </c>
      <c r="B181" s="9">
        <v>34</v>
      </c>
    </row>
    <row r="182" spans="1:2">
      <c r="A182" s="2" t="s">
        <v>213</v>
      </c>
      <c r="B182" s="9">
        <v>51</v>
      </c>
    </row>
    <row r="183" spans="1:2">
      <c r="A183" s="2" t="s">
        <v>214</v>
      </c>
      <c r="B183" s="9">
        <v>25</v>
      </c>
    </row>
    <row r="184" spans="1:2">
      <c r="A184" s="2" t="s">
        <v>215</v>
      </c>
      <c r="B184" s="9">
        <v>42</v>
      </c>
    </row>
    <row r="185" spans="1:2">
      <c r="A185" s="2" t="s">
        <v>216</v>
      </c>
      <c r="B185" s="9">
        <v>16</v>
      </c>
    </row>
    <row r="186" spans="1:2">
      <c r="A186" s="2" t="s">
        <v>217</v>
      </c>
      <c r="B186" s="9">
        <v>33</v>
      </c>
    </row>
    <row r="187" spans="1:2">
      <c r="A187" s="2" t="s">
        <v>218</v>
      </c>
      <c r="B187" s="9">
        <v>50</v>
      </c>
    </row>
    <row r="188" spans="1:2">
      <c r="A188" s="2" t="s">
        <v>219</v>
      </c>
      <c r="B188" s="9">
        <v>24</v>
      </c>
    </row>
    <row r="189" spans="1:2">
      <c r="A189" s="2" t="s">
        <v>220</v>
      </c>
      <c r="B189" s="9">
        <v>41</v>
      </c>
    </row>
    <row r="190" spans="1:2">
      <c r="A190" s="2" t="s">
        <v>221</v>
      </c>
      <c r="B190" s="9">
        <v>15</v>
      </c>
    </row>
    <row r="191" spans="1:2">
      <c r="A191" s="2" t="s">
        <v>222</v>
      </c>
      <c r="B191" s="9">
        <v>32</v>
      </c>
    </row>
    <row r="192" spans="1:2">
      <c r="A192" s="2" t="s">
        <v>223</v>
      </c>
      <c r="B192" s="9">
        <v>49</v>
      </c>
    </row>
    <row r="193" spans="1:2">
      <c r="A193" s="2" t="s">
        <v>224</v>
      </c>
      <c r="B193" s="9">
        <v>23</v>
      </c>
    </row>
    <row r="194" spans="1:2">
      <c r="A194" s="2" t="s">
        <v>225</v>
      </c>
      <c r="B194" s="9">
        <v>40</v>
      </c>
    </row>
    <row r="195" spans="1:2">
      <c r="A195" s="2" t="s">
        <v>226</v>
      </c>
      <c r="B195" s="9">
        <v>14</v>
      </c>
    </row>
    <row r="196" spans="1:2">
      <c r="A196" s="2" t="s">
        <v>227</v>
      </c>
      <c r="B196" s="9">
        <v>31</v>
      </c>
    </row>
    <row r="197" spans="1:2">
      <c r="A197" s="2" t="s">
        <v>228</v>
      </c>
      <c r="B197" s="9">
        <v>48</v>
      </c>
    </row>
    <row r="198" spans="1:2">
      <c r="A198" s="2" t="s">
        <v>229</v>
      </c>
      <c r="B198" s="9">
        <v>22</v>
      </c>
    </row>
    <row r="199" spans="1:2">
      <c r="A199" s="2" t="s">
        <v>230</v>
      </c>
      <c r="B199" s="9">
        <v>39</v>
      </c>
    </row>
    <row r="200" spans="1:2">
      <c r="A200" s="2" t="s">
        <v>231</v>
      </c>
      <c r="B200" s="9">
        <v>13</v>
      </c>
    </row>
    <row r="201" spans="1:2">
      <c r="A201" s="2" t="s">
        <v>232</v>
      </c>
      <c r="B201" s="9">
        <v>30</v>
      </c>
    </row>
    <row r="202" spans="1:2">
      <c r="A202" s="2" t="s">
        <v>233</v>
      </c>
      <c r="B202" s="9">
        <v>47</v>
      </c>
    </row>
    <row r="203" spans="1:2">
      <c r="A203" s="2" t="s">
        <v>234</v>
      </c>
      <c r="B203" s="9">
        <v>21</v>
      </c>
    </row>
    <row r="204" spans="1:2">
      <c r="A204" s="2" t="s">
        <v>235</v>
      </c>
      <c r="B204" s="9">
        <v>38</v>
      </c>
    </row>
    <row r="205" spans="1:2">
      <c r="A205" s="2" t="s">
        <v>236</v>
      </c>
      <c r="B205" s="9">
        <v>12</v>
      </c>
    </row>
    <row r="206" spans="1:2">
      <c r="A206" s="2" t="s">
        <v>237</v>
      </c>
      <c r="B206" s="9">
        <v>29</v>
      </c>
    </row>
    <row r="207" spans="1:2">
      <c r="A207" s="2" t="s">
        <v>238</v>
      </c>
      <c r="B207" s="9">
        <v>46</v>
      </c>
    </row>
    <row r="208" spans="1:2">
      <c r="A208" s="2" t="s">
        <v>239</v>
      </c>
      <c r="B208" s="9">
        <v>20</v>
      </c>
    </row>
    <row r="209" spans="1:2">
      <c r="A209" s="2" t="s">
        <v>240</v>
      </c>
      <c r="B209" s="9">
        <v>37</v>
      </c>
    </row>
    <row r="210" spans="1:2">
      <c r="A210" s="2" t="s">
        <v>241</v>
      </c>
      <c r="B210" s="9">
        <v>11</v>
      </c>
    </row>
    <row r="211" spans="1:2">
      <c r="A211" s="2" t="s">
        <v>242</v>
      </c>
      <c r="B211" s="9">
        <v>28</v>
      </c>
    </row>
    <row r="212" spans="1:2">
      <c r="A212" s="2" t="s">
        <v>243</v>
      </c>
      <c r="B212" s="9">
        <v>45</v>
      </c>
    </row>
    <row r="213" spans="1:2">
      <c r="A213" s="2" t="s">
        <v>244</v>
      </c>
      <c r="B213" s="9">
        <v>19</v>
      </c>
    </row>
    <row r="214" spans="1:2">
      <c r="A214" s="2" t="s">
        <v>245</v>
      </c>
      <c r="B214" s="9">
        <v>36</v>
      </c>
    </row>
    <row r="215" spans="1:2">
      <c r="A215" s="2" t="s">
        <v>246</v>
      </c>
      <c r="B215" s="9">
        <v>10</v>
      </c>
    </row>
    <row r="216" spans="1:2">
      <c r="A216" s="2" t="s">
        <v>247</v>
      </c>
      <c r="B216" s="9">
        <v>27</v>
      </c>
    </row>
    <row r="217" spans="1:2">
      <c r="A217" s="6" t="s">
        <v>248</v>
      </c>
      <c r="B217" s="10">
        <f>SUM(B167:B216)</f>
        <v>1509</v>
      </c>
    </row>
    <row r="218" spans="1:2">
      <c r="A218" s="2"/>
      <c r="B218" s="18"/>
    </row>
    <row r="219" spans="1:2">
      <c r="A219" s="13" t="s">
        <v>249</v>
      </c>
      <c r="B219" s="14">
        <f>B165+B217</f>
        <v>2636</v>
      </c>
    </row>
    <row r="220" spans="1:2">
      <c r="A220" s="13" t="s">
        <v>250</v>
      </c>
      <c r="B220" s="14">
        <f>B128+B219</f>
        <v>2595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D9DB1-4439-48C1-9108-C5BEEC3A7F09}">
  <dimension ref="A1:B114"/>
  <sheetViews>
    <sheetView showFormulas="1" topLeftCell="A95" workbookViewId="0">
      <selection activeCell="B129" sqref="B129"/>
    </sheetView>
  </sheetViews>
  <sheetFormatPr defaultRowHeight="15.75"/>
  <cols>
    <col min="1" max="1" width="50" customWidth="1"/>
    <col min="2" max="2" width="18.375" customWidth="1"/>
  </cols>
  <sheetData>
    <row r="1" spans="1:2">
      <c r="A1" s="21" t="s">
        <v>251</v>
      </c>
      <c r="B1" s="21"/>
    </row>
    <row r="2" spans="1:2">
      <c r="A2" s="22" t="s">
        <v>1</v>
      </c>
      <c r="B2" s="22"/>
    </row>
    <row r="3" spans="1:2">
      <c r="A3" s="2"/>
      <c r="B3" s="2"/>
    </row>
    <row r="4" spans="1:2">
      <c r="A4" s="3" t="s">
        <v>36</v>
      </c>
      <c r="B4" s="3" t="s">
        <v>37</v>
      </c>
    </row>
    <row r="5" spans="1:2">
      <c r="A5" s="7" t="s">
        <v>252</v>
      </c>
      <c r="B5" s="8"/>
    </row>
    <row r="6" spans="1:2">
      <c r="A6" s="2" t="s">
        <v>253</v>
      </c>
      <c r="B6" s="9">
        <v>1000</v>
      </c>
    </row>
    <row r="7" spans="1:2">
      <c r="A7" s="2" t="s">
        <v>254</v>
      </c>
      <c r="B7" s="9">
        <v>25</v>
      </c>
    </row>
    <row r="8" spans="1:2">
      <c r="A8" s="2" t="s">
        <v>255</v>
      </c>
      <c r="B8" s="9">
        <v>15</v>
      </c>
    </row>
    <row r="9" spans="1:2">
      <c r="A9" s="2" t="s">
        <v>256</v>
      </c>
      <c r="B9" s="9">
        <v>10</v>
      </c>
    </row>
    <row r="10" spans="1:2">
      <c r="A10" s="2" t="s">
        <v>257</v>
      </c>
      <c r="B10" s="9">
        <v>49</v>
      </c>
    </row>
    <row r="11" spans="1:2">
      <c r="A11" s="2" t="s">
        <v>258</v>
      </c>
      <c r="B11" s="9">
        <v>23</v>
      </c>
    </row>
    <row r="12" spans="1:2">
      <c r="A12" s="2" t="s">
        <v>259</v>
      </c>
      <c r="B12" s="9">
        <v>40</v>
      </c>
    </row>
    <row r="13" spans="1:2">
      <c r="A13" s="2" t="s">
        <v>260</v>
      </c>
      <c r="B13" s="9">
        <v>14</v>
      </c>
    </row>
    <row r="14" spans="1:2">
      <c r="A14" s="2" t="s">
        <v>261</v>
      </c>
      <c r="B14" s="9">
        <v>31</v>
      </c>
    </row>
    <row r="15" spans="1:2">
      <c r="A15" s="2" t="s">
        <v>262</v>
      </c>
      <c r="B15" s="9">
        <v>48</v>
      </c>
    </row>
    <row r="16" spans="1:2">
      <c r="A16" s="2" t="s">
        <v>263</v>
      </c>
      <c r="B16" s="9">
        <v>22</v>
      </c>
    </row>
    <row r="17" spans="1:2">
      <c r="A17" s="6" t="s">
        <v>264</v>
      </c>
      <c r="B17" s="10">
        <f>SUM(B10:B16)</f>
        <v>227</v>
      </c>
    </row>
    <row r="18" spans="1:2">
      <c r="A18" s="6" t="s">
        <v>265</v>
      </c>
      <c r="B18" s="10">
        <f>SUM(B6:B9)-B17</f>
        <v>823</v>
      </c>
    </row>
    <row r="19" spans="1:2">
      <c r="A19" s="2" t="s">
        <v>266</v>
      </c>
      <c r="B19" s="9">
        <v>30</v>
      </c>
    </row>
    <row r="20" spans="1:2">
      <c r="A20" s="2" t="s">
        <v>267</v>
      </c>
      <c r="B20" s="9">
        <v>47</v>
      </c>
    </row>
    <row r="21" spans="1:2">
      <c r="A21" s="2" t="s">
        <v>268</v>
      </c>
      <c r="B21" s="9">
        <v>21</v>
      </c>
    </row>
    <row r="22" spans="1:2">
      <c r="A22" s="2" t="s">
        <v>269</v>
      </c>
      <c r="B22" s="9">
        <v>38</v>
      </c>
    </row>
    <row r="23" spans="1:2">
      <c r="A23" s="2" t="s">
        <v>270</v>
      </c>
      <c r="B23" s="9">
        <v>12</v>
      </c>
    </row>
    <row r="24" spans="1:2">
      <c r="A24" s="2" t="s">
        <v>271</v>
      </c>
      <c r="B24" s="9">
        <v>29</v>
      </c>
    </row>
    <row r="25" spans="1:2">
      <c r="A25" s="2" t="s">
        <v>272</v>
      </c>
      <c r="B25" s="9">
        <v>46</v>
      </c>
    </row>
    <row r="26" spans="1:2">
      <c r="A26" s="2" t="s">
        <v>273</v>
      </c>
      <c r="B26" s="9">
        <v>20</v>
      </c>
    </row>
    <row r="27" spans="1:2">
      <c r="A27" s="2" t="s">
        <v>274</v>
      </c>
      <c r="B27" s="9">
        <v>37</v>
      </c>
    </row>
    <row r="28" spans="1:2">
      <c r="A28" s="2" t="s">
        <v>275</v>
      </c>
      <c r="B28" s="9">
        <v>11</v>
      </c>
    </row>
    <row r="29" spans="1:2">
      <c r="A29" s="2" t="s">
        <v>276</v>
      </c>
      <c r="B29" s="9">
        <v>28</v>
      </c>
    </row>
    <row r="30" spans="1:2">
      <c r="A30" s="2" t="s">
        <v>277</v>
      </c>
      <c r="B30" s="9">
        <v>45</v>
      </c>
    </row>
    <row r="31" spans="1:2">
      <c r="A31" s="2" t="s">
        <v>278</v>
      </c>
      <c r="B31" s="9">
        <v>19</v>
      </c>
    </row>
    <row r="32" spans="1:2">
      <c r="A32" s="2" t="s">
        <v>279</v>
      </c>
      <c r="B32" s="9">
        <v>36</v>
      </c>
    </row>
    <row r="33" spans="1:2">
      <c r="A33" s="2" t="s">
        <v>280</v>
      </c>
      <c r="B33" s="9">
        <v>10</v>
      </c>
    </row>
    <row r="34" spans="1:2">
      <c r="A34" s="2" t="s">
        <v>281</v>
      </c>
      <c r="B34" s="9">
        <v>27</v>
      </c>
    </row>
    <row r="35" spans="1:2">
      <c r="A35" s="2" t="s">
        <v>282</v>
      </c>
      <c r="B35" s="9">
        <v>44</v>
      </c>
    </row>
    <row r="36" spans="1:2">
      <c r="A36" s="2" t="s">
        <v>283</v>
      </c>
      <c r="B36" s="9">
        <v>18</v>
      </c>
    </row>
    <row r="37" spans="1:2">
      <c r="A37" s="2" t="s">
        <v>284</v>
      </c>
      <c r="B37" s="9">
        <v>35</v>
      </c>
    </row>
    <row r="38" spans="1:2">
      <c r="A38" s="2" t="s">
        <v>285</v>
      </c>
      <c r="B38" s="9">
        <v>9</v>
      </c>
    </row>
    <row r="39" spans="1:2">
      <c r="A39" s="2" t="s">
        <v>286</v>
      </c>
      <c r="B39" s="9">
        <v>26</v>
      </c>
    </row>
    <row r="40" spans="1:2">
      <c r="A40" s="2" t="s">
        <v>287</v>
      </c>
      <c r="B40" s="9">
        <v>43</v>
      </c>
    </row>
    <row r="41" spans="1:2">
      <c r="A41" s="2" t="s">
        <v>288</v>
      </c>
      <c r="B41" s="9">
        <v>17</v>
      </c>
    </row>
    <row r="42" spans="1:2">
      <c r="A42" s="2" t="s">
        <v>289</v>
      </c>
      <c r="B42" s="9">
        <v>34</v>
      </c>
    </row>
    <row r="43" spans="1:2">
      <c r="A43" s="2" t="s">
        <v>290</v>
      </c>
      <c r="B43" s="9">
        <v>8</v>
      </c>
    </row>
    <row r="44" spans="1:2">
      <c r="A44" s="2" t="s">
        <v>291</v>
      </c>
      <c r="B44" s="9">
        <v>25</v>
      </c>
    </row>
    <row r="45" spans="1:2">
      <c r="A45" s="2" t="s">
        <v>292</v>
      </c>
      <c r="B45" s="9">
        <v>42</v>
      </c>
    </row>
    <row r="46" spans="1:2">
      <c r="A46" s="2" t="s">
        <v>293</v>
      </c>
      <c r="B46" s="9">
        <v>16</v>
      </c>
    </row>
    <row r="47" spans="1:2">
      <c r="A47" s="2" t="s">
        <v>294</v>
      </c>
      <c r="B47" s="9">
        <v>33</v>
      </c>
    </row>
    <row r="48" spans="1:2">
      <c r="A48" s="6" t="s">
        <v>295</v>
      </c>
      <c r="B48" s="10">
        <f>B18+SUM(B19:B23)-SUM(B24:B47)</f>
        <v>313</v>
      </c>
    </row>
    <row r="49" spans="1:2">
      <c r="A49" s="2" t="s">
        <v>296</v>
      </c>
      <c r="B49" s="9">
        <v>24</v>
      </c>
    </row>
    <row r="50" spans="1:2">
      <c r="A50" s="2" t="s">
        <v>297</v>
      </c>
      <c r="B50" s="9">
        <v>41</v>
      </c>
    </row>
    <row r="51" spans="1:2">
      <c r="A51" s="2" t="s">
        <v>298</v>
      </c>
      <c r="B51" s="9">
        <v>15</v>
      </c>
    </row>
    <row r="52" spans="1:2">
      <c r="A52" s="2" t="s">
        <v>299</v>
      </c>
      <c r="B52" s="9">
        <v>32</v>
      </c>
    </row>
    <row r="53" spans="1:2">
      <c r="A53" s="2" t="s">
        <v>300</v>
      </c>
      <c r="B53" s="9">
        <v>49</v>
      </c>
    </row>
    <row r="54" spans="1:2">
      <c r="A54" s="2" t="s">
        <v>301</v>
      </c>
      <c r="B54" s="9">
        <v>23</v>
      </c>
    </row>
    <row r="55" spans="1:2">
      <c r="A55" s="2" t="s">
        <v>302</v>
      </c>
      <c r="B55" s="9">
        <v>40</v>
      </c>
    </row>
    <row r="56" spans="1:2">
      <c r="A56" s="2" t="s">
        <v>303</v>
      </c>
      <c r="B56" s="9">
        <v>14</v>
      </c>
    </row>
    <row r="57" spans="1:2">
      <c r="A57" s="2" t="s">
        <v>304</v>
      </c>
      <c r="B57" s="9">
        <v>31</v>
      </c>
    </row>
    <row r="58" spans="1:2">
      <c r="A58" s="2" t="s">
        <v>305</v>
      </c>
      <c r="B58" s="9">
        <v>48</v>
      </c>
    </row>
    <row r="59" spans="1:2">
      <c r="A59" s="2" t="s">
        <v>306</v>
      </c>
      <c r="B59" s="9">
        <v>22</v>
      </c>
    </row>
    <row r="60" spans="1:2">
      <c r="A60" s="2" t="s">
        <v>307</v>
      </c>
      <c r="B60" s="9">
        <v>39</v>
      </c>
    </row>
    <row r="61" spans="1:2">
      <c r="A61" s="2" t="s">
        <v>308</v>
      </c>
      <c r="B61" s="9">
        <v>13</v>
      </c>
    </row>
    <row r="62" spans="1:2">
      <c r="A62" s="2" t="s">
        <v>309</v>
      </c>
      <c r="B62" s="9">
        <v>30</v>
      </c>
    </row>
    <row r="63" spans="1:2">
      <c r="A63" s="2" t="s">
        <v>310</v>
      </c>
      <c r="B63" s="9">
        <v>47</v>
      </c>
    </row>
    <row r="64" spans="1:2">
      <c r="A64" s="6" t="s">
        <v>311</v>
      </c>
      <c r="B64" s="10">
        <f>SUM(B49:B52)-SUM(B53:B63)</f>
        <v>-244</v>
      </c>
    </row>
    <row r="65" spans="1:2">
      <c r="A65" s="2" t="s">
        <v>312</v>
      </c>
      <c r="B65" s="9">
        <v>38</v>
      </c>
    </row>
    <row r="66" spans="1:2">
      <c r="A66" s="2" t="s">
        <v>313</v>
      </c>
      <c r="B66" s="9">
        <v>12</v>
      </c>
    </row>
    <row r="67" spans="1:2">
      <c r="A67" s="2" t="s">
        <v>314</v>
      </c>
      <c r="B67" s="9">
        <v>29</v>
      </c>
    </row>
    <row r="68" spans="1:2">
      <c r="A68" s="2" t="s">
        <v>315</v>
      </c>
      <c r="B68" s="9">
        <v>46</v>
      </c>
    </row>
    <row r="69" spans="1:2">
      <c r="A69" s="2" t="s">
        <v>316</v>
      </c>
      <c r="B69" s="9">
        <v>20</v>
      </c>
    </row>
    <row r="70" spans="1:2">
      <c r="A70" s="2" t="s">
        <v>317</v>
      </c>
      <c r="B70" s="9">
        <v>37</v>
      </c>
    </row>
    <row r="71" spans="1:2">
      <c r="A71" s="2" t="s">
        <v>318</v>
      </c>
      <c r="B71" s="9">
        <v>11</v>
      </c>
    </row>
    <row r="72" spans="1:2">
      <c r="A72" s="2" t="s">
        <v>319</v>
      </c>
      <c r="B72" s="9">
        <v>28</v>
      </c>
    </row>
    <row r="73" spans="1:2">
      <c r="A73" s="2" t="s">
        <v>320</v>
      </c>
      <c r="B73" s="9">
        <v>45</v>
      </c>
    </row>
    <row r="74" spans="1:2">
      <c r="A74" s="2" t="s">
        <v>321</v>
      </c>
      <c r="B74" s="9">
        <v>19</v>
      </c>
    </row>
    <row r="75" spans="1:2">
      <c r="A75" s="2" t="s">
        <v>322</v>
      </c>
      <c r="B75" s="9">
        <v>36</v>
      </c>
    </row>
    <row r="76" spans="1:2">
      <c r="A76" s="2" t="s">
        <v>323</v>
      </c>
      <c r="B76" s="9">
        <v>10</v>
      </c>
    </row>
    <row r="77" spans="1:2">
      <c r="A77" s="2" t="s">
        <v>324</v>
      </c>
      <c r="B77" s="9">
        <v>27</v>
      </c>
    </row>
    <row r="78" spans="1:2">
      <c r="A78" s="2" t="s">
        <v>325</v>
      </c>
      <c r="B78" s="9">
        <f>SUM(B67:B77)</f>
        <v>308</v>
      </c>
    </row>
    <row r="79" spans="1:2">
      <c r="A79" s="2" t="s">
        <v>326</v>
      </c>
      <c r="B79" s="9">
        <v>18</v>
      </c>
    </row>
    <row r="80" spans="1:2">
      <c r="A80" s="2" t="s">
        <v>327</v>
      </c>
      <c r="B80" s="9">
        <v>35</v>
      </c>
    </row>
    <row r="81" spans="1:2">
      <c r="A81" s="2" t="s">
        <v>328</v>
      </c>
      <c r="B81" s="9">
        <v>9</v>
      </c>
    </row>
    <row r="82" spans="1:2">
      <c r="A82" s="2" t="s">
        <v>329</v>
      </c>
      <c r="B82" s="9">
        <v>26</v>
      </c>
    </row>
    <row r="83" spans="1:2">
      <c r="A83" s="2" t="s">
        <v>330</v>
      </c>
      <c r="B83" s="9">
        <v>43</v>
      </c>
    </row>
    <row r="84" spans="1:2">
      <c r="A84" s="2" t="s">
        <v>331</v>
      </c>
      <c r="B84" s="9">
        <v>17</v>
      </c>
    </row>
    <row r="85" spans="1:2">
      <c r="A85" s="2" t="s">
        <v>332</v>
      </c>
      <c r="B85" s="9">
        <v>34</v>
      </c>
    </row>
    <row r="86" spans="1:2">
      <c r="A86" s="2" t="s">
        <v>333</v>
      </c>
      <c r="B86" s="9">
        <v>8</v>
      </c>
    </row>
    <row r="87" spans="1:2">
      <c r="A87" s="2" t="s">
        <v>334</v>
      </c>
      <c r="B87" s="9">
        <f>SUM(B79:B86)</f>
        <v>190</v>
      </c>
    </row>
    <row r="88" spans="1:2">
      <c r="A88" s="6" t="s">
        <v>335</v>
      </c>
      <c r="B88" s="10">
        <f>B48+B64+B78+B87+B65+B66</f>
        <v>617</v>
      </c>
    </row>
    <row r="89" spans="1:2">
      <c r="A89" s="2" t="s">
        <v>336</v>
      </c>
      <c r="B89" s="9">
        <v>16</v>
      </c>
    </row>
    <row r="90" spans="1:2">
      <c r="A90" s="2" t="s">
        <v>337</v>
      </c>
      <c r="B90" s="9">
        <v>33</v>
      </c>
    </row>
    <row r="91" spans="1:2">
      <c r="A91" s="2" t="s">
        <v>338</v>
      </c>
      <c r="B91" s="9">
        <v>50</v>
      </c>
    </row>
    <row r="92" spans="1:2">
      <c r="A92" s="6" t="s">
        <v>339</v>
      </c>
      <c r="B92" s="10">
        <f>SUM(B89:B91)</f>
        <v>99</v>
      </c>
    </row>
    <row r="93" spans="1:2">
      <c r="A93" s="2" t="s">
        <v>340</v>
      </c>
      <c r="B93" s="9">
        <f>B88-B92</f>
        <v>518</v>
      </c>
    </row>
    <row r="94" spans="1:2">
      <c r="A94" s="2" t="s">
        <v>341</v>
      </c>
      <c r="B94" s="9">
        <v>15</v>
      </c>
    </row>
    <row r="95" spans="1:2">
      <c r="A95" s="2" t="s">
        <v>342</v>
      </c>
      <c r="B95" s="9">
        <v>32</v>
      </c>
    </row>
    <row r="96" spans="1:2">
      <c r="A96" s="2" t="s">
        <v>343</v>
      </c>
      <c r="B96" s="9">
        <v>49</v>
      </c>
    </row>
    <row r="97" spans="1:2">
      <c r="A97" s="6" t="s">
        <v>344</v>
      </c>
      <c r="B97" s="10">
        <f>B93+SUM(B94:B96)</f>
        <v>614</v>
      </c>
    </row>
    <row r="98" spans="1:2">
      <c r="A98" s="11" t="s">
        <v>345</v>
      </c>
      <c r="B98" s="12"/>
    </row>
    <row r="99" spans="1:2">
      <c r="A99" s="2" t="s">
        <v>346</v>
      </c>
      <c r="B99" s="9">
        <v>14</v>
      </c>
    </row>
    <row r="100" spans="1:2">
      <c r="A100" s="2" t="s">
        <v>347</v>
      </c>
      <c r="B100" s="9">
        <v>31</v>
      </c>
    </row>
    <row r="101" spans="1:2">
      <c r="A101" s="2" t="s">
        <v>348</v>
      </c>
      <c r="B101" s="9">
        <v>48</v>
      </c>
    </row>
    <row r="102" spans="1:2">
      <c r="A102" s="2" t="s">
        <v>349</v>
      </c>
      <c r="B102" s="9">
        <v>22</v>
      </c>
    </row>
    <row r="103" spans="1:2">
      <c r="A103" s="2" t="s">
        <v>350</v>
      </c>
      <c r="B103" s="9">
        <v>39</v>
      </c>
    </row>
    <row r="104" spans="1:2">
      <c r="A104" s="2" t="s">
        <v>351</v>
      </c>
      <c r="B104" s="9">
        <v>13</v>
      </c>
    </row>
    <row r="105" spans="1:2">
      <c r="A105" s="2" t="s">
        <v>352</v>
      </c>
      <c r="B105" s="9">
        <v>30</v>
      </c>
    </row>
    <row r="106" spans="1:2">
      <c r="A106" s="6" t="s">
        <v>353</v>
      </c>
      <c r="B106" s="10">
        <f>SUM(B99:B105)</f>
        <v>197</v>
      </c>
    </row>
    <row r="107" spans="1:2">
      <c r="A107" s="11" t="s">
        <v>354</v>
      </c>
      <c r="B107" s="12"/>
    </row>
    <row r="108" spans="1:2">
      <c r="A108" s="2" t="s">
        <v>355</v>
      </c>
      <c r="B108" s="9">
        <v>38</v>
      </c>
    </row>
    <row r="109" spans="1:2">
      <c r="A109" s="2" t="s">
        <v>356</v>
      </c>
      <c r="B109" s="9">
        <v>12</v>
      </c>
    </row>
    <row r="110" spans="1:2">
      <c r="A110" s="2" t="s">
        <v>357</v>
      </c>
      <c r="B110" s="9">
        <v>29</v>
      </c>
    </row>
    <row r="111" spans="1:2">
      <c r="A111" s="2" t="s">
        <v>358</v>
      </c>
      <c r="B111" s="9">
        <v>46</v>
      </c>
    </row>
    <row r="112" spans="1:2">
      <c r="A112" s="2" t="s">
        <v>359</v>
      </c>
      <c r="B112" s="9">
        <v>20</v>
      </c>
    </row>
    <row r="113" spans="1:2">
      <c r="A113" s="2" t="s">
        <v>360</v>
      </c>
      <c r="B113" s="9">
        <v>37</v>
      </c>
    </row>
    <row r="114" spans="1:2">
      <c r="A114" s="2" t="s">
        <v>361</v>
      </c>
      <c r="B114" s="9">
        <v>11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2314-7754-44BF-82D9-17DB8426F44E}">
  <dimension ref="A1:B85"/>
  <sheetViews>
    <sheetView showFormulas="1" topLeftCell="A64" workbookViewId="0">
      <selection activeCell="B3" sqref="B3"/>
    </sheetView>
  </sheetViews>
  <sheetFormatPr defaultRowHeight="15.75"/>
  <cols>
    <col min="1" max="1" width="50" customWidth="1"/>
    <col min="2" max="2" width="18.375" customWidth="1"/>
  </cols>
  <sheetData>
    <row r="1" spans="1:2">
      <c r="A1" s="21" t="s">
        <v>362</v>
      </c>
      <c r="B1" s="21"/>
    </row>
    <row r="2" spans="1:2">
      <c r="A2" s="22" t="s">
        <v>1</v>
      </c>
      <c r="B2" s="22"/>
    </row>
    <row r="3" spans="1:2">
      <c r="A3" s="2"/>
      <c r="B3" s="2"/>
    </row>
    <row r="4" spans="1:2">
      <c r="A4" s="3" t="s">
        <v>36</v>
      </c>
      <c r="B4" s="3" t="s">
        <v>37</v>
      </c>
    </row>
    <row r="5" spans="1:2">
      <c r="A5" s="7" t="s">
        <v>363</v>
      </c>
      <c r="B5" s="8"/>
    </row>
    <row r="6" spans="1:2">
      <c r="A6" s="2" t="s">
        <v>364</v>
      </c>
      <c r="B6" s="9">
        <v>-21</v>
      </c>
    </row>
    <row r="7" spans="1:2">
      <c r="A7" s="2" t="s">
        <v>365</v>
      </c>
      <c r="B7" s="9">
        <v>38</v>
      </c>
    </row>
    <row r="8" spans="1:2">
      <c r="A8" s="2" t="s">
        <v>366</v>
      </c>
      <c r="B8" s="9">
        <v>12</v>
      </c>
    </row>
    <row r="9" spans="1:2">
      <c r="A9" s="2" t="s">
        <v>367</v>
      </c>
      <c r="B9" s="9">
        <v>-29</v>
      </c>
    </row>
    <row r="10" spans="1:2">
      <c r="A10" s="2" t="s">
        <v>368</v>
      </c>
      <c r="B10" s="9">
        <v>46</v>
      </c>
    </row>
    <row r="11" spans="1:2">
      <c r="A11" s="2" t="s">
        <v>369</v>
      </c>
      <c r="B11" s="9">
        <v>20</v>
      </c>
    </row>
    <row r="12" spans="1:2">
      <c r="A12" s="2" t="s">
        <v>370</v>
      </c>
      <c r="B12" s="9">
        <v>-37</v>
      </c>
    </row>
    <row r="13" spans="1:2">
      <c r="A13" s="2" t="s">
        <v>371</v>
      </c>
      <c r="B13" s="9">
        <v>11</v>
      </c>
    </row>
    <row r="14" spans="1:2">
      <c r="A14" s="2" t="s">
        <v>372</v>
      </c>
      <c r="B14" s="9">
        <v>28</v>
      </c>
    </row>
    <row r="15" spans="1:2">
      <c r="A15" s="2" t="s">
        <v>373</v>
      </c>
      <c r="B15" s="9">
        <v>-45</v>
      </c>
    </row>
    <row r="16" spans="1:2">
      <c r="A16" s="2" t="s">
        <v>374</v>
      </c>
      <c r="B16" s="9">
        <v>19</v>
      </c>
    </row>
    <row r="17" spans="1:2">
      <c r="A17" s="2" t="s">
        <v>375</v>
      </c>
      <c r="B17" s="9">
        <v>36</v>
      </c>
    </row>
    <row r="18" spans="1:2">
      <c r="A18" s="2" t="s">
        <v>376</v>
      </c>
      <c r="B18" s="9">
        <v>-10</v>
      </c>
    </row>
    <row r="19" spans="1:2">
      <c r="A19" s="2" t="s">
        <v>377</v>
      </c>
      <c r="B19" s="9">
        <v>27</v>
      </c>
    </row>
    <row r="20" spans="1:2">
      <c r="A20" s="2" t="s">
        <v>378</v>
      </c>
      <c r="B20" s="9">
        <v>44</v>
      </c>
    </row>
    <row r="21" spans="1:2">
      <c r="A21" s="2" t="s">
        <v>379</v>
      </c>
      <c r="B21" s="9">
        <v>-18</v>
      </c>
    </row>
    <row r="22" spans="1:2">
      <c r="A22" s="2" t="s">
        <v>380</v>
      </c>
      <c r="B22" s="9">
        <v>35</v>
      </c>
    </row>
    <row r="23" spans="1:2">
      <c r="A23" s="2" t="s">
        <v>381</v>
      </c>
      <c r="B23" s="9">
        <v>9</v>
      </c>
    </row>
    <row r="24" spans="1:2">
      <c r="A24" s="2" t="s">
        <v>382</v>
      </c>
      <c r="B24" s="9">
        <v>-26</v>
      </c>
    </row>
    <row r="25" spans="1:2">
      <c r="A25" s="2" t="s">
        <v>383</v>
      </c>
      <c r="B25" s="9">
        <v>43</v>
      </c>
    </row>
    <row r="26" spans="1:2">
      <c r="A26" s="2" t="s">
        <v>384</v>
      </c>
      <c r="B26" s="9">
        <v>17</v>
      </c>
    </row>
    <row r="27" spans="1:2">
      <c r="A27" s="2" t="s">
        <v>385</v>
      </c>
      <c r="B27" s="9">
        <v>-34</v>
      </c>
    </row>
    <row r="28" spans="1:2">
      <c r="A28" s="2" t="s">
        <v>386</v>
      </c>
      <c r="B28" s="9">
        <v>8</v>
      </c>
    </row>
    <row r="29" spans="1:2">
      <c r="A29" s="2" t="s">
        <v>387</v>
      </c>
      <c r="B29" s="9">
        <v>25</v>
      </c>
    </row>
    <row r="30" spans="1:2">
      <c r="A30" s="2" t="s">
        <v>388</v>
      </c>
      <c r="B30" s="9">
        <v>-42</v>
      </c>
    </row>
    <row r="31" spans="1:2">
      <c r="A31" s="2" t="s">
        <v>389</v>
      </c>
      <c r="B31" s="9">
        <v>16</v>
      </c>
    </row>
    <row r="32" spans="1:2">
      <c r="A32" s="2" t="s">
        <v>390</v>
      </c>
      <c r="B32" s="9">
        <v>33</v>
      </c>
    </row>
    <row r="33" spans="1:2">
      <c r="A33" s="2" t="s">
        <v>391</v>
      </c>
      <c r="B33" s="9">
        <v>-7</v>
      </c>
    </row>
    <row r="34" spans="1:2">
      <c r="A34" s="2" t="s">
        <v>392</v>
      </c>
      <c r="B34" s="9">
        <v>24</v>
      </c>
    </row>
    <row r="35" spans="1:2">
      <c r="A35" s="2" t="s">
        <v>393</v>
      </c>
      <c r="B35" s="9">
        <v>41</v>
      </c>
    </row>
    <row r="36" spans="1:2">
      <c r="A36" s="2" t="s">
        <v>394</v>
      </c>
      <c r="B36" s="9">
        <v>-15</v>
      </c>
    </row>
    <row r="37" spans="1:2">
      <c r="A37" s="6" t="s">
        <v>395</v>
      </c>
      <c r="B37" s="10">
        <f>SUM(B6:B36)</f>
        <v>248</v>
      </c>
    </row>
    <row r="38" spans="1:2">
      <c r="A38" s="11" t="s">
        <v>396</v>
      </c>
      <c r="B38" s="12"/>
    </row>
    <row r="39" spans="1:2">
      <c r="A39" s="2" t="s">
        <v>397</v>
      </c>
      <c r="B39" s="9">
        <v>-23</v>
      </c>
    </row>
    <row r="40" spans="1:2">
      <c r="A40" s="2" t="s">
        <v>398</v>
      </c>
      <c r="B40" s="9">
        <v>40</v>
      </c>
    </row>
    <row r="41" spans="1:2">
      <c r="A41" s="2" t="s">
        <v>399</v>
      </c>
      <c r="B41" s="9">
        <v>14</v>
      </c>
    </row>
    <row r="42" spans="1:2">
      <c r="A42" s="2" t="s">
        <v>400</v>
      </c>
      <c r="B42" s="9">
        <v>-31</v>
      </c>
    </row>
    <row r="43" spans="1:2">
      <c r="A43" s="2" t="s">
        <v>401</v>
      </c>
      <c r="B43" s="9">
        <v>5</v>
      </c>
    </row>
    <row r="44" spans="1:2">
      <c r="A44" s="6" t="s">
        <v>402</v>
      </c>
      <c r="B44" s="10">
        <f>SUM(B39:B43)</f>
        <v>5</v>
      </c>
    </row>
    <row r="45" spans="1:2">
      <c r="A45" s="11" t="s">
        <v>403</v>
      </c>
      <c r="B45" s="12"/>
    </row>
    <row r="46" spans="1:2">
      <c r="A46" s="2" t="s">
        <v>404</v>
      </c>
      <c r="B46" s="9">
        <v>13</v>
      </c>
    </row>
    <row r="47" spans="1:2">
      <c r="A47" s="2" t="s">
        <v>405</v>
      </c>
      <c r="B47" s="9">
        <v>30</v>
      </c>
    </row>
    <row r="48" spans="1:2">
      <c r="A48" s="2" t="s">
        <v>406</v>
      </c>
      <c r="B48" s="9">
        <v>-47</v>
      </c>
    </row>
    <row r="49" spans="1:2">
      <c r="A49" s="2" t="s">
        <v>407</v>
      </c>
      <c r="B49" s="9">
        <v>21</v>
      </c>
    </row>
    <row r="50" spans="1:2">
      <c r="A50" s="2" t="s">
        <v>408</v>
      </c>
      <c r="B50" s="9">
        <v>38</v>
      </c>
    </row>
    <row r="51" spans="1:2">
      <c r="A51" s="2" t="s">
        <v>409</v>
      </c>
      <c r="B51" s="9">
        <v>-12</v>
      </c>
    </row>
    <row r="52" spans="1:2">
      <c r="A52" s="2" t="s">
        <v>410</v>
      </c>
      <c r="B52" s="9">
        <v>29</v>
      </c>
    </row>
    <row r="53" spans="1:2">
      <c r="A53" s="2" t="s">
        <v>411</v>
      </c>
      <c r="B53" s="9">
        <v>46</v>
      </c>
    </row>
    <row r="54" spans="1:2">
      <c r="A54" s="2" t="s">
        <v>412</v>
      </c>
      <c r="B54" s="9">
        <v>-20</v>
      </c>
    </row>
    <row r="55" spans="1:2">
      <c r="A55" s="2" t="s">
        <v>413</v>
      </c>
      <c r="B55" s="9">
        <v>37</v>
      </c>
    </row>
    <row r="56" spans="1:2">
      <c r="A56" s="2" t="s">
        <v>414</v>
      </c>
      <c r="B56" s="9">
        <v>11</v>
      </c>
    </row>
    <row r="57" spans="1:2">
      <c r="A57" s="2" t="s">
        <v>415</v>
      </c>
      <c r="B57" s="9">
        <v>-28</v>
      </c>
    </row>
    <row r="58" spans="1:2">
      <c r="A58" s="2" t="s">
        <v>416</v>
      </c>
      <c r="B58" s="9">
        <v>45</v>
      </c>
    </row>
    <row r="59" spans="1:2">
      <c r="A59" s="2" t="s">
        <v>417</v>
      </c>
      <c r="B59" s="9">
        <v>19</v>
      </c>
    </row>
    <row r="60" spans="1:2">
      <c r="A60" s="2" t="s">
        <v>418</v>
      </c>
      <c r="B60" s="9">
        <v>-36</v>
      </c>
    </row>
    <row r="61" spans="1:2">
      <c r="A61" s="2" t="s">
        <v>419</v>
      </c>
      <c r="B61" s="9">
        <v>10</v>
      </c>
    </row>
    <row r="62" spans="1:2">
      <c r="A62" s="2" t="s">
        <v>420</v>
      </c>
      <c r="B62" s="9">
        <v>27</v>
      </c>
    </row>
    <row r="63" spans="1:2">
      <c r="A63" s="2" t="s">
        <v>421</v>
      </c>
      <c r="B63" s="9">
        <v>-44</v>
      </c>
    </row>
    <row r="64" spans="1:2">
      <c r="A64" s="2" t="s">
        <v>422</v>
      </c>
      <c r="B64" s="9">
        <v>18</v>
      </c>
    </row>
    <row r="65" spans="1:2">
      <c r="A65" s="2" t="s">
        <v>423</v>
      </c>
      <c r="B65" s="9">
        <v>35</v>
      </c>
    </row>
    <row r="66" spans="1:2">
      <c r="A66" s="6" t="s">
        <v>424</v>
      </c>
      <c r="B66" s="10">
        <f>SUM(B46:B65)</f>
        <v>192</v>
      </c>
    </row>
    <row r="67" spans="1:2">
      <c r="A67" s="11" t="s">
        <v>425</v>
      </c>
      <c r="B67" s="12"/>
    </row>
    <row r="68" spans="1:2">
      <c r="A68" s="2" t="s">
        <v>426</v>
      </c>
      <c r="B68" s="9">
        <v>43</v>
      </c>
    </row>
    <row r="69" spans="1:2">
      <c r="A69" s="2" t="s">
        <v>427</v>
      </c>
      <c r="B69" s="9">
        <v>-17</v>
      </c>
    </row>
    <row r="70" spans="1:2">
      <c r="A70" s="2" t="s">
        <v>428</v>
      </c>
      <c r="B70" s="9">
        <v>34</v>
      </c>
    </row>
    <row r="71" spans="1:2">
      <c r="A71" s="2" t="s">
        <v>429</v>
      </c>
      <c r="B71" s="9">
        <v>8</v>
      </c>
    </row>
    <row r="72" spans="1:2">
      <c r="A72" s="2" t="s">
        <v>430</v>
      </c>
      <c r="B72" s="9">
        <v>-25</v>
      </c>
    </row>
    <row r="73" spans="1:2">
      <c r="A73" s="2" t="s">
        <v>431</v>
      </c>
      <c r="B73" s="9">
        <v>42</v>
      </c>
    </row>
    <row r="74" spans="1:2">
      <c r="A74" s="2" t="s">
        <v>432</v>
      </c>
      <c r="B74" s="9">
        <v>16</v>
      </c>
    </row>
    <row r="75" spans="1:2">
      <c r="A75" s="2" t="s">
        <v>433</v>
      </c>
      <c r="B75" s="9">
        <v>-33</v>
      </c>
    </row>
    <row r="76" spans="1:2">
      <c r="A76" s="2" t="s">
        <v>434</v>
      </c>
      <c r="B76" s="9">
        <v>7</v>
      </c>
    </row>
    <row r="77" spans="1:2">
      <c r="A77" s="2" t="s">
        <v>435</v>
      </c>
      <c r="B77" s="9">
        <v>24</v>
      </c>
    </row>
    <row r="78" spans="1:2">
      <c r="A78" s="2" t="s">
        <v>436</v>
      </c>
      <c r="B78" s="9">
        <v>-41</v>
      </c>
    </row>
    <row r="79" spans="1:2">
      <c r="A79" s="2" t="s">
        <v>437</v>
      </c>
      <c r="B79" s="9">
        <v>15</v>
      </c>
    </row>
    <row r="80" spans="1:2">
      <c r="A80" s="2" t="s">
        <v>438</v>
      </c>
      <c r="B80" s="9">
        <v>32</v>
      </c>
    </row>
    <row r="81" spans="1:2">
      <c r="A81" s="6" t="s">
        <v>439</v>
      </c>
      <c r="B81" s="10">
        <f>SUM(B68:B80)</f>
        <v>105</v>
      </c>
    </row>
    <row r="82" spans="1:2">
      <c r="A82" s="2" t="s">
        <v>440</v>
      </c>
      <c r="B82" s="9">
        <v>23</v>
      </c>
    </row>
    <row r="83" spans="1:2">
      <c r="A83" s="2" t="s">
        <v>441</v>
      </c>
      <c r="B83" s="9">
        <v>500</v>
      </c>
    </row>
    <row r="84" spans="1:2">
      <c r="A84" s="2" t="s">
        <v>442</v>
      </c>
      <c r="B84" s="9">
        <f>B83+B37+B66+B81+B82</f>
        <v>1068</v>
      </c>
    </row>
    <row r="85" spans="1:2">
      <c r="A85" s="2" t="s">
        <v>443</v>
      </c>
      <c r="B85" s="9">
        <f>B84-B83-B37-B66-B81-B82</f>
        <v>0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8A7F-FCFA-46E9-8715-900D5499809D}">
  <dimension ref="A1:B50"/>
  <sheetViews>
    <sheetView showFormulas="1" topLeftCell="A19" workbookViewId="0">
      <selection activeCell="U390" sqref="U390"/>
    </sheetView>
  </sheetViews>
  <sheetFormatPr defaultRowHeight="15.75"/>
  <cols>
    <col min="1" max="1" width="50" customWidth="1"/>
    <col min="2" max="2" width="18.375" customWidth="1"/>
  </cols>
  <sheetData>
    <row r="1" spans="1:2">
      <c r="A1" s="21" t="s">
        <v>444</v>
      </c>
      <c r="B1" s="21"/>
    </row>
    <row r="2" spans="1:2">
      <c r="A2" s="22" t="s">
        <v>1</v>
      </c>
      <c r="B2" s="22"/>
    </row>
    <row r="3" spans="1:2">
      <c r="A3" s="2"/>
      <c r="B3" s="2"/>
    </row>
    <row r="4" spans="1:2">
      <c r="A4" s="3" t="s">
        <v>445</v>
      </c>
      <c r="B4" s="3" t="s">
        <v>446</v>
      </c>
    </row>
    <row r="5" spans="1:2">
      <c r="A5" s="7" t="s">
        <v>447</v>
      </c>
      <c r="B5" s="8"/>
    </row>
    <row r="6" spans="1:2">
      <c r="A6" s="2" t="s">
        <v>448</v>
      </c>
      <c r="B6" s="9">
        <v>1</v>
      </c>
    </row>
    <row r="7" spans="1:2">
      <c r="A7" s="2" t="s">
        <v>449</v>
      </c>
      <c r="B7" s="9">
        <v>1</v>
      </c>
    </row>
    <row r="8" spans="1:2">
      <c r="A8" s="2" t="s">
        <v>450</v>
      </c>
      <c r="B8" s="9">
        <v>100000</v>
      </c>
    </row>
    <row r="9" spans="1:2">
      <c r="A9" s="2" t="s">
        <v>451</v>
      </c>
      <c r="B9" s="9">
        <v>0</v>
      </c>
    </row>
    <row r="10" spans="1:2">
      <c r="A10" s="2" t="s">
        <v>452</v>
      </c>
      <c r="B10" s="9">
        <v>250</v>
      </c>
    </row>
    <row r="11" spans="1:2">
      <c r="A11" s="2" t="s">
        <v>453</v>
      </c>
      <c r="B11" s="9">
        <v>16</v>
      </c>
    </row>
    <row r="12" spans="1:2">
      <c r="A12" s="2" t="s">
        <v>454</v>
      </c>
      <c r="B12" s="9">
        <v>33</v>
      </c>
    </row>
    <row r="13" spans="1:2">
      <c r="A13" s="2" t="s">
        <v>455</v>
      </c>
      <c r="B13" s="9">
        <v>7</v>
      </c>
    </row>
    <row r="14" spans="1:2">
      <c r="A14" s="2" t="s">
        <v>456</v>
      </c>
      <c r="B14" s="9">
        <v>24</v>
      </c>
    </row>
    <row r="15" spans="1:2">
      <c r="A15" s="2" t="s">
        <v>457</v>
      </c>
      <c r="B15" s="9">
        <v>41</v>
      </c>
    </row>
    <row r="16" spans="1:2">
      <c r="A16" s="2" t="s">
        <v>458</v>
      </c>
      <c r="B16" s="9">
        <v>15</v>
      </c>
    </row>
    <row r="17" spans="1:2">
      <c r="A17" s="2" t="s">
        <v>459</v>
      </c>
      <c r="B17" s="9">
        <v>32</v>
      </c>
    </row>
    <row r="18" spans="1:2">
      <c r="A18" s="11" t="s">
        <v>460</v>
      </c>
      <c r="B18" s="12"/>
    </row>
    <row r="19" spans="1:2">
      <c r="A19" s="2" t="s">
        <v>461</v>
      </c>
      <c r="B19" s="9">
        <v>23</v>
      </c>
    </row>
    <row r="20" spans="1:2">
      <c r="A20" s="2" t="s">
        <v>462</v>
      </c>
      <c r="B20" s="9">
        <v>40</v>
      </c>
    </row>
    <row r="21" spans="1:2">
      <c r="A21" s="2" t="s">
        <v>463</v>
      </c>
      <c r="B21" s="9">
        <v>14</v>
      </c>
    </row>
    <row r="22" spans="1:2">
      <c r="A22" s="11" t="s">
        <v>464</v>
      </c>
      <c r="B22" s="12"/>
    </row>
    <row r="23" spans="1:2">
      <c r="A23" s="2" t="s">
        <v>465</v>
      </c>
      <c r="B23" s="9">
        <v>5</v>
      </c>
    </row>
    <row r="24" spans="1:2">
      <c r="A24" s="2" t="s">
        <v>466</v>
      </c>
      <c r="B24" s="20">
        <v>22</v>
      </c>
    </row>
    <row r="25" spans="1:2">
      <c r="A25" s="2" t="s">
        <v>467</v>
      </c>
      <c r="B25" s="20">
        <v>39</v>
      </c>
    </row>
    <row r="26" spans="1:2">
      <c r="A26" s="2" t="s">
        <v>468</v>
      </c>
      <c r="B26" s="20">
        <v>13</v>
      </c>
    </row>
    <row r="27" spans="1:2">
      <c r="A27" s="2" t="s">
        <v>469</v>
      </c>
      <c r="B27" s="20">
        <v>30</v>
      </c>
    </row>
    <row r="28" spans="1:2">
      <c r="A28" s="2" t="s">
        <v>470</v>
      </c>
      <c r="B28" s="20">
        <v>4</v>
      </c>
    </row>
    <row r="29" spans="1:2">
      <c r="A29" s="2" t="s">
        <v>471</v>
      </c>
      <c r="B29" s="20">
        <v>21</v>
      </c>
    </row>
    <row r="30" spans="1:2">
      <c r="A30" s="2" t="s">
        <v>472</v>
      </c>
      <c r="B30" s="20">
        <v>38</v>
      </c>
    </row>
    <row r="31" spans="1:2">
      <c r="A31" s="2" t="s">
        <v>473</v>
      </c>
      <c r="B31" s="20">
        <v>12</v>
      </c>
    </row>
    <row r="32" spans="1:2">
      <c r="A32" s="2" t="s">
        <v>474</v>
      </c>
      <c r="B32" s="20">
        <v>29</v>
      </c>
    </row>
    <row r="33" spans="1:2">
      <c r="A33" s="2" t="s">
        <v>475</v>
      </c>
      <c r="B33" s="20">
        <v>3</v>
      </c>
    </row>
    <row r="34" spans="1:2">
      <c r="A34" s="2" t="s">
        <v>476</v>
      </c>
      <c r="B34" s="20">
        <v>20</v>
      </c>
    </row>
    <row r="35" spans="1:2">
      <c r="A35" s="2" t="s">
        <v>477</v>
      </c>
      <c r="B35" s="20">
        <v>37</v>
      </c>
    </row>
    <row r="36" spans="1:2">
      <c r="A36" s="2" t="s">
        <v>478</v>
      </c>
      <c r="B36" s="20">
        <v>11</v>
      </c>
    </row>
    <row r="37" spans="1:2">
      <c r="A37" s="2" t="s">
        <v>479</v>
      </c>
      <c r="B37" s="20">
        <v>28</v>
      </c>
    </row>
    <row r="38" spans="1:2">
      <c r="A38" s="2" t="s">
        <v>480</v>
      </c>
      <c r="B38" s="20">
        <v>2</v>
      </c>
    </row>
    <row r="39" spans="1:2">
      <c r="A39" s="2" t="s">
        <v>481</v>
      </c>
      <c r="B39" s="20">
        <v>19</v>
      </c>
    </row>
    <row r="40" spans="1:2">
      <c r="A40" s="2" t="s">
        <v>482</v>
      </c>
      <c r="B40" s="20">
        <v>36</v>
      </c>
    </row>
    <row r="41" spans="1:2">
      <c r="A41" s="2" t="s">
        <v>483</v>
      </c>
      <c r="B41" s="20">
        <v>10</v>
      </c>
    </row>
    <row r="42" spans="1:2">
      <c r="A42" s="2" t="s">
        <v>484</v>
      </c>
      <c r="B42" s="20">
        <v>27</v>
      </c>
    </row>
    <row r="43" spans="1:2">
      <c r="A43" s="2"/>
      <c r="B43" s="18"/>
    </row>
    <row r="44" spans="1:2">
      <c r="A44" s="23" t="s">
        <v>485</v>
      </c>
      <c r="B44" s="24"/>
    </row>
    <row r="45" spans="1:2">
      <c r="A45" s="2" t="s">
        <v>486</v>
      </c>
      <c r="B45" s="9">
        <v>35</v>
      </c>
    </row>
    <row r="46" spans="1:2">
      <c r="A46" s="2" t="s">
        <v>487</v>
      </c>
      <c r="B46" s="9">
        <v>9</v>
      </c>
    </row>
    <row r="47" spans="1:2">
      <c r="A47" s="2" t="s">
        <v>488</v>
      </c>
      <c r="B47" s="9">
        <v>26</v>
      </c>
    </row>
    <row r="48" spans="1:2">
      <c r="A48" s="2" t="s">
        <v>489</v>
      </c>
      <c r="B48" s="9">
        <v>43</v>
      </c>
    </row>
    <row r="49" spans="1:2">
      <c r="A49" s="2" t="s">
        <v>490</v>
      </c>
      <c r="B49" s="9">
        <f>SUM(B45:B48)</f>
        <v>113</v>
      </c>
    </row>
    <row r="50" spans="1:2">
      <c r="A50" s="2" t="s">
        <v>491</v>
      </c>
      <c r="B50" s="9">
        <v>34</v>
      </c>
    </row>
  </sheetData>
  <mergeCells count="3">
    <mergeCell ref="A1:B1"/>
    <mergeCell ref="A2:B2"/>
    <mergeCell ref="A44:B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5502-A9FA-45AC-BAE0-1DA919DF045E}">
  <dimension ref="A1:B13"/>
  <sheetViews>
    <sheetView topLeftCell="A3" workbookViewId="0">
      <selection activeCell="B10" sqref="B10"/>
    </sheetView>
  </sheetViews>
  <sheetFormatPr defaultRowHeight="15.75"/>
  <cols>
    <col min="1" max="1" width="33.375" customWidth="1"/>
    <col min="2" max="2" width="33.375" style="1" customWidth="1"/>
  </cols>
  <sheetData>
    <row r="1" spans="1:2">
      <c r="A1" s="21" t="s">
        <v>492</v>
      </c>
      <c r="B1" s="21"/>
    </row>
    <row r="2" spans="1:2">
      <c r="A2" s="22" t="s">
        <v>1</v>
      </c>
      <c r="B2" s="22"/>
    </row>
    <row r="3" spans="1:2">
      <c r="A3" s="2"/>
      <c r="B3" s="4"/>
    </row>
    <row r="4" spans="1:2">
      <c r="A4" s="3" t="s">
        <v>493</v>
      </c>
      <c r="B4" s="5" t="s">
        <v>494</v>
      </c>
    </row>
    <row r="5" spans="1:2">
      <c r="A5" s="7" t="s">
        <v>495</v>
      </c>
      <c r="B5" s="15"/>
    </row>
    <row r="6" spans="1:2" ht="40.5">
      <c r="A6" s="16" t="s">
        <v>496</v>
      </c>
      <c r="B6" s="17" t="s">
        <v>497</v>
      </c>
    </row>
    <row r="7" spans="1:2" ht="40.5">
      <c r="A7" s="16" t="s">
        <v>498</v>
      </c>
      <c r="B7" s="17" t="s">
        <v>499</v>
      </c>
    </row>
    <row r="8" spans="1:2" ht="40.5">
      <c r="A8" s="16" t="s">
        <v>500</v>
      </c>
      <c r="B8" s="17" t="s">
        <v>501</v>
      </c>
    </row>
    <row r="9" spans="1:2" ht="27">
      <c r="A9" s="16" t="s">
        <v>502</v>
      </c>
      <c r="B9" s="17" t="s">
        <v>503</v>
      </c>
    </row>
    <row r="10" spans="1:2" ht="40.5">
      <c r="A10" s="16" t="s">
        <v>504</v>
      </c>
      <c r="B10" s="17" t="s">
        <v>505</v>
      </c>
    </row>
    <row r="11" spans="1:2" ht="27">
      <c r="A11" s="2" t="s">
        <v>506</v>
      </c>
      <c r="B11" s="17" t="s">
        <v>507</v>
      </c>
    </row>
    <row r="12" spans="1:2" ht="27">
      <c r="A12" s="2" t="s">
        <v>508</v>
      </c>
      <c r="B12" s="17" t="s">
        <v>509</v>
      </c>
    </row>
    <row r="13" spans="1:2" ht="27">
      <c r="A13" s="2" t="s">
        <v>510</v>
      </c>
      <c r="B13" s="17" t="s">
        <v>511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羅玉芬</dc:creator>
  <cp:keywords/>
  <dc:description/>
  <cp:lastModifiedBy/>
  <cp:revision/>
  <dcterms:created xsi:type="dcterms:W3CDTF">2026-05-12T08:55:51Z</dcterms:created>
  <dcterms:modified xsi:type="dcterms:W3CDTF">2026-09-02T05:43:38Z</dcterms:modified>
  <cp:category/>
  <cp:contentStatus/>
</cp:coreProperties>
</file>