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cepts" sheetId="1" state="visible" r:id="rId1"/>
    <sheet xmlns:r="http://schemas.openxmlformats.org/officeDocument/2006/relationships" name="Sections" sheetId="2" state="visible" r:id="rId2"/>
    <sheet xmlns:r="http://schemas.openxmlformats.org/officeDocument/2006/relationships" name="Formula Dependencies" sheetId="3" state="visible" r:id="rId3"/>
    <sheet xmlns:r="http://schemas.openxmlformats.org/officeDocument/2006/relationships" name="Template Field Audit" sheetId="4" state="visible" r:id="rId4"/>
    <sheet xmlns:r="http://schemas.openxmlformats.org/officeDocument/2006/relationships" name="README" sheetId="5" state="visible" r:id="rId5"/>
  </sheets>
  <definedNames/>
  <calcPr calcId="124519" calcMode="auto" fullCalcOnLoad="1" forceFullCalc="1"/>
</workbook>
</file>

<file path=xl/styles.xml><?xml version="1.0" encoding="utf-8"?>
<styleSheet xmlns="http://schemas.openxmlformats.org/spreadsheetml/2006/main">
  <numFmts count="0"/>
  <fonts count="5">
    <font>
      <sz val="11"/>
      <color theme="1"/>
      <name val="Calibri"/>
      <family val="2"/>
      <scheme val="minor"/>
    </font>
    <font>
      <b val="1"/>
      <color rgb="00FFFFFF"/>
      <name val="Aptos"/>
    </font>
    <font>
      <sz val="9"/>
      <color rgb="00000000"/>
      <name val="Aptos"/>
    </font>
    <font>
      <b val="1"/>
      <color rgb="00006100"/>
      <name val="Aptos"/>
    </font>
    <font>
      <b val="1"/>
      <color rgb="007030A0"/>
      <name val="Aptos"/>
    </font>
  </fonts>
  <fills count="5">
    <fill>
      <patternFill/>
    </fill>
    <fill>
      <patternFill patternType="gray125"/>
    </fill>
    <fill>
      <patternFill patternType="solid">
        <fgColor rgb="0017365D"/>
      </patternFill>
    </fill>
    <fill>
      <patternFill patternType="solid">
        <fgColor rgb="00E2F0D9"/>
      </patternFill>
    </fill>
    <fill>
      <patternFill patternType="solid">
        <fgColor rgb="00E4DFE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3" borderId="0" applyAlignment="1" pivotButton="0" quotePrefix="0" xfId="0">
      <alignment vertical="top" wrapText="1"/>
    </xf>
    <xf numFmtId="0" fontId="4"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62"/>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48" customWidth="1" min="4" max="4"/>
    <col width="48" customWidth="1" min="5" max="5"/>
    <col width="48" customWidth="1" min="6" max="6"/>
    <col width="48" customWidth="1" min="7" max="7"/>
    <col width="15" customWidth="1" min="8" max="8"/>
    <col width="48" customWidth="1" min="9" max="9"/>
    <col width="48" customWidth="1" min="10" max="10"/>
    <col width="48" customWidth="1" min="11" max="11"/>
    <col width="48" customWidth="1" min="12" max="12"/>
    <col width="18" customWidth="1" min="13" max="13"/>
    <col width="16" customWidth="1" min="14" max="14"/>
    <col width="29" customWidth="1" min="15" max="15"/>
    <col width="17" customWidth="1" min="16" max="16"/>
    <col width="17" customWidth="1" min="17" max="17"/>
    <col width="14" customWidth="1" min="18" max="18"/>
    <col width="25" customWidth="1" min="19" max="19"/>
    <col width="12" customWidth="1" min="20" max="20"/>
    <col width="17" customWidth="1" min="21" max="21"/>
    <col width="48" customWidth="1" min="22" max="22"/>
    <col width="48" customWidth="1" min="23" max="23"/>
    <col width="48" customWidth="1" min="24" max="24"/>
    <col width="48" customWidth="1" min="25" max="25"/>
    <col width="48" customWidth="1" min="26" max="26"/>
    <col width="19" customWidth="1" min="27" max="27"/>
    <col width="13" customWidth="1" min="28" max="28"/>
    <col width="48" customWidth="1" min="29" max="29"/>
    <col width="48" customWidth="1" min="30" max="30"/>
    <col width="48" customWidth="1" min="31" max="31"/>
    <col width="48" customWidth="1" min="32" max="32"/>
    <col width="48" customWidth="1" min="33" max="33"/>
    <col width="48" customWidth="1" min="34" max="34"/>
    <col width="14" customWidth="1" min="35" max="35"/>
    <col width="48" customWidth="1" min="36" max="36"/>
    <col width="48" customWidth="1" min="38" max="38"/>
  </cols>
  <sheetData>
    <row r="1" ht="30" customHeight="1">
      <c r="A1" s="1" t="inlineStr">
        <is>
          <t>Canonical key</t>
        </is>
      </c>
      <c r="B1" s="1" t="inlineStr">
        <is>
          <t>Label</t>
        </is>
      </c>
      <c r="C1" s="1" t="inlineStr">
        <is>
          <t>Inherits (section)</t>
        </is>
      </c>
      <c r="D1" s="1" t="inlineStr">
        <is>
          <t>Definition — what this line MEANS</t>
        </is>
      </c>
      <c r="E1" s="1" t="inlineStr">
        <is>
          <t>Aliases</t>
        </is>
      </c>
      <c r="F1" s="1" t="inlineStr">
        <is>
          <t>Keyword hints</t>
        </is>
      </c>
      <c r="G1" s="1" t="inlineStr">
        <is>
          <t>Regex hints</t>
        </is>
      </c>
      <c r="H1" s="1" t="inlineStr">
        <is>
          <t>Exclude hints</t>
        </is>
      </c>
      <c r="I1" s="1" t="inlineStr">
        <is>
          <t>Include (belongs here)</t>
        </is>
      </c>
      <c r="J1" s="1" t="inlineStr">
        <is>
          <t>Exclude (does NOT belong here)</t>
        </is>
      </c>
      <c r="K1" s="1" t="inlineStr">
        <is>
          <t>Confusable with</t>
        </is>
      </c>
      <c r="L1" s="1" t="inlineStr">
        <is>
          <t>Sign convention</t>
        </is>
      </c>
      <c r="M1" s="1" t="inlineStr">
        <is>
          <t>Value scope</t>
        </is>
      </c>
      <c r="N1" s="1" t="inlineStr">
        <is>
          <t>Match priority</t>
        </is>
      </c>
      <c r="O1" s="1" t="inlineStr">
        <is>
          <t>Alias matching</t>
        </is>
      </c>
      <c r="P1" s="1" t="inlineStr">
        <is>
          <t>Extraction mode</t>
        </is>
      </c>
      <c r="Q1" s="1" t="inlineStr">
        <is>
          <t>Unit of account</t>
        </is>
      </c>
      <c r="R1" s="1" t="inlineStr">
        <is>
          <t>Temporality</t>
        </is>
      </c>
      <c r="S1" s="1" t="inlineStr">
        <is>
          <t>Note use</t>
        </is>
      </c>
      <c r="T1" s="1" t="inlineStr">
        <is>
          <t>Face only</t>
        </is>
      </c>
      <c r="U1" s="1" t="inlineStr">
        <is>
          <t>Is gross parent</t>
        </is>
      </c>
      <c r="V1" s="1" t="inlineStr">
        <is>
          <t>Children if decomposed</t>
        </is>
      </c>
      <c r="W1" s="1" t="inlineStr">
        <is>
          <t>Derivation</t>
        </is>
      </c>
      <c r="X1" s="1" t="inlineStr">
        <is>
          <t>Decomposition rule</t>
        </is>
      </c>
      <c r="Y1" s="1" t="inlineStr">
        <is>
          <t>Aggregation note</t>
        </is>
      </c>
      <c r="Z1" s="1" t="inlineStr">
        <is>
          <t>Section disambiguation</t>
        </is>
      </c>
      <c r="AA1" s="1" t="inlineStr">
        <is>
          <t>Sole component of</t>
        </is>
      </c>
      <c r="AB1" s="1" t="inlineStr">
        <is>
          <t>Never sweep</t>
        </is>
      </c>
      <c r="AC1" s="1" t="inlineStr">
        <is>
          <t>Expected components</t>
        </is>
      </c>
      <c r="AD1" s="1" t="inlineStr">
        <is>
          <t>Template note</t>
        </is>
      </c>
      <c r="AE1" s="1" t="inlineStr">
        <is>
          <t>Notes-as-source rationale</t>
        </is>
      </c>
      <c r="AF1" s="1" t="inlineStr">
        <is>
          <t>Residual policy (JSON)</t>
        </is>
      </c>
      <c r="AG1" s="1" t="inlineStr">
        <is>
          <t>Equivalence (JSON)</t>
        </is>
      </c>
      <c r="AH1" s="1" t="inlineStr">
        <is>
          <t>Aliases (en)</t>
        </is>
      </c>
      <c r="AI1" s="1" t="inlineStr">
        <is>
          <t>Aliases (zh)</t>
        </is>
      </c>
      <c r="AJ1" s="1" t="inlineStr">
        <is>
          <t>Other (JSON)</t>
        </is>
      </c>
    </row>
    <row r="2">
      <c r="A2" s="2" t="inlineStr">
        <is>
          <t>general__customers_name</t>
        </is>
      </c>
      <c r="B2" s="2" t="inlineStr">
        <is>
          <t>Customer's Name</t>
        </is>
      </c>
      <c r="C2" s="2" t="inlineStr">
        <is>
          <t>general</t>
        </is>
      </c>
      <c r="D2" s="2" t="inlineStr">
        <is>
          <t>Extract the reported value for 'Customer's Name' from the stated section. Do not calculate or replace it from other rows, because the revised template does not designate this field as formula-driven.</t>
        </is>
      </c>
      <c r="E2" s="2" t="inlineStr">
        <is>
          <t>Customer's Name</t>
        </is>
      </c>
      <c r="F2" s="2" t="inlineStr">
        <is>
          <t>Customer's Name</t>
        </is>
      </c>
      <c r="G2" s="2" t="inlineStr">
        <is>
          <t>^Customer's\s+Name$</t>
        </is>
      </c>
      <c r="H2" s="2" t="inlineStr"/>
      <c r="I2" s="2" t="inlineStr">
        <is>
          <t>Amounts or disclosures explicitly reported for Customer's Name in Statement Setup / general.</t>
        </is>
      </c>
      <c r="J2" s="2" t="inlineStr">
        <is>
          <t>Do not substitute another section, period, entity scope, currency or unit; do not double count a parent and its children.</t>
        </is>
      </c>
      <c r="K2" s="2" t="inlineStr"/>
      <c r="L2" s="2" t="inlineStr">
        <is>
          <t>as_reported</t>
        </is>
      </c>
      <c r="M2" s="2" t="inlineStr">
        <is>
          <t>direct_exclusive</t>
        </is>
      </c>
      <c r="N2" s="2" t="n">
        <v>90</v>
      </c>
      <c r="O2" s="2" t="inlineStr">
        <is>
          <t>normalized_exact_then_regex</t>
        </is>
      </c>
      <c r="P2" s="3" t="inlineStr">
        <is>
          <t>extract</t>
        </is>
      </c>
      <c r="Q2" s="2" t="inlineStr">
        <is>
          <t>text_or_enum</t>
        </is>
      </c>
      <c r="R2" s="2" t="inlineStr">
        <is>
          <t>as_disclosed</t>
        </is>
      </c>
      <c r="S2" s="2" t="inlineStr">
        <is>
          <t>allowed_with_provenance</t>
        </is>
      </c>
      <c r="T2" s="2" t="b">
        <v>0</v>
      </c>
      <c r="U2" s="2" t="b">
        <v>0</v>
      </c>
      <c r="V2" s="2" t="inlineStr"/>
      <c r="W2" s="2" t="inlineStr"/>
      <c r="X2" s="2" t="inlineStr">
        <is>
          <t>Decompose only from explicit face or note evidence; never fabricate a split.</t>
        </is>
      </c>
      <c r="Y2" s="2" t="inlineStr">
        <is>
          <t>Aggregate only mutually exclusive facts with identical period, scope, currency and unit.</t>
        </is>
      </c>
      <c r="Z2" s="2" t="inlineStr">
        <is>
          <t>Bind only to Statement Setup / general.</t>
        </is>
      </c>
      <c r="AA2" s="2" t="inlineStr"/>
      <c r="AB2" s="2" t="b">
        <v>1</v>
      </c>
      <c r="AC2" s="2" t="inlineStr"/>
      <c r="AD2" s="2" t="inlineStr">
        <is>
          <t>Exact field from Statement Setup!A5; value cell B5.</t>
        </is>
      </c>
      <c r="AE2" s="2" t="inlineStr">
        <is>
          <t>Notes may support direct extraction or decomposition with provenance. Formula outputs must be derived only from template dependencies.</t>
        </is>
      </c>
      <c r="AF2" s="2" t="inlineStr"/>
      <c r="AG2" s="2" t="inlineStr">
        <is>
          <t>[]</t>
        </is>
      </c>
      <c r="AH2" s="2" t="inlineStr">
        <is>
          <t>Customer's Name</t>
        </is>
      </c>
      <c r="AI2" s="2" t="inlineStr"/>
      <c r="AJ2" s="2" t="inlineStr">
        <is>
          <t>{"template_sheet": "Statement Setup", "template_row": 5, "template_cell": "B5", "template_value_or_formula": "AA", "calculation_type": "reported_input", "dependencies": [], "source_template": "Copy of Output_CSV Template.xlsx"}</t>
        </is>
      </c>
    </row>
    <row r="3">
      <c r="A3" s="2" t="inlineStr">
        <is>
          <t>general__customer_statement_type</t>
        </is>
      </c>
      <c r="B3" s="2" t="inlineStr">
        <is>
          <t>Customer Statement Type</t>
        </is>
      </c>
      <c r="C3" s="2" t="inlineStr">
        <is>
          <t>general</t>
        </is>
      </c>
      <c r="D3" s="2" t="inlineStr">
        <is>
          <t>Extract the reported value for 'Customer Statement Type' from the stated section. Do not calculate or replace it from other rows, because the revised template does not designate this field as formula-driven.</t>
        </is>
      </c>
      <c r="E3" s="2" t="inlineStr">
        <is>
          <t>Customer Statement Type</t>
        </is>
      </c>
      <c r="F3" s="2" t="inlineStr">
        <is>
          <t>Customer Statement Type</t>
        </is>
      </c>
      <c r="G3" s="2" t="inlineStr">
        <is>
          <t>^Customer\s+Statement\s+Type$</t>
        </is>
      </c>
      <c r="H3" s="2" t="inlineStr"/>
      <c r="I3" s="2" t="inlineStr">
        <is>
          <t>Amounts or disclosures explicitly reported for Customer Statement Type in Statement Setup / general.</t>
        </is>
      </c>
      <c r="J3" s="2" t="inlineStr">
        <is>
          <t>Do not substitute another section, period, entity scope, currency or unit; do not double count a parent and its children.</t>
        </is>
      </c>
      <c r="K3" s="2" t="inlineStr"/>
      <c r="L3" s="2" t="inlineStr">
        <is>
          <t>as_reported</t>
        </is>
      </c>
      <c r="M3" s="2" t="inlineStr">
        <is>
          <t>direct_exclusive</t>
        </is>
      </c>
      <c r="N3" s="2" t="n">
        <v>90</v>
      </c>
      <c r="O3" s="2" t="inlineStr">
        <is>
          <t>normalized_exact_then_regex</t>
        </is>
      </c>
      <c r="P3" s="3" t="inlineStr">
        <is>
          <t>extract</t>
        </is>
      </c>
      <c r="Q3" s="2" t="inlineStr">
        <is>
          <t>text_or_enum</t>
        </is>
      </c>
      <c r="R3" s="2" t="inlineStr">
        <is>
          <t>as_disclosed</t>
        </is>
      </c>
      <c r="S3" s="2" t="inlineStr">
        <is>
          <t>allowed_with_provenance</t>
        </is>
      </c>
      <c r="T3" s="2" t="b">
        <v>0</v>
      </c>
      <c r="U3" s="2" t="b">
        <v>0</v>
      </c>
      <c r="V3" s="2" t="inlineStr"/>
      <c r="W3" s="2" t="inlineStr"/>
      <c r="X3" s="2" t="inlineStr">
        <is>
          <t>Decompose only from explicit face or note evidence; never fabricate a split.</t>
        </is>
      </c>
      <c r="Y3" s="2" t="inlineStr">
        <is>
          <t>Aggregate only mutually exclusive facts with identical period, scope, currency and unit.</t>
        </is>
      </c>
      <c r="Z3" s="2" t="inlineStr">
        <is>
          <t>Bind only to Statement Setup / general.</t>
        </is>
      </c>
      <c r="AA3" s="2" t="inlineStr"/>
      <c r="AB3" s="2" t="b">
        <v>1</v>
      </c>
      <c r="AC3" s="2" t="inlineStr"/>
      <c r="AD3" s="2" t="inlineStr">
        <is>
          <t>Exact field from Statement Setup!A6; value cell B6.</t>
        </is>
      </c>
      <c r="AE3" s="2" t="inlineStr">
        <is>
          <t>Notes may support direct extraction or decomposition with provenance. Formula outputs must be derived only from template dependencies.</t>
        </is>
      </c>
      <c r="AF3" s="2" t="inlineStr"/>
      <c r="AG3" s="2" t="inlineStr">
        <is>
          <t>[]</t>
        </is>
      </c>
      <c r="AH3" s="2" t="inlineStr">
        <is>
          <t>Customer Statement Type</t>
        </is>
      </c>
      <c r="AI3" s="2" t="inlineStr"/>
      <c r="AJ3" s="2" t="inlineStr">
        <is>
          <t>{"template_sheet": "Statement Setup", "template_row": 6, "template_cell": "B6", "template_value_or_formula": "Consolidated", "calculation_type": "reported_input", "dependencies": [], "source_template": "Copy of Output_CSV Template.xlsx"}</t>
        </is>
      </c>
    </row>
    <row r="4">
      <c r="A4" s="2" t="inlineStr">
        <is>
          <t>general__rounding</t>
        </is>
      </c>
      <c r="B4" s="2" t="inlineStr">
        <is>
          <t>Rounding</t>
        </is>
      </c>
      <c r="C4" s="2" t="inlineStr">
        <is>
          <t>general</t>
        </is>
      </c>
      <c r="D4" s="2" t="inlineStr">
        <is>
          <t>Extract the reported value for 'Rounding' from the stated section. Do not calculate or replace it from other rows, because the revised template does not designate this field as formula-driven.</t>
        </is>
      </c>
      <c r="E4" s="2" t="inlineStr">
        <is>
          <t>Rounding</t>
        </is>
      </c>
      <c r="F4" s="2" t="inlineStr">
        <is>
          <t>Rounding</t>
        </is>
      </c>
      <c r="G4" s="2" t="inlineStr">
        <is>
          <t>^Rounding$</t>
        </is>
      </c>
      <c r="H4" s="2" t="inlineStr"/>
      <c r="I4" s="2" t="inlineStr">
        <is>
          <t>Amounts or disclosures explicitly reported for Rounding in Statement Setup / general.</t>
        </is>
      </c>
      <c r="J4" s="2" t="inlineStr">
        <is>
          <t>Do not substitute another section, period, entity scope, currency or unit; do not double count a parent and its children.</t>
        </is>
      </c>
      <c r="K4" s="2" t="inlineStr"/>
      <c r="L4" s="2" t="inlineStr">
        <is>
          <t>as_reported</t>
        </is>
      </c>
      <c r="M4" s="2" t="inlineStr">
        <is>
          <t>direct_exclusive</t>
        </is>
      </c>
      <c r="N4" s="2" t="n">
        <v>90</v>
      </c>
      <c r="O4" s="2" t="inlineStr">
        <is>
          <t>normalized_exact_then_regex</t>
        </is>
      </c>
      <c r="P4" s="3" t="inlineStr">
        <is>
          <t>extract</t>
        </is>
      </c>
      <c r="Q4" s="2" t="inlineStr">
        <is>
          <t>text_or_enum</t>
        </is>
      </c>
      <c r="R4" s="2" t="inlineStr">
        <is>
          <t>as_disclosed</t>
        </is>
      </c>
      <c r="S4" s="2" t="inlineStr">
        <is>
          <t>allowed_with_provenance</t>
        </is>
      </c>
      <c r="T4" s="2" t="b">
        <v>0</v>
      </c>
      <c r="U4" s="2" t="b">
        <v>0</v>
      </c>
      <c r="V4" s="2" t="inlineStr"/>
      <c r="W4" s="2" t="inlineStr"/>
      <c r="X4" s="2" t="inlineStr">
        <is>
          <t>Decompose only from explicit face or note evidence; never fabricate a split.</t>
        </is>
      </c>
      <c r="Y4" s="2" t="inlineStr">
        <is>
          <t>Aggregate only mutually exclusive facts with identical period, scope, currency and unit.</t>
        </is>
      </c>
      <c r="Z4" s="2" t="inlineStr">
        <is>
          <t>Bind only to Statement Setup / general.</t>
        </is>
      </c>
      <c r="AA4" s="2" t="inlineStr"/>
      <c r="AB4" s="2" t="b">
        <v>1</v>
      </c>
      <c r="AC4" s="2" t="inlineStr"/>
      <c r="AD4" s="2" t="inlineStr">
        <is>
          <t>Exact field from Statement Setup!A7; value cell B7.</t>
        </is>
      </c>
      <c r="AE4" s="2" t="inlineStr">
        <is>
          <t>Notes may support direct extraction or decomposition with provenance. Formula outputs must be derived only from template dependencies.</t>
        </is>
      </c>
      <c r="AF4" s="2" t="inlineStr"/>
      <c r="AG4" s="2" t="inlineStr">
        <is>
          <t>[]</t>
        </is>
      </c>
      <c r="AH4" s="2" t="inlineStr">
        <is>
          <t>Rounding</t>
        </is>
      </c>
      <c r="AI4" s="2" t="inlineStr"/>
      <c r="AJ4" s="2" t="inlineStr">
        <is>
          <t>{"template_sheet": "Statement Setup", "template_row": 7, "template_cell": "B7", "template_value_or_formula": "ACTUAL", "calculation_type": "reported_input", "dependencies": [], "source_template": "Copy of Output_CSV Template.xlsx"}</t>
        </is>
      </c>
    </row>
    <row r="5">
      <c r="A5" s="2" t="inlineStr">
        <is>
          <t>general__source_currency</t>
        </is>
      </c>
      <c r="B5" s="2" t="inlineStr">
        <is>
          <t>Source Currency</t>
        </is>
      </c>
      <c r="C5" s="2" t="inlineStr">
        <is>
          <t>general</t>
        </is>
      </c>
      <c r="D5" s="2" t="inlineStr">
        <is>
          <t>Extract the reported value for 'Source Currency' from the stated section. Do not calculate or replace it from other rows, because the revised template does not designate this field as formula-driven.</t>
        </is>
      </c>
      <c r="E5" s="2" t="inlineStr">
        <is>
          <t>Source Currency</t>
        </is>
      </c>
      <c r="F5" s="2" t="inlineStr">
        <is>
          <t>Source Currency</t>
        </is>
      </c>
      <c r="G5" s="2" t="inlineStr">
        <is>
          <t>^Source\s+Currency$</t>
        </is>
      </c>
      <c r="H5" s="2" t="inlineStr"/>
      <c r="I5" s="2" t="inlineStr">
        <is>
          <t>Amounts or disclosures explicitly reported for Source Currency in Statement Setup / general.</t>
        </is>
      </c>
      <c r="J5" s="2" t="inlineStr">
        <is>
          <t>Do not substitute another section, period, entity scope, currency or unit; do not double count a parent and its children.</t>
        </is>
      </c>
      <c r="K5" s="2" t="inlineStr"/>
      <c r="L5" s="2" t="inlineStr">
        <is>
          <t>as_reported</t>
        </is>
      </c>
      <c r="M5" s="2" t="inlineStr">
        <is>
          <t>direct_exclusive</t>
        </is>
      </c>
      <c r="N5" s="2" t="n">
        <v>90</v>
      </c>
      <c r="O5" s="2" t="inlineStr">
        <is>
          <t>normalized_exact_then_regex</t>
        </is>
      </c>
      <c r="P5" s="3" t="inlineStr">
        <is>
          <t>extract</t>
        </is>
      </c>
      <c r="Q5" s="2" t="inlineStr">
        <is>
          <t>text_or_enum</t>
        </is>
      </c>
      <c r="R5" s="2" t="inlineStr">
        <is>
          <t>as_disclosed</t>
        </is>
      </c>
      <c r="S5" s="2" t="inlineStr">
        <is>
          <t>allowed_with_provenance</t>
        </is>
      </c>
      <c r="T5" s="2" t="b">
        <v>0</v>
      </c>
      <c r="U5" s="2" t="b">
        <v>0</v>
      </c>
      <c r="V5" s="2" t="inlineStr"/>
      <c r="W5" s="2" t="inlineStr"/>
      <c r="X5" s="2" t="inlineStr">
        <is>
          <t>Decompose only from explicit face or note evidence; never fabricate a split.</t>
        </is>
      </c>
      <c r="Y5" s="2" t="inlineStr">
        <is>
          <t>Aggregate only mutually exclusive facts with identical period, scope, currency and unit.</t>
        </is>
      </c>
      <c r="Z5" s="2" t="inlineStr">
        <is>
          <t>Bind only to Statement Setup / general.</t>
        </is>
      </c>
      <c r="AA5" s="2" t="inlineStr"/>
      <c r="AB5" s="2" t="b">
        <v>1</v>
      </c>
      <c r="AC5" s="2" t="inlineStr"/>
      <c r="AD5" s="2" t="inlineStr">
        <is>
          <t>Exact field from Statement Setup!A8; value cell B8.</t>
        </is>
      </c>
      <c r="AE5" s="2" t="inlineStr">
        <is>
          <t>Notes may support direct extraction or decomposition with provenance. Formula outputs must be derived only from template dependencies.</t>
        </is>
      </c>
      <c r="AF5" s="2" t="inlineStr"/>
      <c r="AG5" s="2" t="inlineStr">
        <is>
          <t>[]</t>
        </is>
      </c>
      <c r="AH5" s="2" t="inlineStr">
        <is>
          <t>Source Currency</t>
        </is>
      </c>
      <c r="AI5" s="2" t="inlineStr"/>
      <c r="AJ5" s="2" t="inlineStr">
        <is>
          <t>{"template_sheet": "Statement Setup", "template_row": 8, "template_cell": "B8", "template_value_or_formula": "HKD", "calculation_type": "reported_input", "dependencies": [], "source_template": "Copy of Output_CSV Template.xlsx"}</t>
        </is>
      </c>
    </row>
    <row r="6">
      <c r="A6" s="2" t="inlineStr">
        <is>
          <t>general__target_currency</t>
        </is>
      </c>
      <c r="B6" s="2" t="inlineStr">
        <is>
          <t>Target Currency</t>
        </is>
      </c>
      <c r="C6" s="2" t="inlineStr">
        <is>
          <t>general</t>
        </is>
      </c>
      <c r="D6" s="2" t="inlineStr">
        <is>
          <t>Extract the reported value for 'Target Currency' from the stated section. Do not calculate or replace it from other rows, because the revised template does not designate this field as formula-driven.</t>
        </is>
      </c>
      <c r="E6" s="2" t="inlineStr">
        <is>
          <t>Target Currency</t>
        </is>
      </c>
      <c r="F6" s="2" t="inlineStr">
        <is>
          <t>Target Currency</t>
        </is>
      </c>
      <c r="G6" s="2" t="inlineStr">
        <is>
          <t>^Target\s+Currency$</t>
        </is>
      </c>
      <c r="H6" s="2" t="inlineStr"/>
      <c r="I6" s="2" t="inlineStr">
        <is>
          <t>Amounts or disclosures explicitly reported for Target Currency in Statement Setup / general.</t>
        </is>
      </c>
      <c r="J6" s="2" t="inlineStr">
        <is>
          <t>Do not substitute another section, period, entity scope, currency or unit; do not double count a parent and its children.</t>
        </is>
      </c>
      <c r="K6" s="2" t="inlineStr"/>
      <c r="L6" s="2" t="inlineStr">
        <is>
          <t>as_reported</t>
        </is>
      </c>
      <c r="M6" s="2" t="inlineStr">
        <is>
          <t>direct_exclusive</t>
        </is>
      </c>
      <c r="N6" s="2" t="n">
        <v>90</v>
      </c>
      <c r="O6" s="2" t="inlineStr">
        <is>
          <t>normalized_exact_then_regex</t>
        </is>
      </c>
      <c r="P6" s="3" t="inlineStr">
        <is>
          <t>extract</t>
        </is>
      </c>
      <c r="Q6" s="2" t="inlineStr">
        <is>
          <t>text_or_enum</t>
        </is>
      </c>
      <c r="R6" s="2" t="inlineStr">
        <is>
          <t>as_disclosed</t>
        </is>
      </c>
      <c r="S6" s="2" t="inlineStr">
        <is>
          <t>allowed_with_provenance</t>
        </is>
      </c>
      <c r="T6" s="2" t="b">
        <v>0</v>
      </c>
      <c r="U6" s="2" t="b">
        <v>0</v>
      </c>
      <c r="V6" s="2" t="inlineStr"/>
      <c r="W6" s="2" t="inlineStr"/>
      <c r="X6" s="2" t="inlineStr">
        <is>
          <t>Decompose only from explicit face or note evidence; never fabricate a split.</t>
        </is>
      </c>
      <c r="Y6" s="2" t="inlineStr">
        <is>
          <t>Aggregate only mutually exclusive facts with identical period, scope, currency and unit.</t>
        </is>
      </c>
      <c r="Z6" s="2" t="inlineStr">
        <is>
          <t>Bind only to Statement Setup / general.</t>
        </is>
      </c>
      <c r="AA6" s="2" t="inlineStr"/>
      <c r="AB6" s="2" t="b">
        <v>1</v>
      </c>
      <c r="AC6" s="2" t="inlineStr"/>
      <c r="AD6" s="2" t="inlineStr">
        <is>
          <t>Exact field from Statement Setup!A9; value cell B9.</t>
        </is>
      </c>
      <c r="AE6" s="2" t="inlineStr">
        <is>
          <t>Notes may support direct extraction or decomposition with provenance. Formula outputs must be derived only from template dependencies.</t>
        </is>
      </c>
      <c r="AF6" s="2" t="inlineStr"/>
      <c r="AG6" s="2" t="inlineStr">
        <is>
          <t>[]</t>
        </is>
      </c>
      <c r="AH6" s="2" t="inlineStr">
        <is>
          <t>Target Currency</t>
        </is>
      </c>
      <c r="AI6" s="2" t="inlineStr"/>
      <c r="AJ6" s="2" t="inlineStr">
        <is>
          <t>{"template_sheet": "Statement Setup", "template_row": 9, "template_cell": "B9", "template_value_or_formula": "HKD", "calculation_type": "reported_input", "dependencies": [], "source_template": "Copy of Output_CSV Template.xlsx"}</t>
        </is>
      </c>
    </row>
    <row r="7">
      <c r="A7" s="2" t="inlineStr">
        <is>
          <t>general__statement_date</t>
        </is>
      </c>
      <c r="B7" s="2" t="inlineStr">
        <is>
          <t>Statement Date</t>
        </is>
      </c>
      <c r="C7" s="2" t="inlineStr">
        <is>
          <t>general</t>
        </is>
      </c>
      <c r="D7" s="2" t="inlineStr">
        <is>
          <t>Extract the reported value for 'Statement Date' from the stated section. Do not calculate or replace it from other rows, because the revised template does not designate this field as formula-driven.</t>
        </is>
      </c>
      <c r="E7" s="2" t="inlineStr">
        <is>
          <t>Statement Date</t>
        </is>
      </c>
      <c r="F7" s="2" t="inlineStr">
        <is>
          <t>Statement Date</t>
        </is>
      </c>
      <c r="G7" s="2" t="inlineStr">
        <is>
          <t>^Statement\s+Date$</t>
        </is>
      </c>
      <c r="H7" s="2" t="inlineStr"/>
      <c r="I7" s="2" t="inlineStr">
        <is>
          <t>Amounts or disclosures explicitly reported for Statement Date in Statement Setup / general.</t>
        </is>
      </c>
      <c r="J7" s="2" t="inlineStr">
        <is>
          <t>Do not substitute another section, period, entity scope, currency or unit; do not double count a parent and its children.</t>
        </is>
      </c>
      <c r="K7" s="2" t="inlineStr"/>
      <c r="L7" s="2" t="inlineStr">
        <is>
          <t>as_reported</t>
        </is>
      </c>
      <c r="M7" s="2" t="inlineStr">
        <is>
          <t>direct_exclusive</t>
        </is>
      </c>
      <c r="N7" s="2" t="n">
        <v>90</v>
      </c>
      <c r="O7" s="2" t="inlineStr">
        <is>
          <t>normalized_exact_then_regex</t>
        </is>
      </c>
      <c r="P7" s="3" t="inlineStr">
        <is>
          <t>extract</t>
        </is>
      </c>
      <c r="Q7" s="2" t="inlineStr">
        <is>
          <t>text_or_enum</t>
        </is>
      </c>
      <c r="R7" s="2" t="inlineStr">
        <is>
          <t>as_disclosed</t>
        </is>
      </c>
      <c r="S7" s="2" t="inlineStr">
        <is>
          <t>allowed_with_provenance</t>
        </is>
      </c>
      <c r="T7" s="2" t="b">
        <v>0</v>
      </c>
      <c r="U7" s="2" t="b">
        <v>0</v>
      </c>
      <c r="V7" s="2" t="inlineStr"/>
      <c r="W7" s="2" t="inlineStr"/>
      <c r="X7" s="2" t="inlineStr">
        <is>
          <t>Decompose only from explicit face or note evidence; never fabricate a split.</t>
        </is>
      </c>
      <c r="Y7" s="2" t="inlineStr">
        <is>
          <t>Aggregate only mutually exclusive facts with identical period, scope, currency and unit.</t>
        </is>
      </c>
      <c r="Z7" s="2" t="inlineStr">
        <is>
          <t>Bind only to Statement Setup / general.</t>
        </is>
      </c>
      <c r="AA7" s="2" t="inlineStr"/>
      <c r="AB7" s="2" t="b">
        <v>1</v>
      </c>
      <c r="AC7" s="2" t="inlineStr"/>
      <c r="AD7" s="2" t="inlineStr">
        <is>
          <t>Exact field from Statement Setup!A10; value cell B10.</t>
        </is>
      </c>
      <c r="AE7" s="2" t="inlineStr">
        <is>
          <t>Notes may support direct extraction or decomposition with provenance. Formula outputs must be derived only from template dependencies.</t>
        </is>
      </c>
      <c r="AF7" s="2" t="inlineStr"/>
      <c r="AG7" s="2" t="inlineStr">
        <is>
          <t>[]</t>
        </is>
      </c>
      <c r="AH7" s="2" t="inlineStr">
        <is>
          <t>Statement Date</t>
        </is>
      </c>
      <c r="AI7" s="2" t="inlineStr"/>
      <c r="AJ7" s="2" t="inlineStr">
        <is>
          <t>{"template_sheet": "Statement Setup", "template_row": 10, "template_cell": "B10", "template_value_or_formula": "31/12/2020", "calculation_type": "reported_input", "dependencies": [], "source_template": "Copy of Output_CSV Template.xlsx"}</t>
        </is>
      </c>
    </row>
    <row r="8">
      <c r="A8" s="2" t="inlineStr">
        <is>
          <t>general__periods</t>
        </is>
      </c>
      <c r="B8" s="2" t="inlineStr">
        <is>
          <t>Periods</t>
        </is>
      </c>
      <c r="C8" s="2" t="inlineStr">
        <is>
          <t>general</t>
        </is>
      </c>
      <c r="D8" s="2" t="inlineStr">
        <is>
          <t>Extract the reported value for 'Periods' from the stated section. Do not calculate or replace it from other rows, because the revised template does not designate this field as formula-driven.</t>
        </is>
      </c>
      <c r="E8" s="2" t="inlineStr">
        <is>
          <t>Periods</t>
        </is>
      </c>
      <c r="F8" s="2" t="inlineStr">
        <is>
          <t>Periods</t>
        </is>
      </c>
      <c r="G8" s="2" t="inlineStr">
        <is>
          <t>^Periods$</t>
        </is>
      </c>
      <c r="H8" s="2" t="inlineStr"/>
      <c r="I8" s="2" t="inlineStr">
        <is>
          <t>Amounts or disclosures explicitly reported for Periods in Statement Setup / general.</t>
        </is>
      </c>
      <c r="J8" s="2" t="inlineStr">
        <is>
          <t>Do not substitute another section, period, entity scope, currency or unit; do not double count a parent and its children.</t>
        </is>
      </c>
      <c r="K8" s="2" t="inlineStr"/>
      <c r="L8" s="2" t="inlineStr">
        <is>
          <t>as_reported</t>
        </is>
      </c>
      <c r="M8" s="2" t="inlineStr">
        <is>
          <t>direct_exclusive</t>
        </is>
      </c>
      <c r="N8" s="2" t="n">
        <v>90</v>
      </c>
      <c r="O8" s="2" t="inlineStr">
        <is>
          <t>normalized_exact_then_regex</t>
        </is>
      </c>
      <c r="P8" s="3" t="inlineStr">
        <is>
          <t>extract</t>
        </is>
      </c>
      <c r="Q8" s="2" t="inlineStr">
        <is>
          <t>currency_amount</t>
        </is>
      </c>
      <c r="R8" s="2" t="inlineStr">
        <is>
          <t>as_disclosed</t>
        </is>
      </c>
      <c r="S8" s="2" t="inlineStr">
        <is>
          <t>allowed_with_provenance</t>
        </is>
      </c>
      <c r="T8" s="2" t="b">
        <v>0</v>
      </c>
      <c r="U8" s="2" t="b">
        <v>0</v>
      </c>
      <c r="V8" s="2" t="inlineStr"/>
      <c r="W8" s="2" t="inlineStr"/>
      <c r="X8" s="2" t="inlineStr">
        <is>
          <t>Decompose only from explicit face or note evidence; never fabricate a split.</t>
        </is>
      </c>
      <c r="Y8" s="2" t="inlineStr">
        <is>
          <t>Aggregate only mutually exclusive facts with identical period, scope, currency and unit.</t>
        </is>
      </c>
      <c r="Z8" s="2" t="inlineStr">
        <is>
          <t>Bind only to Statement Setup / general.</t>
        </is>
      </c>
      <c r="AA8" s="2" t="inlineStr"/>
      <c r="AB8" s="2" t="b">
        <v>1</v>
      </c>
      <c r="AC8" s="2" t="inlineStr"/>
      <c r="AD8" s="2" t="inlineStr">
        <is>
          <t>Exact field from Statement Setup!A11; value cell B11.</t>
        </is>
      </c>
      <c r="AE8" s="2" t="inlineStr">
        <is>
          <t>Notes may support direct extraction or decomposition with provenance. Formula outputs must be derived only from template dependencies.</t>
        </is>
      </c>
      <c r="AF8" s="2" t="inlineStr"/>
      <c r="AG8" s="2" t="inlineStr">
        <is>
          <t>[]</t>
        </is>
      </c>
      <c r="AH8" s="2" t="inlineStr">
        <is>
          <t>Periods</t>
        </is>
      </c>
      <c r="AI8" s="2" t="inlineStr"/>
      <c r="AJ8" s="2" t="inlineStr">
        <is>
          <t>{"template_sheet": "Statement Setup", "template_row": 11, "template_cell": "B11", "template_value_or_formula": 12, "calculation_type": "reported_input", "dependencies": [], "source_template": "Copy of Output_CSV Template.xlsx"}</t>
        </is>
      </c>
    </row>
    <row r="9">
      <c r="A9" s="2" t="inlineStr">
        <is>
          <t>general__total_assets</t>
        </is>
      </c>
      <c r="B9" s="2" t="inlineStr">
        <is>
          <t>Total Assets</t>
        </is>
      </c>
      <c r="C9" s="2" t="inlineStr">
        <is>
          <t>general</t>
        </is>
      </c>
      <c r="D9" s="2" t="inlineStr">
        <is>
          <t>Extract the reported value for 'Total Assets' from the stated section. Do not calculate or replace it from other rows, because the revised template does not designate this field as formula-driven.</t>
        </is>
      </c>
      <c r="E9" s="2" t="inlineStr">
        <is>
          <t>Total Assets</t>
        </is>
      </c>
      <c r="F9" s="2" t="inlineStr">
        <is>
          <t>Total Assets</t>
        </is>
      </c>
      <c r="G9" s="2" t="inlineStr">
        <is>
          <t>^Total\s+Assets$</t>
        </is>
      </c>
      <c r="H9" s="2" t="inlineStr"/>
      <c r="I9" s="2" t="inlineStr">
        <is>
          <t>Amounts or disclosures explicitly reported for Total Assets in Statement Setup / general.</t>
        </is>
      </c>
      <c r="J9" s="2" t="inlineStr">
        <is>
          <t>Do not substitute another section, period, entity scope, currency or unit; do not double count a parent and its children.</t>
        </is>
      </c>
      <c r="K9" s="2" t="inlineStr"/>
      <c r="L9" s="2" t="inlineStr">
        <is>
          <t>as_reported</t>
        </is>
      </c>
      <c r="M9" s="2" t="inlineStr">
        <is>
          <t>direct_exclusive</t>
        </is>
      </c>
      <c r="N9" s="2" t="n">
        <v>90</v>
      </c>
      <c r="O9" s="2" t="inlineStr">
        <is>
          <t>normalized_exact_then_regex</t>
        </is>
      </c>
      <c r="P9" s="3" t="inlineStr">
        <is>
          <t>extract</t>
        </is>
      </c>
      <c r="Q9" s="2" t="inlineStr">
        <is>
          <t>currency_amount</t>
        </is>
      </c>
      <c r="R9" s="2" t="inlineStr">
        <is>
          <t>as_disclosed</t>
        </is>
      </c>
      <c r="S9" s="2" t="inlineStr">
        <is>
          <t>allowed_with_provenance</t>
        </is>
      </c>
      <c r="T9" s="2" t="b">
        <v>0</v>
      </c>
      <c r="U9" s="2" t="b">
        <v>0</v>
      </c>
      <c r="V9" s="2" t="inlineStr"/>
      <c r="W9" s="2" t="inlineStr"/>
      <c r="X9" s="2" t="inlineStr">
        <is>
          <t>Decompose only from explicit face or note evidence; never fabricate a split.</t>
        </is>
      </c>
      <c r="Y9" s="2" t="inlineStr">
        <is>
          <t>Aggregate only mutually exclusive facts with identical period, scope, currency and unit.</t>
        </is>
      </c>
      <c r="Z9" s="2" t="inlineStr">
        <is>
          <t>Bind only to Statement Setup / general.</t>
        </is>
      </c>
      <c r="AA9" s="2" t="inlineStr"/>
      <c r="AB9" s="2" t="b">
        <v>1</v>
      </c>
      <c r="AC9" s="2" t="inlineStr"/>
      <c r="AD9" s="2" t="inlineStr">
        <is>
          <t>Exact field from Statement Setup!A12; value cell B12.</t>
        </is>
      </c>
      <c r="AE9" s="2" t="inlineStr">
        <is>
          <t>Notes may support direct extraction or decomposition with provenance. Formula outputs must be derived only from template dependencies.</t>
        </is>
      </c>
      <c r="AF9" s="2" t="inlineStr"/>
      <c r="AG9" s="2" t="inlineStr">
        <is>
          <t>[]</t>
        </is>
      </c>
      <c r="AH9" s="2" t="inlineStr">
        <is>
          <t>Total Assets</t>
        </is>
      </c>
      <c r="AI9" s="2" t="inlineStr"/>
      <c r="AJ9" s="2" t="inlineStr">
        <is>
          <t>{"template_sheet": "Statement Setup", "template_row": 12, "template_cell": "B12", "template_value_or_formula": 2120, "calculation_type": "reported_input", "dependencies": [], "source_template": "Copy of Output_CSV Template.xlsx"}</t>
        </is>
      </c>
    </row>
    <row r="10">
      <c r="A10" s="2" t="inlineStr">
        <is>
          <t>general__total_equity_and_reserves_and_liab</t>
        </is>
      </c>
      <c r="B10" s="2" t="inlineStr">
        <is>
          <t>Total Equity &amp; Reserves &amp; Liab</t>
        </is>
      </c>
      <c r="C10" s="2" t="inlineStr">
        <is>
          <t>general</t>
        </is>
      </c>
      <c r="D10" s="2" t="inlineStr">
        <is>
          <t>Extract the reported value for 'Total Equity &amp; Reserves &amp; Liab' from the stated section. Do not calculate or replace it from other rows, because the revised template does not designate this field as formula-driven.</t>
        </is>
      </c>
      <c r="E10" s="2" t="inlineStr">
        <is>
          <t>Total Equity &amp; Reserves &amp; Liab</t>
        </is>
      </c>
      <c r="F10" s="2" t="inlineStr">
        <is>
          <t>Total Equity &amp; Reserves &amp; Liab</t>
        </is>
      </c>
      <c r="G10" s="2" t="inlineStr">
        <is>
          <t>^Total\s+Equity\s+\&amp;\s+Reserves\s+\&amp;\s+Liab$</t>
        </is>
      </c>
      <c r="H10" s="2" t="inlineStr"/>
      <c r="I10" s="2" t="inlineStr">
        <is>
          <t>Amounts or disclosures explicitly reported for Total Equity &amp; Reserves &amp; Liab in Statement Setup / general.</t>
        </is>
      </c>
      <c r="J10" s="2" t="inlineStr">
        <is>
          <t>Do not substitute another section, period, entity scope, currency or unit; do not double count a parent and its children.</t>
        </is>
      </c>
      <c r="K10" s="2" t="inlineStr"/>
      <c r="L10" s="2" t="inlineStr">
        <is>
          <t>as_reported</t>
        </is>
      </c>
      <c r="M10" s="2" t="inlineStr">
        <is>
          <t>direct_exclusive</t>
        </is>
      </c>
      <c r="N10" s="2" t="n">
        <v>90</v>
      </c>
      <c r="O10" s="2" t="inlineStr">
        <is>
          <t>normalized_exact_then_regex</t>
        </is>
      </c>
      <c r="P10" s="3" t="inlineStr">
        <is>
          <t>extract</t>
        </is>
      </c>
      <c r="Q10" s="2" t="inlineStr">
        <is>
          <t>currency_amount</t>
        </is>
      </c>
      <c r="R10" s="2" t="inlineStr">
        <is>
          <t>as_disclosed</t>
        </is>
      </c>
      <c r="S10" s="2" t="inlineStr">
        <is>
          <t>allowed_with_provenance</t>
        </is>
      </c>
      <c r="T10" s="2" t="b">
        <v>0</v>
      </c>
      <c r="U10" s="2" t="b">
        <v>0</v>
      </c>
      <c r="V10" s="2" t="inlineStr"/>
      <c r="W10" s="2" t="inlineStr"/>
      <c r="X10" s="2" t="inlineStr">
        <is>
          <t>Decompose only from explicit face or note evidence; never fabricate a split.</t>
        </is>
      </c>
      <c r="Y10" s="2" t="inlineStr">
        <is>
          <t>Aggregate only mutually exclusive facts with identical period, scope, currency and unit.</t>
        </is>
      </c>
      <c r="Z10" s="2" t="inlineStr">
        <is>
          <t>Bind only to Statement Setup / general.</t>
        </is>
      </c>
      <c r="AA10" s="2" t="inlineStr"/>
      <c r="AB10" s="2" t="b">
        <v>1</v>
      </c>
      <c r="AC10" s="2" t="inlineStr"/>
      <c r="AD10" s="2" t="inlineStr">
        <is>
          <t>Exact field from Statement Setup!A13; value cell B13.</t>
        </is>
      </c>
      <c r="AE10" s="2" t="inlineStr">
        <is>
          <t>Notes may support direct extraction or decomposition with provenance. Formula outputs must be derived only from template dependencies.</t>
        </is>
      </c>
      <c r="AF10" s="2" t="inlineStr"/>
      <c r="AG10" s="2" t="inlineStr">
        <is>
          <t>[]</t>
        </is>
      </c>
      <c r="AH10" s="2" t="inlineStr">
        <is>
          <t>Total Equity &amp; Reserves &amp; Liab</t>
        </is>
      </c>
      <c r="AI10" s="2" t="inlineStr"/>
      <c r="AJ10" s="2" t="inlineStr">
        <is>
          <t>{"template_sheet": "Statement Setup", "template_row": 13, "template_cell": "B13", "template_value_or_formula": 2120, "calculation_type": "reported_input", "dependencies": [], "source_template": "Copy of Output_CSV Template.xlsx"}</t>
        </is>
      </c>
    </row>
    <row r="11">
      <c r="A11" s="2" t="inlineStr">
        <is>
          <t>general__total_income_and_expenses</t>
        </is>
      </c>
      <c r="B11" s="2" t="inlineStr">
        <is>
          <t>Total Income &amp; Expenses</t>
        </is>
      </c>
      <c r="C11" s="2" t="inlineStr">
        <is>
          <t>general</t>
        </is>
      </c>
      <c r="D11" s="2" t="inlineStr">
        <is>
          <t>Extract the reported value for 'Total Income &amp; Expenses' from the stated section. Do not calculate or replace it from other rows, because the revised template does not designate this field as formula-driven.</t>
        </is>
      </c>
      <c r="E11" s="2" t="inlineStr">
        <is>
          <t>Total Income &amp; Expenses</t>
        </is>
      </c>
      <c r="F11" s="2" t="inlineStr">
        <is>
          <t>Total Income &amp; Expenses</t>
        </is>
      </c>
      <c r="G11" s="2" t="inlineStr">
        <is>
          <t>^Total\s+Income\s+\&amp;\s+Expenses$</t>
        </is>
      </c>
      <c r="H11" s="2" t="inlineStr"/>
      <c r="I11" s="2" t="inlineStr">
        <is>
          <t>Amounts or disclosures explicitly reported for Total Income &amp; Expenses in Statement Setup / general.</t>
        </is>
      </c>
      <c r="J11" s="2" t="inlineStr">
        <is>
          <t>Do not substitute another section, period, entity scope, currency or unit; do not double count a parent and its children.</t>
        </is>
      </c>
      <c r="K11" s="2" t="inlineStr"/>
      <c r="L11" s="2" t="inlineStr">
        <is>
          <t>as_reported</t>
        </is>
      </c>
      <c r="M11" s="2" t="inlineStr">
        <is>
          <t>direct_exclusive</t>
        </is>
      </c>
      <c r="N11" s="2" t="n">
        <v>90</v>
      </c>
      <c r="O11" s="2" t="inlineStr">
        <is>
          <t>normalized_exact_then_regex</t>
        </is>
      </c>
      <c r="P11" s="3" t="inlineStr">
        <is>
          <t>extract</t>
        </is>
      </c>
      <c r="Q11" s="2" t="inlineStr">
        <is>
          <t>currency_amount</t>
        </is>
      </c>
      <c r="R11" s="2" t="inlineStr">
        <is>
          <t>as_disclosed</t>
        </is>
      </c>
      <c r="S11" s="2" t="inlineStr">
        <is>
          <t>allowed_with_provenance</t>
        </is>
      </c>
      <c r="T11" s="2" t="b">
        <v>0</v>
      </c>
      <c r="U11" s="2" t="b">
        <v>0</v>
      </c>
      <c r="V11" s="2" t="inlineStr"/>
      <c r="W11" s="2" t="inlineStr"/>
      <c r="X11" s="2" t="inlineStr">
        <is>
          <t>Decompose only from explicit face or note evidence; never fabricate a split.</t>
        </is>
      </c>
      <c r="Y11" s="2" t="inlineStr">
        <is>
          <t>Aggregate only mutually exclusive facts with identical period, scope, currency and unit.</t>
        </is>
      </c>
      <c r="Z11" s="2" t="inlineStr">
        <is>
          <t>Bind only to Statement Setup / general.</t>
        </is>
      </c>
      <c r="AA11" s="2" t="inlineStr"/>
      <c r="AB11" s="2" t="b">
        <v>1</v>
      </c>
      <c r="AC11" s="2" t="inlineStr"/>
      <c r="AD11" s="2" t="inlineStr">
        <is>
          <t>Exact field from Statement Setup!A14; value cell B14.</t>
        </is>
      </c>
      <c r="AE11" s="2" t="inlineStr">
        <is>
          <t>Notes may support direct extraction or decomposition with provenance. Formula outputs must be derived only from template dependencies.</t>
        </is>
      </c>
      <c r="AF11" s="2" t="inlineStr"/>
      <c r="AG11" s="2" t="inlineStr">
        <is>
          <t>[]</t>
        </is>
      </c>
      <c r="AH11" s="2" t="inlineStr">
        <is>
          <t>Total Income &amp; Expenses</t>
        </is>
      </c>
      <c r="AI11" s="2" t="inlineStr"/>
      <c r="AJ11" s="2" t="inlineStr">
        <is>
          <t>{"template_sheet": "Statement Setup", "template_row": 14, "template_cell": "B14", "template_value_or_formula": 209, "calculation_type": "reported_input", "dependencies": [], "source_template": "Copy of Output_CSV Template.xlsx"}</t>
        </is>
      </c>
    </row>
    <row r="12">
      <c r="A12" s="2" t="inlineStr">
        <is>
          <t>general__difference</t>
        </is>
      </c>
      <c r="B12" s="2" t="inlineStr">
        <is>
          <t>Difference</t>
        </is>
      </c>
      <c r="C12" s="2" t="inlineStr">
        <is>
          <t>general</t>
        </is>
      </c>
      <c r="D12" s="2" t="inlineStr">
        <is>
          <t>Extract the reported value for 'Difference' from the stated section. Do not calculate or replace it from other rows, because the revised template does not designate this field as formula-driven.</t>
        </is>
      </c>
      <c r="E12" s="2" t="inlineStr">
        <is>
          <t>Difference</t>
        </is>
      </c>
      <c r="F12" s="2" t="inlineStr">
        <is>
          <t>Difference</t>
        </is>
      </c>
      <c r="G12" s="2" t="inlineStr">
        <is>
          <t>^Difference$</t>
        </is>
      </c>
      <c r="H12" s="2" t="inlineStr"/>
      <c r="I12" s="2" t="inlineStr">
        <is>
          <t>Amounts or disclosures explicitly reported for Difference in Statement Setup / general.</t>
        </is>
      </c>
      <c r="J12" s="2" t="inlineStr">
        <is>
          <t>Do not substitute another section, period, entity scope, currency or unit; do not double count a parent and its children.</t>
        </is>
      </c>
      <c r="K12" s="2" t="inlineStr"/>
      <c r="L12" s="2" t="inlineStr">
        <is>
          <t>as_reported</t>
        </is>
      </c>
      <c r="M12" s="2" t="inlineStr">
        <is>
          <t>direct_exclusive</t>
        </is>
      </c>
      <c r="N12" s="2" t="n">
        <v>90</v>
      </c>
      <c r="O12" s="2" t="inlineStr">
        <is>
          <t>normalized_exact_then_regex</t>
        </is>
      </c>
      <c r="P12" s="3" t="inlineStr">
        <is>
          <t>extract</t>
        </is>
      </c>
      <c r="Q12" s="2" t="inlineStr">
        <is>
          <t>currency_amount</t>
        </is>
      </c>
      <c r="R12" s="2" t="inlineStr">
        <is>
          <t>as_disclosed</t>
        </is>
      </c>
      <c r="S12" s="2" t="inlineStr">
        <is>
          <t>allowed_with_provenance</t>
        </is>
      </c>
      <c r="T12" s="2" t="b">
        <v>0</v>
      </c>
      <c r="U12" s="2" t="b">
        <v>0</v>
      </c>
      <c r="V12" s="2" t="inlineStr"/>
      <c r="W12" s="2" t="inlineStr"/>
      <c r="X12" s="2" t="inlineStr">
        <is>
          <t>Decompose only from explicit face or note evidence; never fabricate a split.</t>
        </is>
      </c>
      <c r="Y12" s="2" t="inlineStr">
        <is>
          <t>Aggregate only mutually exclusive facts with identical period, scope, currency and unit.</t>
        </is>
      </c>
      <c r="Z12" s="2" t="inlineStr">
        <is>
          <t>Bind only to Statement Setup / general.</t>
        </is>
      </c>
      <c r="AA12" s="2" t="inlineStr"/>
      <c r="AB12" s="2" t="b">
        <v>1</v>
      </c>
      <c r="AC12" s="2" t="inlineStr"/>
      <c r="AD12" s="2" t="inlineStr">
        <is>
          <t>Exact field from Statement Setup!A15; value cell B15.</t>
        </is>
      </c>
      <c r="AE12" s="2" t="inlineStr">
        <is>
          <t>Notes may support direct extraction or decomposition with provenance. Formula outputs must be derived only from template dependencies.</t>
        </is>
      </c>
      <c r="AF12" s="2" t="inlineStr"/>
      <c r="AG12" s="2" t="inlineStr">
        <is>
          <t>[]</t>
        </is>
      </c>
      <c r="AH12" s="2" t="inlineStr">
        <is>
          <t>Difference</t>
        </is>
      </c>
      <c r="AI12" s="2" t="inlineStr"/>
      <c r="AJ12" s="2" t="inlineStr">
        <is>
          <t>{"template_sheet": "Statement Setup", "template_row": 15, "template_cell": "B15", "template_value_or_formula": 0, "calculation_type": "reported_input", "dependencies": [], "source_template": "Copy of Output_CSV Template.xlsx"}</t>
        </is>
      </c>
    </row>
    <row r="13">
      <c r="A13" s="2" t="inlineStr">
        <is>
          <t>general__unexplained_adj_to_ret_profits</t>
        </is>
      </c>
      <c r="B13" s="2" t="inlineStr">
        <is>
          <t>Unexplained Adj to Ret Profits</t>
        </is>
      </c>
      <c r="C13" s="2" t="inlineStr">
        <is>
          <t>general</t>
        </is>
      </c>
      <c r="D13" s="2" t="inlineStr">
        <is>
          <t>Extract the reported value for 'Unexplained Adj to Ret Profits' from the stated section. Do not calculate or replace it from other rows, because the revised template does not designate this field as formula-driven.</t>
        </is>
      </c>
      <c r="E13" s="2" t="inlineStr">
        <is>
          <t>Unexplained Adj to Ret Profits</t>
        </is>
      </c>
      <c r="F13" s="2" t="inlineStr">
        <is>
          <t>Unexplained Adj to Ret Profits</t>
        </is>
      </c>
      <c r="G13" s="2" t="inlineStr">
        <is>
          <t>^Unexplained\s+Adj\s+to\s+Ret\s+Profits$</t>
        </is>
      </c>
      <c r="H13" s="2" t="inlineStr"/>
      <c r="I13" s="2" t="inlineStr">
        <is>
          <t>Amounts or disclosures explicitly reported for Unexplained Adj to Ret Profits in Statement Setup / general.</t>
        </is>
      </c>
      <c r="J13" s="2" t="inlineStr">
        <is>
          <t>Do not substitute another section, period, entity scope, currency or unit; do not double count a parent and its children.</t>
        </is>
      </c>
      <c r="K13" s="2" t="inlineStr"/>
      <c r="L13" s="2" t="inlineStr">
        <is>
          <t>as_reported</t>
        </is>
      </c>
      <c r="M13" s="2" t="inlineStr">
        <is>
          <t>direct_exclusive</t>
        </is>
      </c>
      <c r="N13" s="2" t="n">
        <v>90</v>
      </c>
      <c r="O13" s="2" t="inlineStr">
        <is>
          <t>normalized_exact_then_regex</t>
        </is>
      </c>
      <c r="P13" s="3" t="inlineStr">
        <is>
          <t>extract</t>
        </is>
      </c>
      <c r="Q13" s="2" t="inlineStr">
        <is>
          <t>currency_amount</t>
        </is>
      </c>
      <c r="R13" s="2" t="inlineStr">
        <is>
          <t>as_disclosed</t>
        </is>
      </c>
      <c r="S13" s="2" t="inlineStr">
        <is>
          <t>allowed_with_provenance</t>
        </is>
      </c>
      <c r="T13" s="2" t="b">
        <v>0</v>
      </c>
      <c r="U13" s="2" t="b">
        <v>0</v>
      </c>
      <c r="V13" s="2" t="inlineStr"/>
      <c r="W13" s="2" t="inlineStr"/>
      <c r="X13" s="2" t="inlineStr">
        <is>
          <t>Decompose only from explicit face or note evidence; never fabricate a split.</t>
        </is>
      </c>
      <c r="Y13" s="2" t="inlineStr">
        <is>
          <t>Aggregate only mutually exclusive facts with identical period, scope, currency and unit.</t>
        </is>
      </c>
      <c r="Z13" s="2" t="inlineStr">
        <is>
          <t>Bind only to Statement Setup / general.</t>
        </is>
      </c>
      <c r="AA13" s="2" t="inlineStr"/>
      <c r="AB13" s="2" t="b">
        <v>1</v>
      </c>
      <c r="AC13" s="2" t="inlineStr"/>
      <c r="AD13" s="2" t="inlineStr">
        <is>
          <t>Exact field from Statement Setup!A16; value cell B16.</t>
        </is>
      </c>
      <c r="AE13" s="2" t="inlineStr">
        <is>
          <t>Notes may support direct extraction or decomposition with provenance. Formula outputs must be derived only from template dependencies.</t>
        </is>
      </c>
      <c r="AF13" s="2" t="inlineStr">
        <is>
          <t>{"mode": "no_balancing_plug", "negative_result": "review"}</t>
        </is>
      </c>
      <c r="AG13" s="2" t="inlineStr">
        <is>
          <t>[]</t>
        </is>
      </c>
      <c r="AH13" s="2" t="inlineStr">
        <is>
          <t>Unexplained Adj to Ret Profits</t>
        </is>
      </c>
      <c r="AI13" s="2" t="inlineStr"/>
      <c r="AJ13" s="2" t="inlineStr">
        <is>
          <t>{"template_sheet": "Statement Setup", "template_row": 16, "template_cell": "B16", "template_value_or_formula": 0, "calculation_type": "reported_input", "dependencies": [], "source_template": "Copy of Output_CSV Template.xlsx"}</t>
        </is>
      </c>
    </row>
    <row r="14">
      <c r="A14" s="2" t="inlineStr">
        <is>
          <t>general__audit_opinion_stmt_source</t>
        </is>
      </c>
      <c r="B14" s="2" t="inlineStr">
        <is>
          <t>Audit Opinion(Stmt Source)</t>
        </is>
      </c>
      <c r="C14" s="2" t="inlineStr">
        <is>
          <t>general</t>
        </is>
      </c>
      <c r="D14" s="2" t="inlineStr">
        <is>
          <t>Extract the reported value for 'Audit Opinion(Stmt Source)' from the stated section. Do not calculate or replace it from other rows, because the revised template does not designate this field as formula-driven.</t>
        </is>
      </c>
      <c r="E14" s="2" t="inlineStr">
        <is>
          <t>Audit Opinion(Stmt Source)</t>
        </is>
      </c>
      <c r="F14" s="2" t="inlineStr">
        <is>
          <t>Audit Opinion(Stmt Source)</t>
        </is>
      </c>
      <c r="G14" s="2" t="inlineStr">
        <is>
          <t>^Audit\s+Opinion\(Stmt\s+Source\)$</t>
        </is>
      </c>
      <c r="H14" s="2" t="inlineStr"/>
      <c r="I14" s="2" t="inlineStr">
        <is>
          <t>Amounts or disclosures explicitly reported for Audit Opinion(Stmt Source) in Statement Setup / general.</t>
        </is>
      </c>
      <c r="J14" s="2" t="inlineStr">
        <is>
          <t>Do not substitute another section, period, entity scope, currency or unit; do not double count a parent and its children.</t>
        </is>
      </c>
      <c r="K14" s="2" t="inlineStr"/>
      <c r="L14" s="2" t="inlineStr">
        <is>
          <t>as_reported</t>
        </is>
      </c>
      <c r="M14" s="2" t="inlineStr">
        <is>
          <t>direct_exclusive</t>
        </is>
      </c>
      <c r="N14" s="2" t="n">
        <v>90</v>
      </c>
      <c r="O14" s="2" t="inlineStr">
        <is>
          <t>normalized_exact_then_regex</t>
        </is>
      </c>
      <c r="P14" s="3" t="inlineStr">
        <is>
          <t>extract</t>
        </is>
      </c>
      <c r="Q14" s="2" t="inlineStr">
        <is>
          <t>text_or_enum</t>
        </is>
      </c>
      <c r="R14" s="2" t="inlineStr">
        <is>
          <t>as_disclosed</t>
        </is>
      </c>
      <c r="S14" s="2" t="inlineStr">
        <is>
          <t>allowed_with_provenance</t>
        </is>
      </c>
      <c r="T14" s="2" t="b">
        <v>0</v>
      </c>
      <c r="U14" s="2" t="b">
        <v>0</v>
      </c>
      <c r="V14" s="2" t="inlineStr"/>
      <c r="W14" s="2" t="inlineStr"/>
      <c r="X14" s="2" t="inlineStr">
        <is>
          <t>Decompose only from explicit face or note evidence; never fabricate a split.</t>
        </is>
      </c>
      <c r="Y14" s="2" t="inlineStr">
        <is>
          <t>Aggregate only mutually exclusive facts with identical period, scope, currency and unit.</t>
        </is>
      </c>
      <c r="Z14" s="2" t="inlineStr">
        <is>
          <t>Bind only to Statement Setup / general.</t>
        </is>
      </c>
      <c r="AA14" s="2" t="inlineStr"/>
      <c r="AB14" s="2" t="b">
        <v>1</v>
      </c>
      <c r="AC14" s="2" t="inlineStr"/>
      <c r="AD14" s="2" t="inlineStr">
        <is>
          <t>Exact field from Statement Setup!A17; value cell B17.</t>
        </is>
      </c>
      <c r="AE14" s="2" t="inlineStr">
        <is>
          <t>Notes may support direct extraction or decomposition with provenance. Formula outputs must be derived only from template dependencies.</t>
        </is>
      </c>
      <c r="AF14" s="2" t="inlineStr"/>
      <c r="AG14" s="2" t="inlineStr">
        <is>
          <t>[]</t>
        </is>
      </c>
      <c r="AH14" s="2" t="inlineStr">
        <is>
          <t>Audit Opinion(Stmt Source)</t>
        </is>
      </c>
      <c r="AI14" s="2" t="inlineStr"/>
      <c r="AJ14" s="2" t="inlineStr">
        <is>
          <t>{"template_sheet": "Statement Setup", "template_row": 17, "template_cell": "B17", "template_value_or_formula": "Unqualified", "calculation_type": "reported_input", "dependencies": [], "source_template": "Copy of Output_CSV Template.xlsx"}</t>
        </is>
      </c>
    </row>
    <row r="15">
      <c r="A15" s="2" t="inlineStr">
        <is>
          <t>general__accounting_standard</t>
        </is>
      </c>
      <c r="B15" s="2" t="inlineStr">
        <is>
          <t>Accounting Standard</t>
        </is>
      </c>
      <c r="C15" s="2" t="inlineStr">
        <is>
          <t>general</t>
        </is>
      </c>
      <c r="D15" s="2" t="inlineStr">
        <is>
          <t>Extract the reported value for 'Accounting Standard' from the stated section. Do not calculate or replace it from other rows, because the revised template does not designate this field as formula-driven.</t>
        </is>
      </c>
      <c r="E15" s="2" t="inlineStr">
        <is>
          <t>Accounting Standard</t>
        </is>
      </c>
      <c r="F15" s="2" t="inlineStr">
        <is>
          <t>Accounting Standard</t>
        </is>
      </c>
      <c r="G15" s="2" t="inlineStr">
        <is>
          <t>^Accounting\s+Standard$</t>
        </is>
      </c>
      <c r="H15" s="2" t="inlineStr"/>
      <c r="I15" s="2" t="inlineStr">
        <is>
          <t>Amounts or disclosures explicitly reported for Accounting Standard in Statement Setup / general.</t>
        </is>
      </c>
      <c r="J15" s="2" t="inlineStr">
        <is>
          <t>Do not substitute another section, period, entity scope, currency or unit; do not double count a parent and its children.</t>
        </is>
      </c>
      <c r="K15" s="2" t="inlineStr"/>
      <c r="L15" s="2" t="inlineStr">
        <is>
          <t>as_reported</t>
        </is>
      </c>
      <c r="M15" s="2" t="inlineStr">
        <is>
          <t>direct_exclusive</t>
        </is>
      </c>
      <c r="N15" s="2" t="n">
        <v>90</v>
      </c>
      <c r="O15" s="2" t="inlineStr">
        <is>
          <t>normalized_exact_then_regex</t>
        </is>
      </c>
      <c r="P15" s="3" t="inlineStr">
        <is>
          <t>extract</t>
        </is>
      </c>
      <c r="Q15" s="2" t="inlineStr">
        <is>
          <t>text_or_enum</t>
        </is>
      </c>
      <c r="R15" s="2" t="inlineStr">
        <is>
          <t>as_disclosed</t>
        </is>
      </c>
      <c r="S15" s="2" t="inlineStr">
        <is>
          <t>allowed_with_provenance</t>
        </is>
      </c>
      <c r="T15" s="2" t="b">
        <v>0</v>
      </c>
      <c r="U15" s="2" t="b">
        <v>0</v>
      </c>
      <c r="V15" s="2" t="inlineStr"/>
      <c r="W15" s="2" t="inlineStr"/>
      <c r="X15" s="2" t="inlineStr">
        <is>
          <t>Decompose only from explicit face or note evidence; never fabricate a split.</t>
        </is>
      </c>
      <c r="Y15" s="2" t="inlineStr">
        <is>
          <t>Aggregate only mutually exclusive facts with identical period, scope, currency and unit.</t>
        </is>
      </c>
      <c r="Z15" s="2" t="inlineStr">
        <is>
          <t>Bind only to Statement Setup / general.</t>
        </is>
      </c>
      <c r="AA15" s="2" t="inlineStr"/>
      <c r="AB15" s="2" t="b">
        <v>1</v>
      </c>
      <c r="AC15" s="2" t="inlineStr"/>
      <c r="AD15" s="2" t="inlineStr">
        <is>
          <t>Exact field from Statement Setup!A18; value cell B18.</t>
        </is>
      </c>
      <c r="AE15" s="2" t="inlineStr">
        <is>
          <t>Notes may support direct extraction or decomposition with provenance. Formula outputs must be derived only from template dependencies.</t>
        </is>
      </c>
      <c r="AF15" s="2" t="inlineStr"/>
      <c r="AG15" s="2" t="inlineStr">
        <is>
          <t>[]</t>
        </is>
      </c>
      <c r="AH15" s="2" t="inlineStr">
        <is>
          <t>Accounting Standard</t>
        </is>
      </c>
      <c r="AI15" s="2" t="inlineStr"/>
      <c r="AJ15" s="2" t="inlineStr">
        <is>
          <t>{"template_sheet": "Statement Setup", "template_row": 18, "template_cell": "B18", "template_value_or_formula": "IFRS", "calculation_type": "reported_input", "dependencies": [], "source_template": "Copy of Output_CSV Template.xlsx"}</t>
        </is>
      </c>
    </row>
    <row r="16">
      <c r="A16" s="2" t="inlineStr">
        <is>
          <t>general__accountant</t>
        </is>
      </c>
      <c r="B16" s="2" t="inlineStr">
        <is>
          <t>Accountant</t>
        </is>
      </c>
      <c r="C16" s="2" t="inlineStr">
        <is>
          <t>general</t>
        </is>
      </c>
      <c r="D16" s="2" t="inlineStr">
        <is>
          <t>Extract the reported value for 'Accountant' from the stated section. Do not calculate or replace it from other rows, because the revised template does not designate this field as formula-driven.</t>
        </is>
      </c>
      <c r="E16" s="2" t="inlineStr">
        <is>
          <t>Accountant</t>
        </is>
      </c>
      <c r="F16" s="2" t="inlineStr">
        <is>
          <t>Accountant</t>
        </is>
      </c>
      <c r="G16" s="2" t="inlineStr">
        <is>
          <t>^Accountant$</t>
        </is>
      </c>
      <c r="H16" s="2" t="inlineStr"/>
      <c r="I16" s="2" t="inlineStr">
        <is>
          <t>Amounts or disclosures explicitly reported for Accountant in Statement Setup / general.</t>
        </is>
      </c>
      <c r="J16" s="2" t="inlineStr">
        <is>
          <t>Do not substitute another section, period, entity scope, currency or unit; do not double count a parent and its children.</t>
        </is>
      </c>
      <c r="K16" s="2" t="inlineStr"/>
      <c r="L16" s="2" t="inlineStr">
        <is>
          <t>as_reported</t>
        </is>
      </c>
      <c r="M16" s="2" t="inlineStr">
        <is>
          <t>direct_exclusive</t>
        </is>
      </c>
      <c r="N16" s="2" t="n">
        <v>90</v>
      </c>
      <c r="O16" s="2" t="inlineStr">
        <is>
          <t>normalized_exact_then_regex</t>
        </is>
      </c>
      <c r="P16" s="3" t="inlineStr">
        <is>
          <t>extract</t>
        </is>
      </c>
      <c r="Q16" s="2" t="inlineStr">
        <is>
          <t>text_or_enum</t>
        </is>
      </c>
      <c r="R16" s="2" t="inlineStr">
        <is>
          <t>as_disclosed</t>
        </is>
      </c>
      <c r="S16" s="2" t="inlineStr">
        <is>
          <t>allowed_with_provenance</t>
        </is>
      </c>
      <c r="T16" s="2" t="b">
        <v>0</v>
      </c>
      <c r="U16" s="2" t="b">
        <v>0</v>
      </c>
      <c r="V16" s="2" t="inlineStr"/>
      <c r="W16" s="2" t="inlineStr"/>
      <c r="X16" s="2" t="inlineStr">
        <is>
          <t>Decompose only from explicit face or note evidence; never fabricate a split.</t>
        </is>
      </c>
      <c r="Y16" s="2" t="inlineStr">
        <is>
          <t>Aggregate only mutually exclusive facts with identical period, scope, currency and unit.</t>
        </is>
      </c>
      <c r="Z16" s="2" t="inlineStr">
        <is>
          <t>Bind only to Statement Setup / general.</t>
        </is>
      </c>
      <c r="AA16" s="2" t="inlineStr"/>
      <c r="AB16" s="2" t="b">
        <v>1</v>
      </c>
      <c r="AC16" s="2" t="inlineStr"/>
      <c r="AD16" s="2" t="inlineStr">
        <is>
          <t>Exact field from Statement Setup!A19; value cell B19.</t>
        </is>
      </c>
      <c r="AE16" s="2" t="inlineStr">
        <is>
          <t>Notes may support direct extraction or decomposition with provenance. Formula outputs must be derived only from template dependencies.</t>
        </is>
      </c>
      <c r="AF16" s="2" t="inlineStr"/>
      <c r="AG16" s="2" t="inlineStr">
        <is>
          <t>[]</t>
        </is>
      </c>
      <c r="AH16" s="2" t="inlineStr">
        <is>
          <t>Accountant</t>
        </is>
      </c>
      <c r="AI16" s="2" t="inlineStr"/>
      <c r="AJ16" s="2" t="inlineStr">
        <is>
          <t>{"template_sheet": "Statement Setup", "template_row": 19, "template_cell": "B19", "template_value_or_formula": "BB", "calculation_type": "reported_input", "dependencies": [], "source_template": "Copy of Output_CSV Template.xlsx"}</t>
        </is>
      </c>
    </row>
    <row r="17">
      <c r="A17" s="2" t="inlineStr">
        <is>
          <t>general__analyst</t>
        </is>
      </c>
      <c r="B17" s="2" t="inlineStr">
        <is>
          <t>Analyst</t>
        </is>
      </c>
      <c r="C17" s="2" t="inlineStr">
        <is>
          <t>general</t>
        </is>
      </c>
      <c r="D17" s="2" t="inlineStr">
        <is>
          <t>Extract the reported value for 'Analyst' from the stated section. Do not calculate or replace it from other rows, because the revised template does not designate this field as formula-driven.</t>
        </is>
      </c>
      <c r="E17" s="2" t="inlineStr">
        <is>
          <t>Analyst</t>
        </is>
      </c>
      <c r="F17" s="2" t="inlineStr">
        <is>
          <t>Analyst</t>
        </is>
      </c>
      <c r="G17" s="2" t="inlineStr">
        <is>
          <t>^Analyst$</t>
        </is>
      </c>
      <c r="H17" s="2" t="inlineStr"/>
      <c r="I17" s="2" t="inlineStr">
        <is>
          <t>Amounts or disclosures explicitly reported for Analyst in Statement Setup / general.</t>
        </is>
      </c>
      <c r="J17" s="2" t="inlineStr">
        <is>
          <t>Do not substitute another section, period, entity scope, currency or unit; do not double count a parent and its children.</t>
        </is>
      </c>
      <c r="K17" s="2" t="inlineStr"/>
      <c r="L17" s="2" t="inlineStr">
        <is>
          <t>as_reported</t>
        </is>
      </c>
      <c r="M17" s="2" t="inlineStr">
        <is>
          <t>direct_exclusive</t>
        </is>
      </c>
      <c r="N17" s="2" t="n">
        <v>90</v>
      </c>
      <c r="O17" s="2" t="inlineStr">
        <is>
          <t>normalized_exact_then_regex</t>
        </is>
      </c>
      <c r="P17" s="3" t="inlineStr">
        <is>
          <t>extract</t>
        </is>
      </c>
      <c r="Q17" s="2" t="inlineStr">
        <is>
          <t>text_or_enum</t>
        </is>
      </c>
      <c r="R17" s="2" t="inlineStr">
        <is>
          <t>as_disclosed</t>
        </is>
      </c>
      <c r="S17" s="2" t="inlineStr">
        <is>
          <t>allowed_with_provenance</t>
        </is>
      </c>
      <c r="T17" s="2" t="b">
        <v>0</v>
      </c>
      <c r="U17" s="2" t="b">
        <v>0</v>
      </c>
      <c r="V17" s="2" t="inlineStr"/>
      <c r="W17" s="2" t="inlineStr"/>
      <c r="X17" s="2" t="inlineStr">
        <is>
          <t>Decompose only from explicit face or note evidence; never fabricate a split.</t>
        </is>
      </c>
      <c r="Y17" s="2" t="inlineStr">
        <is>
          <t>Aggregate only mutually exclusive facts with identical period, scope, currency and unit.</t>
        </is>
      </c>
      <c r="Z17" s="2" t="inlineStr">
        <is>
          <t>Bind only to Statement Setup / general.</t>
        </is>
      </c>
      <c r="AA17" s="2" t="inlineStr"/>
      <c r="AB17" s="2" t="b">
        <v>1</v>
      </c>
      <c r="AC17" s="2" t="inlineStr"/>
      <c r="AD17" s="2" t="inlineStr">
        <is>
          <t>Exact field from Statement Setup!A20; value cell B20.</t>
        </is>
      </c>
      <c r="AE17" s="2" t="inlineStr">
        <is>
          <t>Notes may support direct extraction or decomposition with provenance. Formula outputs must be derived only from template dependencies.</t>
        </is>
      </c>
      <c r="AF17" s="2" t="inlineStr"/>
      <c r="AG17" s="2" t="inlineStr">
        <is>
          <t>[]</t>
        </is>
      </c>
      <c r="AH17" s="2" t="inlineStr">
        <is>
          <t>Analyst</t>
        </is>
      </c>
      <c r="AI17" s="2" t="inlineStr"/>
      <c r="AJ17" s="2" t="inlineStr">
        <is>
          <t>{"template_sheet": "Statement Setup", "template_row": 20, "template_cell": "B20", "template_value_or_formula": "CC", "calculation_type": "reported_input", "dependencies": [], "source_template": "Copy of Output_CSV Template.xlsx"}</t>
        </is>
      </c>
    </row>
    <row r="18">
      <c r="A18" s="2" t="inlineStr">
        <is>
          <t>general__statement_type</t>
        </is>
      </c>
      <c r="B18" s="2" t="inlineStr">
        <is>
          <t>Statement type</t>
        </is>
      </c>
      <c r="C18" s="2" t="inlineStr">
        <is>
          <t>general</t>
        </is>
      </c>
      <c r="D18" s="2" t="inlineStr">
        <is>
          <t>Extract the reported value for 'Statement type' from the stated section. Do not calculate or replace it from other rows, because the revised template does not designate this field as formula-driven.</t>
        </is>
      </c>
      <c r="E18" s="2" t="inlineStr">
        <is>
          <t>Statement type</t>
        </is>
      </c>
      <c r="F18" s="2" t="inlineStr">
        <is>
          <t>Statement type</t>
        </is>
      </c>
      <c r="G18" s="2" t="inlineStr">
        <is>
          <t>^Statement\s+type$</t>
        </is>
      </c>
      <c r="H18" s="2" t="inlineStr"/>
      <c r="I18" s="2" t="inlineStr">
        <is>
          <t>Amounts or disclosures explicitly reported for Statement type in Statement Setup / general.</t>
        </is>
      </c>
      <c r="J18" s="2" t="inlineStr">
        <is>
          <t>Do not substitute another section, period, entity scope, currency or unit; do not double count a parent and its children.</t>
        </is>
      </c>
      <c r="K18" s="2" t="inlineStr"/>
      <c r="L18" s="2" t="inlineStr">
        <is>
          <t>as_reported</t>
        </is>
      </c>
      <c r="M18" s="2" t="inlineStr">
        <is>
          <t>direct_exclusive</t>
        </is>
      </c>
      <c r="N18" s="2" t="n">
        <v>90</v>
      </c>
      <c r="O18" s="2" t="inlineStr">
        <is>
          <t>normalized_exact_then_regex</t>
        </is>
      </c>
      <c r="P18" s="3" t="inlineStr">
        <is>
          <t>extract</t>
        </is>
      </c>
      <c r="Q18" s="2" t="inlineStr">
        <is>
          <t>text_or_enum</t>
        </is>
      </c>
      <c r="R18" s="2" t="inlineStr">
        <is>
          <t>as_disclosed</t>
        </is>
      </c>
      <c r="S18" s="2" t="inlineStr">
        <is>
          <t>allowed_with_provenance</t>
        </is>
      </c>
      <c r="T18" s="2" t="b">
        <v>0</v>
      </c>
      <c r="U18" s="2" t="b">
        <v>0</v>
      </c>
      <c r="V18" s="2" t="inlineStr"/>
      <c r="W18" s="2" t="inlineStr"/>
      <c r="X18" s="2" t="inlineStr">
        <is>
          <t>Decompose only from explicit face or note evidence; never fabricate a split.</t>
        </is>
      </c>
      <c r="Y18" s="2" t="inlineStr">
        <is>
          <t>Aggregate only mutually exclusive facts with identical period, scope, currency and unit.</t>
        </is>
      </c>
      <c r="Z18" s="2" t="inlineStr">
        <is>
          <t>Bind only to Statement Setup / general.</t>
        </is>
      </c>
      <c r="AA18" s="2" t="inlineStr"/>
      <c r="AB18" s="2" t="b">
        <v>1</v>
      </c>
      <c r="AC18" s="2" t="inlineStr"/>
      <c r="AD18" s="2" t="inlineStr">
        <is>
          <t>Exact field from Statement Setup!A21; value cell B21.</t>
        </is>
      </c>
      <c r="AE18" s="2" t="inlineStr">
        <is>
          <t>Notes may support direct extraction or decomposition with provenance. Formula outputs must be derived only from template dependencies.</t>
        </is>
      </c>
      <c r="AF18" s="2" t="inlineStr"/>
      <c r="AG18" s="2" t="inlineStr">
        <is>
          <t>[]</t>
        </is>
      </c>
      <c r="AH18" s="2" t="inlineStr">
        <is>
          <t>Statement type</t>
        </is>
      </c>
      <c r="AI18" s="2" t="inlineStr"/>
      <c r="AJ18" s="2" t="inlineStr">
        <is>
          <t>{"template_sheet": "Statement Setup", "template_row": 21, "template_cell": "B21", "template_value_or_formula": "Annual", "calculation_type": "reported_input", "dependencies": [], "source_template": "Copy of Output_CSV Template.xlsx"}</t>
        </is>
      </c>
    </row>
    <row r="19">
      <c r="A19" s="2" t="inlineStr">
        <is>
          <t>general__status</t>
        </is>
      </c>
      <c r="B19" s="2" t="inlineStr">
        <is>
          <t>Status</t>
        </is>
      </c>
      <c r="C19" s="2" t="inlineStr">
        <is>
          <t>general</t>
        </is>
      </c>
      <c r="D19" s="2" t="inlineStr">
        <is>
          <t>Extract the reported value for 'Status' from the stated section. Do not calculate or replace it from other rows, because the revised template does not designate this field as formula-driven.</t>
        </is>
      </c>
      <c r="E19" s="2" t="inlineStr">
        <is>
          <t>Status</t>
        </is>
      </c>
      <c r="F19" s="2" t="inlineStr">
        <is>
          <t>Status</t>
        </is>
      </c>
      <c r="G19" s="2" t="inlineStr">
        <is>
          <t>^Status$</t>
        </is>
      </c>
      <c r="H19" s="2" t="inlineStr"/>
      <c r="I19" s="2" t="inlineStr">
        <is>
          <t>Amounts or disclosures explicitly reported for Status in Statement Setup / general.</t>
        </is>
      </c>
      <c r="J19" s="2" t="inlineStr">
        <is>
          <t>Do not substitute another section, period, entity scope, currency or unit; do not double count a parent and its children.</t>
        </is>
      </c>
      <c r="K19" s="2" t="inlineStr"/>
      <c r="L19" s="2" t="inlineStr">
        <is>
          <t>as_reported</t>
        </is>
      </c>
      <c r="M19" s="2" t="inlineStr">
        <is>
          <t>direct_exclusive</t>
        </is>
      </c>
      <c r="N19" s="2" t="n">
        <v>90</v>
      </c>
      <c r="O19" s="2" t="inlineStr">
        <is>
          <t>normalized_exact_then_regex</t>
        </is>
      </c>
      <c r="P19" s="3" t="inlineStr">
        <is>
          <t>extract</t>
        </is>
      </c>
      <c r="Q19" s="2" t="inlineStr">
        <is>
          <t>text_or_enum</t>
        </is>
      </c>
      <c r="R19" s="2" t="inlineStr">
        <is>
          <t>as_disclosed</t>
        </is>
      </c>
      <c r="S19" s="2" t="inlineStr">
        <is>
          <t>allowed_with_provenance</t>
        </is>
      </c>
      <c r="T19" s="2" t="b">
        <v>0</v>
      </c>
      <c r="U19" s="2" t="b">
        <v>0</v>
      </c>
      <c r="V19" s="2" t="inlineStr"/>
      <c r="W19" s="2" t="inlineStr"/>
      <c r="X19" s="2" t="inlineStr">
        <is>
          <t>Decompose only from explicit face or note evidence; never fabricate a split.</t>
        </is>
      </c>
      <c r="Y19" s="2" t="inlineStr">
        <is>
          <t>Aggregate only mutually exclusive facts with identical period, scope, currency and unit.</t>
        </is>
      </c>
      <c r="Z19" s="2" t="inlineStr">
        <is>
          <t>Bind only to Statement Setup / general.</t>
        </is>
      </c>
      <c r="AA19" s="2" t="inlineStr"/>
      <c r="AB19" s="2" t="b">
        <v>1</v>
      </c>
      <c r="AC19" s="2" t="inlineStr"/>
      <c r="AD19" s="2" t="inlineStr">
        <is>
          <t>Exact field from Statement Setup!A22; value cell B22.</t>
        </is>
      </c>
      <c r="AE19" s="2" t="inlineStr">
        <is>
          <t>Notes may support direct extraction or decomposition with provenance. Formula outputs must be derived only from template dependencies.</t>
        </is>
      </c>
      <c r="AF19" s="2" t="inlineStr"/>
      <c r="AG19" s="2" t="inlineStr">
        <is>
          <t>[]</t>
        </is>
      </c>
      <c r="AH19" s="2" t="inlineStr">
        <is>
          <t>Status</t>
        </is>
      </c>
      <c r="AI19" s="2" t="inlineStr"/>
      <c r="AJ19" s="2" t="inlineStr">
        <is>
          <t>{"template_sheet": "Statement Setup", "template_row": 22, "template_cell": "B22", "template_value_or_formula": "Work In Progress", "calculation_type": "reported_input", "dependencies": [], "source_template": "Copy of Output_CSV Template.xlsx"}</t>
        </is>
      </c>
    </row>
    <row r="20">
      <c r="A20" s="2" t="inlineStr">
        <is>
          <t>general__reconcile_to</t>
        </is>
      </c>
      <c r="B20" s="2" t="inlineStr">
        <is>
          <t>Reconcile To</t>
        </is>
      </c>
      <c r="C20" s="2" t="inlineStr">
        <is>
          <t>general</t>
        </is>
      </c>
      <c r="D20" s="2" t="inlineStr">
        <is>
          <t>Extract the reported value for 'Reconcile To' from the stated section. Do not calculate or replace it from other rows, because the revised template does not designate this field as formula-driven.</t>
        </is>
      </c>
      <c r="E20" s="2" t="inlineStr">
        <is>
          <t>Reconcile To</t>
        </is>
      </c>
      <c r="F20" s="2" t="inlineStr">
        <is>
          <t>Reconcile To</t>
        </is>
      </c>
      <c r="G20" s="2" t="inlineStr">
        <is>
          <t>^Reconcile\s+To$</t>
        </is>
      </c>
      <c r="H20" s="2" t="inlineStr"/>
      <c r="I20" s="2" t="inlineStr">
        <is>
          <t>Amounts or disclosures explicitly reported for Reconcile To in Statement Setup / general.</t>
        </is>
      </c>
      <c r="J20" s="2" t="inlineStr">
        <is>
          <t>Do not substitute another section, period, entity scope, currency or unit; do not double count a parent and its children.</t>
        </is>
      </c>
      <c r="K20" s="2" t="inlineStr"/>
      <c r="L20" s="2" t="inlineStr">
        <is>
          <t>as_reported</t>
        </is>
      </c>
      <c r="M20" s="2" t="inlineStr">
        <is>
          <t>direct_exclusive</t>
        </is>
      </c>
      <c r="N20" s="2" t="n">
        <v>90</v>
      </c>
      <c r="O20" s="2" t="inlineStr">
        <is>
          <t>normalized_exact_then_regex</t>
        </is>
      </c>
      <c r="P20" s="3" t="inlineStr">
        <is>
          <t>extract</t>
        </is>
      </c>
      <c r="Q20" s="2" t="inlineStr">
        <is>
          <t>text_or_enum</t>
        </is>
      </c>
      <c r="R20" s="2" t="inlineStr">
        <is>
          <t>as_disclosed</t>
        </is>
      </c>
      <c r="S20" s="2" t="inlineStr">
        <is>
          <t>allowed_with_provenance</t>
        </is>
      </c>
      <c r="T20" s="2" t="b">
        <v>0</v>
      </c>
      <c r="U20" s="2" t="b">
        <v>0</v>
      </c>
      <c r="V20" s="2" t="inlineStr"/>
      <c r="W20" s="2" t="inlineStr"/>
      <c r="X20" s="2" t="inlineStr">
        <is>
          <t>Decompose only from explicit face or note evidence; never fabricate a split.</t>
        </is>
      </c>
      <c r="Y20" s="2" t="inlineStr">
        <is>
          <t>Aggregate only mutually exclusive facts with identical period, scope, currency and unit.</t>
        </is>
      </c>
      <c r="Z20" s="2" t="inlineStr">
        <is>
          <t>Bind only to Statement Setup / general.</t>
        </is>
      </c>
      <c r="AA20" s="2" t="inlineStr"/>
      <c r="AB20" s="2" t="b">
        <v>1</v>
      </c>
      <c r="AC20" s="2" t="inlineStr"/>
      <c r="AD20" s="2" t="inlineStr">
        <is>
          <t>Exact field from Statement Setup!A23; value cell B23.</t>
        </is>
      </c>
      <c r="AE20" s="2" t="inlineStr">
        <is>
          <t>Notes may support direct extraction or decomposition with provenance. Formula outputs must be derived only from template dependencies.</t>
        </is>
      </c>
      <c r="AF20" s="2" t="inlineStr"/>
      <c r="AG20" s="2" t="inlineStr">
        <is>
          <t>[]</t>
        </is>
      </c>
      <c r="AH20" s="2" t="inlineStr">
        <is>
          <t>Reconcile To</t>
        </is>
      </c>
      <c r="AI20" s="2" t="inlineStr"/>
      <c r="AJ20" s="2" t="inlineStr">
        <is>
          <t>{"template_sheet": "Statement Setup", "template_row": 23, "template_cell": "B23", "template_value_or_formula": "31/12/2019", "calculation_type": "reported_input", "dependencies": [], "source_template": "Copy of Output_CSV Template.xlsx"}</t>
        </is>
      </c>
    </row>
    <row r="21">
      <c r="A21" s="2" t="inlineStr">
        <is>
          <t>bs_nca__land</t>
        </is>
      </c>
      <c r="B21" s="2" t="inlineStr">
        <is>
          <t>Land</t>
        </is>
      </c>
      <c r="C21" s="2" t="inlineStr">
        <is>
          <t>bs_nca</t>
        </is>
      </c>
      <c r="D21" s="2" t="inlineStr">
        <is>
          <t>Extract the reported value for 'Land' from the stated section. Do not calculate or replace it from other rows, because the revised template does not designate this field as formula-driven.</t>
        </is>
      </c>
      <c r="E21" s="2" t="inlineStr">
        <is>
          <t>Land</t>
        </is>
      </c>
      <c r="F21" s="2" t="inlineStr">
        <is>
          <t>Land</t>
        </is>
      </c>
      <c r="G21" s="2" t="inlineStr">
        <is>
          <t>^Land$</t>
        </is>
      </c>
      <c r="H21" s="2" t="inlineStr"/>
      <c r="I21" s="2" t="inlineStr">
        <is>
          <t>Amounts or disclosures explicitly reported for Land in Balance Sheet / bs_nca.</t>
        </is>
      </c>
      <c r="J21" s="2" t="inlineStr">
        <is>
          <t>Do not substitute another section, period, entity scope, currency or unit; do not double count a parent and its children.</t>
        </is>
      </c>
      <c r="K21" s="2" t="inlineStr"/>
      <c r="L21" s="2" t="inlineStr">
        <is>
          <t>as_reported</t>
        </is>
      </c>
      <c r="M21" s="2" t="inlineStr">
        <is>
          <t>direct_exclusive</t>
        </is>
      </c>
      <c r="N21" s="2" t="n">
        <v>90</v>
      </c>
      <c r="O21" s="2" t="inlineStr">
        <is>
          <t>normalized_exact_then_regex</t>
        </is>
      </c>
      <c r="P21" s="3" t="inlineStr">
        <is>
          <t>extract</t>
        </is>
      </c>
      <c r="Q21" s="2" t="inlineStr">
        <is>
          <t>currency_amount</t>
        </is>
      </c>
      <c r="R21" s="2" t="inlineStr">
        <is>
          <t>period_end</t>
        </is>
      </c>
      <c r="S21" s="2" t="inlineStr">
        <is>
          <t>allowed_with_provenance</t>
        </is>
      </c>
      <c r="T21" s="2" t="b">
        <v>0</v>
      </c>
      <c r="U21" s="2" t="b">
        <v>0</v>
      </c>
      <c r="V21" s="2" t="inlineStr"/>
      <c r="W21" s="2" t="inlineStr"/>
      <c r="X21" s="2" t="inlineStr">
        <is>
          <t>Decompose only from explicit face or note evidence; never fabricate a split.</t>
        </is>
      </c>
      <c r="Y21" s="2" t="inlineStr">
        <is>
          <t>Aggregate only mutually exclusive facts with identical period, scope, currency and unit.</t>
        </is>
      </c>
      <c r="Z21" s="2" t="inlineStr">
        <is>
          <t>Bind only to Balance Sheet / bs_nca.</t>
        </is>
      </c>
      <c r="AA21" s="2" t="inlineStr"/>
      <c r="AB21" s="2" t="b">
        <v>1</v>
      </c>
      <c r="AC21" s="2" t="inlineStr"/>
      <c r="AD21" s="2" t="inlineStr">
        <is>
          <t>Exact field from Balance Sheet!A6; value cell B6.</t>
        </is>
      </c>
      <c r="AE21" s="2" t="inlineStr">
        <is>
          <t>Notes may support direct extraction or decomposition with provenance. Formula outputs must be derived only from template dependencies.</t>
        </is>
      </c>
      <c r="AF21" s="2" t="inlineStr"/>
      <c r="AG21" s="2" t="inlineStr">
        <is>
          <t>[]</t>
        </is>
      </c>
      <c r="AH21" s="2" t="inlineStr">
        <is>
          <t>Land</t>
        </is>
      </c>
      <c r="AI21" s="2" t="inlineStr"/>
      <c r="AJ21" s="2" t="inlineStr">
        <is>
          <t>{"template_sheet": "Balance Sheet", "template_row": 6, "template_cell": "B6", "template_value_or_formula": 26, "calculation_type": "reported_input", "dependencies": [], "source_template": "Copy of Output_CSV Template.xlsx"}</t>
        </is>
      </c>
    </row>
    <row r="22">
      <c r="A22" s="2" t="inlineStr">
        <is>
          <t>bs_nca__buildings</t>
        </is>
      </c>
      <c r="B22" s="2" t="inlineStr">
        <is>
          <t>Buildings</t>
        </is>
      </c>
      <c r="C22" s="2" t="inlineStr">
        <is>
          <t>bs_nca</t>
        </is>
      </c>
      <c r="D22" s="2" t="inlineStr">
        <is>
          <t>Extract the reported value for 'Buildings' from the stated section. Do not calculate or replace it from other rows, because the revised template does not designate this field as formula-driven.</t>
        </is>
      </c>
      <c r="E22" s="2" t="inlineStr">
        <is>
          <t>Buildings</t>
        </is>
      </c>
      <c r="F22" s="2" t="inlineStr">
        <is>
          <t>Buildings</t>
        </is>
      </c>
      <c r="G22" s="2" t="inlineStr">
        <is>
          <t>^Buildings$</t>
        </is>
      </c>
      <c r="H22" s="2" t="inlineStr"/>
      <c r="I22" s="2" t="inlineStr">
        <is>
          <t>Amounts or disclosures explicitly reported for Buildings in Balance Sheet / bs_nca.</t>
        </is>
      </c>
      <c r="J22" s="2" t="inlineStr">
        <is>
          <t>Do not substitute another section, period, entity scope, currency or unit; do not double count a parent and its children.</t>
        </is>
      </c>
      <c r="K22" s="2" t="inlineStr"/>
      <c r="L22" s="2" t="inlineStr">
        <is>
          <t>as_reported</t>
        </is>
      </c>
      <c r="M22" s="2" t="inlineStr">
        <is>
          <t>direct_exclusive</t>
        </is>
      </c>
      <c r="N22" s="2" t="n">
        <v>90</v>
      </c>
      <c r="O22" s="2" t="inlineStr">
        <is>
          <t>normalized_exact_then_regex</t>
        </is>
      </c>
      <c r="P22" s="3" t="inlineStr">
        <is>
          <t>extract</t>
        </is>
      </c>
      <c r="Q22" s="2" t="inlineStr">
        <is>
          <t>currency_amount</t>
        </is>
      </c>
      <c r="R22" s="2" t="inlineStr">
        <is>
          <t>period_end</t>
        </is>
      </c>
      <c r="S22" s="2" t="inlineStr">
        <is>
          <t>allowed_with_provenance</t>
        </is>
      </c>
      <c r="T22" s="2" t="b">
        <v>0</v>
      </c>
      <c r="U22" s="2" t="b">
        <v>0</v>
      </c>
      <c r="V22" s="2" t="inlineStr"/>
      <c r="W22" s="2" t="inlineStr"/>
      <c r="X22" s="2" t="inlineStr">
        <is>
          <t>Decompose only from explicit face or note evidence; never fabricate a split.</t>
        </is>
      </c>
      <c r="Y22" s="2" t="inlineStr">
        <is>
          <t>Aggregate only mutually exclusive facts with identical period, scope, currency and unit.</t>
        </is>
      </c>
      <c r="Z22" s="2" t="inlineStr">
        <is>
          <t>Bind only to Balance Sheet / bs_nca.</t>
        </is>
      </c>
      <c r="AA22" s="2" t="inlineStr"/>
      <c r="AB22" s="2" t="b">
        <v>1</v>
      </c>
      <c r="AC22" s="2" t="inlineStr"/>
      <c r="AD22" s="2" t="inlineStr">
        <is>
          <t>Exact field from Balance Sheet!A7; value cell B7.</t>
        </is>
      </c>
      <c r="AE22" s="2" t="inlineStr">
        <is>
          <t>Notes may support direct extraction or decomposition with provenance. Formula outputs must be derived only from template dependencies.</t>
        </is>
      </c>
      <c r="AF22" s="2" t="inlineStr"/>
      <c r="AG22" s="2" t="inlineStr">
        <is>
          <t>[]</t>
        </is>
      </c>
      <c r="AH22" s="2" t="inlineStr">
        <is>
          <t>Buildings</t>
        </is>
      </c>
      <c r="AI22" s="2" t="inlineStr"/>
      <c r="AJ22" s="2" t="inlineStr">
        <is>
          <t>{"template_sheet": "Balance Sheet", "template_row": 7, "template_cell": "B7", "template_value_or_formula": 43, "calculation_type": "reported_input", "dependencies": [], "source_template": "Copy of Output_CSV Template.xlsx"}</t>
        </is>
      </c>
    </row>
    <row r="23">
      <c r="A23" s="2" t="inlineStr">
        <is>
          <t>bs_nca__leasehold_improvements</t>
        </is>
      </c>
      <c r="B23" s="2" t="inlineStr">
        <is>
          <t>Leasehold Improvements</t>
        </is>
      </c>
      <c r="C23" s="2" t="inlineStr">
        <is>
          <t>bs_nca</t>
        </is>
      </c>
      <c r="D23" s="2" t="inlineStr">
        <is>
          <t>Extract the reported value for 'Leasehold Improvements' from the stated section. Do not calculate or replace it from other rows, because the revised template does not designate this field as formula-driven.</t>
        </is>
      </c>
      <c r="E23" s="2" t="inlineStr">
        <is>
          <t>Leasehold Improvements</t>
        </is>
      </c>
      <c r="F23" s="2" t="inlineStr">
        <is>
          <t>Leasehold Improvements</t>
        </is>
      </c>
      <c r="G23" s="2" t="inlineStr">
        <is>
          <t>^Leasehold\s+Improvements$</t>
        </is>
      </c>
      <c r="H23" s="2" t="inlineStr"/>
      <c r="I23" s="2" t="inlineStr">
        <is>
          <t>Amounts or disclosures explicitly reported for Leasehold Improvements in Balance Sheet / bs_nca.</t>
        </is>
      </c>
      <c r="J23" s="2" t="inlineStr">
        <is>
          <t>Do not substitute another section, period, entity scope, currency or unit; do not double count a parent and its children.</t>
        </is>
      </c>
      <c r="K23" s="2" t="inlineStr"/>
      <c r="L23" s="2" t="inlineStr">
        <is>
          <t>as_reported</t>
        </is>
      </c>
      <c r="M23" s="2" t="inlineStr">
        <is>
          <t>direct_exclusive</t>
        </is>
      </c>
      <c r="N23" s="2" t="n">
        <v>90</v>
      </c>
      <c r="O23" s="2" t="inlineStr">
        <is>
          <t>normalized_exact_then_regex</t>
        </is>
      </c>
      <c r="P23" s="3" t="inlineStr">
        <is>
          <t>extract</t>
        </is>
      </c>
      <c r="Q23" s="2" t="inlineStr">
        <is>
          <t>currency_amount</t>
        </is>
      </c>
      <c r="R23" s="2" t="inlineStr">
        <is>
          <t>period_end</t>
        </is>
      </c>
      <c r="S23" s="2" t="inlineStr">
        <is>
          <t>allowed_with_provenance</t>
        </is>
      </c>
      <c r="T23" s="2" t="b">
        <v>0</v>
      </c>
      <c r="U23" s="2" t="b">
        <v>0</v>
      </c>
      <c r="V23" s="2" t="inlineStr"/>
      <c r="W23" s="2" t="inlineStr"/>
      <c r="X23" s="2" t="inlineStr">
        <is>
          <t>Decompose only from explicit face or note evidence; never fabricate a split.</t>
        </is>
      </c>
      <c r="Y23" s="2" t="inlineStr">
        <is>
          <t>Aggregate only mutually exclusive facts with identical period, scope, currency and unit.</t>
        </is>
      </c>
      <c r="Z23" s="2" t="inlineStr">
        <is>
          <t>Bind only to Balance Sheet / bs_nca.</t>
        </is>
      </c>
      <c r="AA23" s="2" t="inlineStr"/>
      <c r="AB23" s="2" t="b">
        <v>1</v>
      </c>
      <c r="AC23" s="2" t="inlineStr"/>
      <c r="AD23" s="2" t="inlineStr">
        <is>
          <t>Exact field from Balance Sheet!A8; value cell B8.</t>
        </is>
      </c>
      <c r="AE23" s="2" t="inlineStr">
        <is>
          <t>Notes may support direct extraction or decomposition with provenance. Formula outputs must be derived only from template dependencies.</t>
        </is>
      </c>
      <c r="AF23" s="2" t="inlineStr"/>
      <c r="AG23" s="2" t="inlineStr">
        <is>
          <t>[]</t>
        </is>
      </c>
      <c r="AH23" s="2" t="inlineStr">
        <is>
          <t>Leasehold Improvements</t>
        </is>
      </c>
      <c r="AI23" s="2" t="inlineStr"/>
      <c r="AJ23" s="2" t="inlineStr">
        <is>
          <t>{"template_sheet": "Balance Sheet", "template_row": 8, "template_cell": "B8", "template_value_or_formula": 17, "calculation_type": "reported_input", "dependencies": [], "source_template": "Copy of Output_CSV Template.xlsx"}</t>
        </is>
      </c>
    </row>
    <row r="24">
      <c r="A24" s="2" t="inlineStr">
        <is>
          <t>bs_nca__plant_and_equipment</t>
        </is>
      </c>
      <c r="B24" s="2" t="inlineStr">
        <is>
          <t>Plant &amp; Equipment</t>
        </is>
      </c>
      <c r="C24" s="2" t="inlineStr">
        <is>
          <t>bs_nca</t>
        </is>
      </c>
      <c r="D24" s="2" t="inlineStr">
        <is>
          <t>Extract the reported value for 'Plant &amp; Equipment' from the stated section. Do not calculate or replace it from other rows, because the revised template does not designate this field as formula-driven.</t>
        </is>
      </c>
      <c r="E24" s="2" t="inlineStr">
        <is>
          <t>Plant &amp; Equipment</t>
        </is>
      </c>
      <c r="F24" s="2" t="inlineStr">
        <is>
          <t>Plant &amp; Equipment</t>
        </is>
      </c>
      <c r="G24" s="2" t="inlineStr">
        <is>
          <t>^Plant\s+\&amp;\s+Equipment$</t>
        </is>
      </c>
      <c r="H24" s="2" t="inlineStr"/>
      <c r="I24" s="2" t="inlineStr">
        <is>
          <t>Amounts or disclosures explicitly reported for Plant &amp; Equipment in Balance Sheet / bs_nca.</t>
        </is>
      </c>
      <c r="J24" s="2" t="inlineStr">
        <is>
          <t>Do not substitute another section, period, entity scope, currency or unit; do not double count a parent and its children.</t>
        </is>
      </c>
      <c r="K24" s="2" t="inlineStr"/>
      <c r="L24" s="2" t="inlineStr">
        <is>
          <t>as_reported</t>
        </is>
      </c>
      <c r="M24" s="2" t="inlineStr">
        <is>
          <t>direct_exclusive</t>
        </is>
      </c>
      <c r="N24" s="2" t="n">
        <v>90</v>
      </c>
      <c r="O24" s="2" t="inlineStr">
        <is>
          <t>normalized_exact_then_regex</t>
        </is>
      </c>
      <c r="P24" s="3" t="inlineStr">
        <is>
          <t>extract</t>
        </is>
      </c>
      <c r="Q24" s="2" t="inlineStr">
        <is>
          <t>currency_amount</t>
        </is>
      </c>
      <c r="R24" s="2" t="inlineStr">
        <is>
          <t>period_end</t>
        </is>
      </c>
      <c r="S24" s="2" t="inlineStr">
        <is>
          <t>allowed_with_provenance</t>
        </is>
      </c>
      <c r="T24" s="2" t="b">
        <v>0</v>
      </c>
      <c r="U24" s="2" t="b">
        <v>0</v>
      </c>
      <c r="V24" s="2" t="inlineStr"/>
      <c r="W24" s="2" t="inlineStr"/>
      <c r="X24" s="2" t="inlineStr">
        <is>
          <t>Decompose only from explicit face or note evidence; never fabricate a split.</t>
        </is>
      </c>
      <c r="Y24" s="2" t="inlineStr">
        <is>
          <t>Aggregate only mutually exclusive facts with identical period, scope, currency and unit.</t>
        </is>
      </c>
      <c r="Z24" s="2" t="inlineStr">
        <is>
          <t>Bind only to Balance Sheet / bs_nca.</t>
        </is>
      </c>
      <c r="AA24" s="2" t="inlineStr"/>
      <c r="AB24" s="2" t="b">
        <v>1</v>
      </c>
      <c r="AC24" s="2" t="inlineStr"/>
      <c r="AD24" s="2" t="inlineStr">
        <is>
          <t>Exact field from Balance Sheet!A9; value cell B9.</t>
        </is>
      </c>
      <c r="AE24" s="2" t="inlineStr">
        <is>
          <t>Notes may support direct extraction or decomposition with provenance. Formula outputs must be derived only from template dependencies.</t>
        </is>
      </c>
      <c r="AF24" s="2" t="inlineStr"/>
      <c r="AG24" s="2" t="inlineStr">
        <is>
          <t>[]</t>
        </is>
      </c>
      <c r="AH24" s="2" t="inlineStr">
        <is>
          <t>Plant &amp; Equipment</t>
        </is>
      </c>
      <c r="AI24" s="2" t="inlineStr"/>
      <c r="AJ24" s="2" t="inlineStr">
        <is>
          <t>{"template_sheet": "Balance Sheet", "template_row": 9, "template_cell": "B9", "template_value_or_formula": 34, "calculation_type": "reported_input", "dependencies": [], "source_template": "Copy of Output_CSV Template.xlsx"}</t>
        </is>
      </c>
    </row>
    <row r="25">
      <c r="A25" s="2" t="inlineStr">
        <is>
          <t>bs_nca__furniture_and_fixtures</t>
        </is>
      </c>
      <c r="B25" s="2" t="inlineStr">
        <is>
          <t>Furniture &amp; Fixtures</t>
        </is>
      </c>
      <c r="C25" s="2" t="inlineStr">
        <is>
          <t>bs_nca</t>
        </is>
      </c>
      <c r="D25" s="2" t="inlineStr">
        <is>
          <t>Extract the reported value for 'Furniture &amp; Fixtures' from the stated section. Do not calculate or replace it from other rows, because the revised template does not designate this field as formula-driven.</t>
        </is>
      </c>
      <c r="E25" s="2" t="inlineStr">
        <is>
          <t>Furniture &amp; Fixtures</t>
        </is>
      </c>
      <c r="F25" s="2" t="inlineStr">
        <is>
          <t>Furniture &amp; Fixtures</t>
        </is>
      </c>
      <c r="G25" s="2" t="inlineStr">
        <is>
          <t>^Furniture\s+\&amp;\s+Fixtures$</t>
        </is>
      </c>
      <c r="H25" s="2" t="inlineStr"/>
      <c r="I25" s="2" t="inlineStr">
        <is>
          <t>Amounts or disclosures explicitly reported for Furniture &amp; Fixtures in Balance Sheet / bs_nca.</t>
        </is>
      </c>
      <c r="J25" s="2" t="inlineStr">
        <is>
          <t>Do not substitute another section, period, entity scope, currency or unit; do not double count a parent and its children.</t>
        </is>
      </c>
      <c r="K25" s="2" t="inlineStr"/>
      <c r="L25" s="2" t="inlineStr">
        <is>
          <t>as_reported</t>
        </is>
      </c>
      <c r="M25" s="2" t="inlineStr">
        <is>
          <t>direct_exclusive</t>
        </is>
      </c>
      <c r="N25" s="2" t="n">
        <v>90</v>
      </c>
      <c r="O25" s="2" t="inlineStr">
        <is>
          <t>normalized_exact_then_regex</t>
        </is>
      </c>
      <c r="P25" s="3" t="inlineStr">
        <is>
          <t>extract</t>
        </is>
      </c>
      <c r="Q25" s="2" t="inlineStr">
        <is>
          <t>currency_amount</t>
        </is>
      </c>
      <c r="R25" s="2" t="inlineStr">
        <is>
          <t>period_end</t>
        </is>
      </c>
      <c r="S25" s="2" t="inlineStr">
        <is>
          <t>allowed_with_provenance</t>
        </is>
      </c>
      <c r="T25" s="2" t="b">
        <v>0</v>
      </c>
      <c r="U25" s="2" t="b">
        <v>0</v>
      </c>
      <c r="V25" s="2" t="inlineStr"/>
      <c r="W25" s="2" t="inlineStr"/>
      <c r="X25" s="2" t="inlineStr">
        <is>
          <t>Decompose only from explicit face or note evidence; never fabricate a split.</t>
        </is>
      </c>
      <c r="Y25" s="2" t="inlineStr">
        <is>
          <t>Aggregate only mutually exclusive facts with identical period, scope, currency and unit.</t>
        </is>
      </c>
      <c r="Z25" s="2" t="inlineStr">
        <is>
          <t>Bind only to Balance Sheet / bs_nca.</t>
        </is>
      </c>
      <c r="AA25" s="2" t="inlineStr"/>
      <c r="AB25" s="2" t="b">
        <v>1</v>
      </c>
      <c r="AC25" s="2" t="inlineStr"/>
      <c r="AD25" s="2" t="inlineStr">
        <is>
          <t>Exact field from Balance Sheet!A10; value cell B10.</t>
        </is>
      </c>
      <c r="AE25" s="2" t="inlineStr">
        <is>
          <t>Notes may support direct extraction or decomposition with provenance. Formula outputs must be derived only from template dependencies.</t>
        </is>
      </c>
      <c r="AF25" s="2" t="inlineStr"/>
      <c r="AG25" s="2" t="inlineStr">
        <is>
          <t>[]</t>
        </is>
      </c>
      <c r="AH25" s="2" t="inlineStr">
        <is>
          <t>Furniture &amp; Fixtures</t>
        </is>
      </c>
      <c r="AI25" s="2" t="inlineStr"/>
      <c r="AJ25" s="2" t="inlineStr">
        <is>
          <t>{"template_sheet": "Balance Sheet", "template_row": 10, "template_cell": "B10", "template_value_or_formula": 51, "calculation_type": "reported_input", "dependencies": [], "source_template": "Copy of Output_CSV Template.xlsx"}</t>
        </is>
      </c>
    </row>
    <row r="26">
      <c r="A26" s="2" t="inlineStr">
        <is>
          <t>bs_nca__vehicles_and_transport_equipment</t>
        </is>
      </c>
      <c r="B26" s="2" t="inlineStr">
        <is>
          <t>Vehicles &amp; Transport Equipment</t>
        </is>
      </c>
      <c r="C26" s="2" t="inlineStr">
        <is>
          <t>bs_nca</t>
        </is>
      </c>
      <c r="D26" s="2" t="inlineStr">
        <is>
          <t>Extract the reported value for 'Vehicles &amp; Transport Equipment' from the stated section. Do not calculate or replace it from other rows, because the revised template does not designate this field as formula-driven.</t>
        </is>
      </c>
      <c r="E26" s="2" t="inlineStr">
        <is>
          <t>Vehicles &amp; Transport Equipment</t>
        </is>
      </c>
      <c r="F26" s="2" t="inlineStr">
        <is>
          <t>Vehicles &amp; Transport Equipment</t>
        </is>
      </c>
      <c r="G26" s="2" t="inlineStr">
        <is>
          <t>^Vehicles\s+\&amp;\s+Transport\s+Equipment$</t>
        </is>
      </c>
      <c r="H26" s="2" t="inlineStr"/>
      <c r="I26" s="2" t="inlineStr">
        <is>
          <t>Amounts or disclosures explicitly reported for Vehicles &amp; Transport Equipment in Balance Sheet / bs_nca.</t>
        </is>
      </c>
      <c r="J26" s="2" t="inlineStr">
        <is>
          <t>Do not substitute another section, period, entity scope, currency or unit; do not double count a parent and its children.</t>
        </is>
      </c>
      <c r="K26" s="2" t="inlineStr"/>
      <c r="L26" s="2" t="inlineStr">
        <is>
          <t>as_reported</t>
        </is>
      </c>
      <c r="M26" s="2" t="inlineStr">
        <is>
          <t>direct_exclusive</t>
        </is>
      </c>
      <c r="N26" s="2" t="n">
        <v>90</v>
      </c>
      <c r="O26" s="2" t="inlineStr">
        <is>
          <t>normalized_exact_then_regex</t>
        </is>
      </c>
      <c r="P26" s="3" t="inlineStr">
        <is>
          <t>extract</t>
        </is>
      </c>
      <c r="Q26" s="2" t="inlineStr">
        <is>
          <t>currency_amount</t>
        </is>
      </c>
      <c r="R26" s="2" t="inlineStr">
        <is>
          <t>period_end</t>
        </is>
      </c>
      <c r="S26" s="2" t="inlineStr">
        <is>
          <t>allowed_with_provenance</t>
        </is>
      </c>
      <c r="T26" s="2" t="b">
        <v>0</v>
      </c>
      <c r="U26" s="2" t="b">
        <v>0</v>
      </c>
      <c r="V26" s="2" t="inlineStr"/>
      <c r="W26" s="2" t="inlineStr"/>
      <c r="X26" s="2" t="inlineStr">
        <is>
          <t>Decompose only from explicit face or note evidence; never fabricate a split.</t>
        </is>
      </c>
      <c r="Y26" s="2" t="inlineStr">
        <is>
          <t>Aggregate only mutually exclusive facts with identical period, scope, currency and unit.</t>
        </is>
      </c>
      <c r="Z26" s="2" t="inlineStr">
        <is>
          <t>Bind only to Balance Sheet / bs_nca.</t>
        </is>
      </c>
      <c r="AA26" s="2" t="inlineStr"/>
      <c r="AB26" s="2" t="b">
        <v>1</v>
      </c>
      <c r="AC26" s="2" t="inlineStr"/>
      <c r="AD26" s="2" t="inlineStr">
        <is>
          <t>Exact field from Balance Sheet!A11; value cell B11.</t>
        </is>
      </c>
      <c r="AE26" s="2" t="inlineStr">
        <is>
          <t>Notes may support direct extraction or decomposition with provenance. Formula outputs must be derived only from template dependencies.</t>
        </is>
      </c>
      <c r="AF26" s="2" t="inlineStr"/>
      <c r="AG26" s="2" t="inlineStr">
        <is>
          <t>[]</t>
        </is>
      </c>
      <c r="AH26" s="2" t="inlineStr">
        <is>
          <t>Vehicles &amp; Transport Equipment</t>
        </is>
      </c>
      <c r="AI26" s="2" t="inlineStr"/>
      <c r="AJ26" s="2" t="inlineStr">
        <is>
          <t>{"template_sheet": "Balance Sheet", "template_row": 11, "template_cell": "B11", "template_value_or_formula": 25, "calculation_type": "reported_input", "dependencies": [], "source_template": "Copy of Output_CSV Template.xlsx"}</t>
        </is>
      </c>
    </row>
    <row r="27">
      <c r="A27" s="2" t="inlineStr">
        <is>
          <t>bs_nca__other_fixed_assets</t>
        </is>
      </c>
      <c r="B27" s="2" t="inlineStr">
        <is>
          <t>Other Fixed Assets</t>
        </is>
      </c>
      <c r="C27" s="2" t="inlineStr">
        <is>
          <t>bs_nca</t>
        </is>
      </c>
      <c r="D27" s="2" t="inlineStr">
        <is>
          <t>Extract the reported value for 'Other Fixed Assets' from the stated section. Do not calculate or replace it from other rows, because the revised template does not designate this field as formula-driven.</t>
        </is>
      </c>
      <c r="E27" s="2" t="inlineStr">
        <is>
          <t>Other Fixed Assets</t>
        </is>
      </c>
      <c r="F27" s="2" t="inlineStr">
        <is>
          <t>Other Fixed Assets</t>
        </is>
      </c>
      <c r="G27" s="2" t="inlineStr">
        <is>
          <t>^Other\s+Fixed\s+Assets$</t>
        </is>
      </c>
      <c r="H27" s="2" t="inlineStr"/>
      <c r="I27" s="2" t="inlineStr">
        <is>
          <t>Amounts or disclosures explicitly reported for Other Fixed Assets in Balance Sheet / bs_nca.</t>
        </is>
      </c>
      <c r="J27" s="2" t="inlineStr">
        <is>
          <t>Do not substitute another section, period, entity scope, currency or unit; do not double count a parent and its children.</t>
        </is>
      </c>
      <c r="K27" s="2" t="inlineStr"/>
      <c r="L27" s="2" t="inlineStr">
        <is>
          <t>as_reported</t>
        </is>
      </c>
      <c r="M27" s="2" t="inlineStr">
        <is>
          <t>direct_exclusive</t>
        </is>
      </c>
      <c r="N27" s="2" t="n">
        <v>90</v>
      </c>
      <c r="O27" s="2" t="inlineStr">
        <is>
          <t>normalized_exact_then_regex</t>
        </is>
      </c>
      <c r="P27" s="3" t="inlineStr">
        <is>
          <t>extract</t>
        </is>
      </c>
      <c r="Q27" s="2" t="inlineStr">
        <is>
          <t>currency_amount</t>
        </is>
      </c>
      <c r="R27" s="2" t="inlineStr">
        <is>
          <t>period_end</t>
        </is>
      </c>
      <c r="S27" s="2" t="inlineStr">
        <is>
          <t>allowed_with_provenance</t>
        </is>
      </c>
      <c r="T27" s="2" t="b">
        <v>0</v>
      </c>
      <c r="U27" s="2" t="b">
        <v>0</v>
      </c>
      <c r="V27" s="2" t="inlineStr"/>
      <c r="W27" s="2" t="inlineStr"/>
      <c r="X27" s="2" t="inlineStr">
        <is>
          <t>Decompose only from explicit face or note evidence; never fabricate a split.</t>
        </is>
      </c>
      <c r="Y27" s="2" t="inlineStr">
        <is>
          <t>Aggregate only mutually exclusive facts with identical period, scope, currency and unit.</t>
        </is>
      </c>
      <c r="Z27" s="2" t="inlineStr">
        <is>
          <t>Bind only to Balance Sheet / bs_nca.</t>
        </is>
      </c>
      <c r="AA27" s="2" t="inlineStr"/>
      <c r="AB27" s="2" t="b">
        <v>1</v>
      </c>
      <c r="AC27" s="2" t="inlineStr"/>
      <c r="AD27" s="2" t="inlineStr">
        <is>
          <t>Exact field from Balance Sheet!A12; value cell B12.</t>
        </is>
      </c>
      <c r="AE27" s="2" t="inlineStr">
        <is>
          <t>Notes may support direct extraction or decomposition with provenance. Formula outputs must be derived only from template dependencies.</t>
        </is>
      </c>
      <c r="AF27" s="2" t="inlineStr">
        <is>
          <t>{"mode": "no_balancing_plug", "negative_result": "review"}</t>
        </is>
      </c>
      <c r="AG27" s="2" t="inlineStr">
        <is>
          <t>[]</t>
        </is>
      </c>
      <c r="AH27" s="2" t="inlineStr">
        <is>
          <t>Other Fixed Assets</t>
        </is>
      </c>
      <c r="AI27" s="2" t="inlineStr"/>
      <c r="AJ27" s="2" t="inlineStr">
        <is>
          <t>{"template_sheet": "Balance Sheet", "template_row": 12, "template_cell": "B12", "template_value_or_formula": 42, "calculation_type": "reported_input", "dependencies": [], "source_template": "Copy of Output_CSV Template.xlsx"}</t>
        </is>
      </c>
    </row>
    <row r="28">
      <c r="A28" s="2" t="inlineStr">
        <is>
          <t>bs_nca__construction_in_progress</t>
        </is>
      </c>
      <c r="B28" s="2" t="inlineStr">
        <is>
          <t>Construction in Progress</t>
        </is>
      </c>
      <c r="C28" s="2" t="inlineStr">
        <is>
          <t>bs_nca</t>
        </is>
      </c>
      <c r="D28" s="2" t="inlineStr">
        <is>
          <t>Extract the reported value for 'Construction in Progress' from the stated section. Do not calculate or replace it from other rows, because the revised template does not designate this field as formula-driven.</t>
        </is>
      </c>
      <c r="E28" s="2" t="inlineStr">
        <is>
          <t>Construction in Progress</t>
        </is>
      </c>
      <c r="F28" s="2" t="inlineStr">
        <is>
          <t>Construction in Progress</t>
        </is>
      </c>
      <c r="G28" s="2" t="inlineStr">
        <is>
          <t>^Construction\s+in\s+Progress$</t>
        </is>
      </c>
      <c r="H28" s="2" t="inlineStr"/>
      <c r="I28" s="2" t="inlineStr">
        <is>
          <t>Amounts or disclosures explicitly reported for Construction in Progress in Balance Sheet / bs_nca.</t>
        </is>
      </c>
      <c r="J28" s="2" t="inlineStr">
        <is>
          <t>Do not substitute another section, period, entity scope, currency or unit; do not double count a parent and its children.</t>
        </is>
      </c>
      <c r="K28" s="2" t="inlineStr"/>
      <c r="L28" s="2" t="inlineStr">
        <is>
          <t>as_reported</t>
        </is>
      </c>
      <c r="M28" s="2" t="inlineStr">
        <is>
          <t>direct_exclusive</t>
        </is>
      </c>
      <c r="N28" s="2" t="n">
        <v>90</v>
      </c>
      <c r="O28" s="2" t="inlineStr">
        <is>
          <t>normalized_exact_then_regex</t>
        </is>
      </c>
      <c r="P28" s="3" t="inlineStr">
        <is>
          <t>extract</t>
        </is>
      </c>
      <c r="Q28" s="2" t="inlineStr">
        <is>
          <t>currency_amount</t>
        </is>
      </c>
      <c r="R28" s="2" t="inlineStr">
        <is>
          <t>period_end</t>
        </is>
      </c>
      <c r="S28" s="2" t="inlineStr">
        <is>
          <t>allowed_with_provenance</t>
        </is>
      </c>
      <c r="T28" s="2" t="b">
        <v>0</v>
      </c>
      <c r="U28" s="2" t="b">
        <v>0</v>
      </c>
      <c r="V28" s="2" t="inlineStr"/>
      <c r="W28" s="2" t="inlineStr"/>
      <c r="X28" s="2" t="inlineStr">
        <is>
          <t>Decompose only from explicit face or note evidence; never fabricate a split.</t>
        </is>
      </c>
      <c r="Y28" s="2" t="inlineStr">
        <is>
          <t>Aggregate only mutually exclusive facts with identical period, scope, currency and unit.</t>
        </is>
      </c>
      <c r="Z28" s="2" t="inlineStr">
        <is>
          <t>Bind only to Balance Sheet / bs_nca.</t>
        </is>
      </c>
      <c r="AA28" s="2" t="inlineStr"/>
      <c r="AB28" s="2" t="b">
        <v>1</v>
      </c>
      <c r="AC28" s="2" t="inlineStr"/>
      <c r="AD28" s="2" t="inlineStr">
        <is>
          <t>Exact field from Balance Sheet!A13; value cell B13.</t>
        </is>
      </c>
      <c r="AE28" s="2" t="inlineStr">
        <is>
          <t>Notes may support direct extraction or decomposition with provenance. Formula outputs must be derived only from template dependencies.</t>
        </is>
      </c>
      <c r="AF28" s="2" t="inlineStr"/>
      <c r="AG28" s="2" t="inlineStr">
        <is>
          <t>[]</t>
        </is>
      </c>
      <c r="AH28" s="2" t="inlineStr">
        <is>
          <t>Construction in Progress</t>
        </is>
      </c>
      <c r="AI28" s="2" t="inlineStr"/>
      <c r="AJ28" s="2" t="inlineStr">
        <is>
          <t>{"template_sheet": "Balance Sheet", "template_row": 13, "template_cell": "B13", "template_value_or_formula": 16, "calculation_type": "reported_input", "dependencies": [], "source_template": "Copy of Output_CSV Template.xlsx"}</t>
        </is>
      </c>
    </row>
    <row r="29">
      <c r="A29" s="2" t="inlineStr">
        <is>
          <t>bs_nca__gross_fixed_assets</t>
        </is>
      </c>
      <c r="B29" s="2" t="inlineStr">
        <is>
          <t>Gross Fixed Assets</t>
        </is>
      </c>
      <c r="C29" s="2" t="inlineStr">
        <is>
          <t>bs_nca</t>
        </is>
      </c>
      <c r="D29" s="2" t="inlineStr">
        <is>
          <t>Calculated target using the exact formula retained in the supplied template: =SUM({bs_nca__land}:{bs_nca__construction_in_progress})</t>
        </is>
      </c>
      <c r="E29" s="2" t="inlineStr">
        <is>
          <t>Gross Fixed Assets</t>
        </is>
      </c>
      <c r="F29" s="2" t="inlineStr">
        <is>
          <t>Gross Fixed Assets</t>
        </is>
      </c>
      <c r="G29" s="2" t="inlineStr">
        <is>
          <t>^Gross\s+Fixed\s+Assets$</t>
        </is>
      </c>
      <c r="H29" s="2" t="inlineStr"/>
      <c r="I29" s="2" t="inlineStr">
        <is>
          <t>Amounts or disclosures explicitly reported for Gross Fixed Assets in Balance Sheet / bs_nca.</t>
        </is>
      </c>
      <c r="J29" s="2" t="inlineStr">
        <is>
          <t>Do not substitute another section, period, entity scope, currency or unit; do not double count a parent and its children.</t>
        </is>
      </c>
      <c r="K29" s="2" t="inlineStr"/>
      <c r="L29" s="2" t="inlineStr">
        <is>
          <t>as_reported</t>
        </is>
      </c>
      <c r="M29" s="2" t="inlineStr">
        <is>
          <t>derived_total</t>
        </is>
      </c>
      <c r="N29" s="2" t="n">
        <v>100</v>
      </c>
      <c r="O29" s="2" t="inlineStr">
        <is>
          <t>disabled</t>
        </is>
      </c>
      <c r="P29" s="4" t="inlineStr">
        <is>
          <t>derive</t>
        </is>
      </c>
      <c r="Q29" s="2" t="inlineStr">
        <is>
          <t>currency_amount</t>
        </is>
      </c>
      <c r="R29" s="2" t="inlineStr">
        <is>
          <t>period_end</t>
        </is>
      </c>
      <c r="S29" s="2" t="inlineStr">
        <is>
          <t>allowed_with_provenance</t>
        </is>
      </c>
      <c r="T29" s="2" t="b">
        <v>0</v>
      </c>
      <c r="U29" s="2" t="b">
        <v>1</v>
      </c>
      <c r="V29" s="2" t="inlineStr">
        <is>
          <t>bs_nca__land | bs_nca__construction_in_progress</t>
        </is>
      </c>
      <c r="W29" s="2">
        <f>SUM({bs_nca__land}:{bs_nca__construction_in_progress})</f>
        <v/>
      </c>
      <c r="X29" s="2" t="inlineStr">
        <is>
          <t>Use only dependencies stated in the formula; never fabricate missing components.</t>
        </is>
      </c>
      <c r="Y29" s="2" t="inlineStr">
        <is>
          <t>Calculate only after every dependency is populated and validated.</t>
        </is>
      </c>
      <c r="Z29" s="2" t="inlineStr">
        <is>
          <t>Bind only to Balance Sheet / bs_nca.</t>
        </is>
      </c>
      <c r="AA29" s="2" t="inlineStr"/>
      <c r="AB29" s="2" t="b">
        <v>0</v>
      </c>
      <c r="AC29" s="2" t="inlineStr">
        <is>
          <t>bs_nca__land | bs_nca__construction_in_progress</t>
        </is>
      </c>
      <c r="AD29" s="2" t="inlineStr">
        <is>
          <t>Exact field from Balance Sheet!A14; value cell B14.</t>
        </is>
      </c>
      <c r="AE29" s="2" t="inlineStr">
        <is>
          <t>Notes may support direct extraction or decomposition with provenance. Formula outputs must be derived only from template dependencies.</t>
        </is>
      </c>
      <c r="AF29" s="2" t="inlineStr"/>
      <c r="AG29" s="2" t="inlineStr">
        <is>
          <t>[]</t>
        </is>
      </c>
      <c r="AH29" s="2" t="inlineStr">
        <is>
          <t>Gross Fixed Assets</t>
        </is>
      </c>
      <c r="AI29" s="2" t="inlineStr"/>
      <c r="AJ29" s="2" t="inlineStr">
        <is>
          <t>{"template_sheet": "Balance Sheet", "template_row": 14, "template_cell": "B14", "template_value_or_formula": "=SUM(B6:B13)", "calculation_type": "formula", "dependencies": ["bs_nca__land", "bs_nca__construction_in_progress"], "source_template": "Copy of Output_CSV Template.xlsx"}</t>
        </is>
      </c>
    </row>
    <row r="30">
      <c r="A30" s="2" t="inlineStr">
        <is>
          <t>bs_nca__accum_deprec_and_impairment</t>
        </is>
      </c>
      <c r="B30" s="2" t="inlineStr">
        <is>
          <t>Accum Deprec &amp; Impairment(-)</t>
        </is>
      </c>
      <c r="C30" s="2" t="inlineStr">
        <is>
          <t>bs_nca</t>
        </is>
      </c>
      <c r="D30" s="2" t="inlineStr">
        <is>
          <t>Calculated target using the exact formula retained in the supplied template: =-ROUND({bs_nca__gross_fixed_assets}*35%,0)</t>
        </is>
      </c>
      <c r="E30" s="2" t="inlineStr">
        <is>
          <t>Accum Deprec &amp; Impairment(-)</t>
        </is>
      </c>
      <c r="F30" s="2" t="inlineStr">
        <is>
          <t>Accum Deprec &amp; Impairment(-)</t>
        </is>
      </c>
      <c r="G30" s="2" t="inlineStr">
        <is>
          <t>^Accum\s+Deprec\s+\&amp;\s+Impairment\([\-–—]?\)$</t>
        </is>
      </c>
      <c r="H30" s="2" t="inlineStr"/>
      <c r="I30" s="2" t="inlineStr">
        <is>
          <t>Amounts or disclosures explicitly reported for Accum Deprec &amp; Impairment(-) in Balance Sheet / bs_nca.</t>
        </is>
      </c>
      <c r="J30" s="2" t="inlineStr">
        <is>
          <t>Do not substitute another section, period, entity scope, currency or unit; do not double count a parent and its children.</t>
        </is>
      </c>
      <c r="K30" s="2" t="inlineStr"/>
      <c r="L30" s="2" t="inlineStr">
        <is>
          <t>negative_or_contra</t>
        </is>
      </c>
      <c r="M30" s="2" t="inlineStr">
        <is>
          <t>derived_total</t>
        </is>
      </c>
      <c r="N30" s="2" t="n">
        <v>100</v>
      </c>
      <c r="O30" s="2" t="inlineStr">
        <is>
          <t>disabled</t>
        </is>
      </c>
      <c r="P30" s="4" t="inlineStr">
        <is>
          <t>derive</t>
        </is>
      </c>
      <c r="Q30" s="2" t="inlineStr">
        <is>
          <t>currency_amount</t>
        </is>
      </c>
      <c r="R30" s="2" t="inlineStr">
        <is>
          <t>period_end</t>
        </is>
      </c>
      <c r="S30" s="2" t="inlineStr">
        <is>
          <t>allowed_with_provenance</t>
        </is>
      </c>
      <c r="T30" s="2" t="b">
        <v>0</v>
      </c>
      <c r="U30" s="2" t="b">
        <v>1</v>
      </c>
      <c r="V30" s="2" t="inlineStr">
        <is>
          <t>bs_nca__gross_fixed_assets</t>
        </is>
      </c>
      <c r="W30" s="2">
        <f>-ROUND({bs_nca__gross_fixed_assets}*35%,0)</f>
        <v/>
      </c>
      <c r="X30" s="2" t="inlineStr">
        <is>
          <t>Use only dependencies stated in the formula; never fabricate missing components.</t>
        </is>
      </c>
      <c r="Y30" s="2" t="inlineStr">
        <is>
          <t>Calculate only after every dependency is populated and validated.</t>
        </is>
      </c>
      <c r="Z30" s="2" t="inlineStr">
        <is>
          <t>Bind only to Balance Sheet / bs_nca.</t>
        </is>
      </c>
      <c r="AA30" s="2" t="inlineStr"/>
      <c r="AB30" s="2" t="b">
        <v>0</v>
      </c>
      <c r="AC30" s="2" t="inlineStr">
        <is>
          <t>bs_nca__gross_fixed_assets</t>
        </is>
      </c>
      <c r="AD30" s="2" t="inlineStr">
        <is>
          <t>Exact field from Balance Sheet!A15; value cell B15.</t>
        </is>
      </c>
      <c r="AE30" s="2" t="inlineStr">
        <is>
          <t>Notes may support direct extraction or decomposition with provenance. Formula outputs must be derived only from template dependencies.</t>
        </is>
      </c>
      <c r="AF30" s="2" t="inlineStr"/>
      <c r="AG30" s="2" t="inlineStr">
        <is>
          <t>[]</t>
        </is>
      </c>
      <c r="AH30" s="2" t="inlineStr">
        <is>
          <t>Accum Deprec &amp; Impairment(-)</t>
        </is>
      </c>
      <c r="AI30" s="2" t="inlineStr"/>
      <c r="AJ30" s="2" t="inlineStr">
        <is>
          <t>{"template_sheet": "Balance Sheet", "template_row": 15, "template_cell": "B15", "template_value_or_formula": "=-ROUND(B14*35%,0)", "calculation_type": "formula", "dependencies": ["bs_nca__gross_fixed_assets"], "source_template": "Copy of Output_CSV Template.xlsx"}</t>
        </is>
      </c>
    </row>
    <row r="31">
      <c r="A31" s="2" t="inlineStr">
        <is>
          <t>bs_nca__net_fixed_assets</t>
        </is>
      </c>
      <c r="B31" s="2" t="inlineStr">
        <is>
          <t>Net Fixed Assets</t>
        </is>
      </c>
      <c r="C31" s="2" t="inlineStr">
        <is>
          <t>bs_nca</t>
        </is>
      </c>
      <c r="D31" s="2" t="inlineStr">
        <is>
          <t>Calculated target using the exact formula retained in the supplied template: ={bs_nca__gross_fixed_assets}+{bs_nca__accum_deprec_and_impairment}</t>
        </is>
      </c>
      <c r="E31" s="2" t="inlineStr">
        <is>
          <t>Net Fixed Assets</t>
        </is>
      </c>
      <c r="F31" s="2" t="inlineStr">
        <is>
          <t>Net Fixed Assets</t>
        </is>
      </c>
      <c r="G31" s="2" t="inlineStr">
        <is>
          <t>^Net\s+Fixed\s+Assets$</t>
        </is>
      </c>
      <c r="H31" s="2" t="inlineStr"/>
      <c r="I31" s="2" t="inlineStr">
        <is>
          <t>Amounts or disclosures explicitly reported for Net Fixed Assets in Balance Sheet / bs_nca.</t>
        </is>
      </c>
      <c r="J31" s="2" t="inlineStr">
        <is>
          <t>Do not substitute another section, period, entity scope, currency or unit; do not double count a parent and its children.</t>
        </is>
      </c>
      <c r="K31" s="2" t="inlineStr"/>
      <c r="L31" s="2" t="inlineStr">
        <is>
          <t>as_reported</t>
        </is>
      </c>
      <c r="M31" s="2" t="inlineStr">
        <is>
          <t>derived_total</t>
        </is>
      </c>
      <c r="N31" s="2" t="n">
        <v>100</v>
      </c>
      <c r="O31" s="2" t="inlineStr">
        <is>
          <t>disabled</t>
        </is>
      </c>
      <c r="P31" s="4" t="inlineStr">
        <is>
          <t>derive</t>
        </is>
      </c>
      <c r="Q31" s="2" t="inlineStr">
        <is>
          <t>currency_amount</t>
        </is>
      </c>
      <c r="R31" s="2" t="inlineStr">
        <is>
          <t>period_end</t>
        </is>
      </c>
      <c r="S31" s="2" t="inlineStr">
        <is>
          <t>allowed_with_provenance</t>
        </is>
      </c>
      <c r="T31" s="2" t="b">
        <v>0</v>
      </c>
      <c r="U31" s="2" t="b">
        <v>1</v>
      </c>
      <c r="V31" s="2" t="inlineStr">
        <is>
          <t>bs_nca__gross_fixed_assets | bs_nca__accum_deprec_and_impairment</t>
        </is>
      </c>
      <c r="W31" s="2">
        <f>{bs_nca__gross_fixed_assets}+{bs_nca__accum_deprec_and_impairment}</f>
        <v/>
      </c>
      <c r="X31" s="2" t="inlineStr">
        <is>
          <t>Use only dependencies stated in the formula; never fabricate missing components.</t>
        </is>
      </c>
      <c r="Y31" s="2" t="inlineStr">
        <is>
          <t>Calculate only after every dependency is populated and validated.</t>
        </is>
      </c>
      <c r="Z31" s="2" t="inlineStr">
        <is>
          <t>Bind only to Balance Sheet / bs_nca.</t>
        </is>
      </c>
      <c r="AA31" s="2" t="inlineStr"/>
      <c r="AB31" s="2" t="b">
        <v>0</v>
      </c>
      <c r="AC31" s="2" t="inlineStr">
        <is>
          <t>bs_nca__gross_fixed_assets | bs_nca__accum_deprec_and_impairment</t>
        </is>
      </c>
      <c r="AD31" s="2" t="inlineStr">
        <is>
          <t>Exact field from Balance Sheet!A16; value cell B16.</t>
        </is>
      </c>
      <c r="AE31" s="2" t="inlineStr">
        <is>
          <t>Notes may support direct extraction or decomposition with provenance. Formula outputs must be derived only from template dependencies.</t>
        </is>
      </c>
      <c r="AF31" s="2" t="inlineStr"/>
      <c r="AG31" s="2" t="inlineStr">
        <is>
          <t>[]</t>
        </is>
      </c>
      <c r="AH31" s="2" t="inlineStr">
        <is>
          <t>Net Fixed Assets</t>
        </is>
      </c>
      <c r="AI31" s="2" t="inlineStr"/>
      <c r="AJ31" s="2" t="inlineStr">
        <is>
          <t>{"template_sheet": "Balance Sheet", "template_row": 16, "template_cell": "B16", "template_value_or_formula": "=B14+B15", "calculation_type": "formula", "dependencies": ["bs_nca__gross_fixed_assets", "bs_nca__accum_deprec_and_impairment"], "source_template": "Copy of Output_CSV Template.xlsx"}</t>
        </is>
      </c>
    </row>
    <row r="32">
      <c r="A32" s="2" t="inlineStr">
        <is>
          <t>bs_nca__goodwill</t>
        </is>
      </c>
      <c r="B32" s="2" t="inlineStr">
        <is>
          <t>Goodwill</t>
        </is>
      </c>
      <c r="C32" s="2" t="inlineStr">
        <is>
          <t>bs_nca</t>
        </is>
      </c>
      <c r="D32" s="2" t="inlineStr">
        <is>
          <t>Extract the reported value for 'Goodwill' from the stated section. Do not calculate or replace it from other rows, because the revised template does not designate this field as formula-driven.</t>
        </is>
      </c>
      <c r="E32" s="2" t="inlineStr">
        <is>
          <t>Goodwill</t>
        </is>
      </c>
      <c r="F32" s="2" t="inlineStr">
        <is>
          <t>Goodwill</t>
        </is>
      </c>
      <c r="G32" s="2" t="inlineStr">
        <is>
          <t>^Goodwill$</t>
        </is>
      </c>
      <c r="H32" s="2" t="inlineStr"/>
      <c r="I32" s="2" t="inlineStr">
        <is>
          <t>Amounts or disclosures explicitly reported for Goodwill in Balance Sheet / bs_nca.</t>
        </is>
      </c>
      <c r="J32" s="2" t="inlineStr">
        <is>
          <t>Do not substitute another section, period, entity scope, currency or unit; do not double count a parent and its children.</t>
        </is>
      </c>
      <c r="K32" s="2" t="inlineStr"/>
      <c r="L32" s="2" t="inlineStr">
        <is>
          <t>as_reported</t>
        </is>
      </c>
      <c r="M32" s="2" t="inlineStr">
        <is>
          <t>direct_exclusive</t>
        </is>
      </c>
      <c r="N32" s="2" t="n">
        <v>90</v>
      </c>
      <c r="O32" s="2" t="inlineStr">
        <is>
          <t>normalized_exact_then_regex</t>
        </is>
      </c>
      <c r="P32" s="3" t="inlineStr">
        <is>
          <t>extract</t>
        </is>
      </c>
      <c r="Q32" s="2" t="inlineStr">
        <is>
          <t>currency_amount</t>
        </is>
      </c>
      <c r="R32" s="2" t="inlineStr">
        <is>
          <t>period_end</t>
        </is>
      </c>
      <c r="S32" s="2" t="inlineStr">
        <is>
          <t>allowed_with_provenance</t>
        </is>
      </c>
      <c r="T32" s="2" t="b">
        <v>0</v>
      </c>
      <c r="U32" s="2" t="b">
        <v>0</v>
      </c>
      <c r="V32" s="2" t="inlineStr"/>
      <c r="W32" s="2" t="inlineStr"/>
      <c r="X32" s="2" t="inlineStr">
        <is>
          <t>Decompose only from explicit face or note evidence; never fabricate a split.</t>
        </is>
      </c>
      <c r="Y32" s="2" t="inlineStr">
        <is>
          <t>Aggregate only mutually exclusive facts with identical period, scope, currency and unit.</t>
        </is>
      </c>
      <c r="Z32" s="2" t="inlineStr">
        <is>
          <t>Bind only to Balance Sheet / bs_nca.</t>
        </is>
      </c>
      <c r="AA32" s="2" t="inlineStr"/>
      <c r="AB32" s="2" t="b">
        <v>1</v>
      </c>
      <c r="AC32" s="2" t="inlineStr"/>
      <c r="AD32" s="2" t="inlineStr">
        <is>
          <t>Exact field from Balance Sheet!A17; value cell B17.</t>
        </is>
      </c>
      <c r="AE32" s="2" t="inlineStr">
        <is>
          <t>Notes may support direct extraction or decomposition with provenance. Formula outputs must be derived only from template dependencies.</t>
        </is>
      </c>
      <c r="AF32" s="2" t="inlineStr"/>
      <c r="AG32" s="2" t="inlineStr">
        <is>
          <t>[]</t>
        </is>
      </c>
      <c r="AH32" s="2" t="inlineStr">
        <is>
          <t>Goodwill</t>
        </is>
      </c>
      <c r="AI32" s="2" t="inlineStr"/>
      <c r="AJ32" s="2" t="inlineStr">
        <is>
          <t>{"template_sheet": "Balance Sheet", "template_row": 17, "template_cell": "B17", "template_value_or_formula": 41, "calculation_type": "reported_input", "dependencies": [], "source_template": "Copy of Output_CSV Template.xlsx"}</t>
        </is>
      </c>
    </row>
    <row r="33">
      <c r="A33" s="2" t="inlineStr">
        <is>
          <t>bs_nca__accum_goodwill_amortized</t>
        </is>
      </c>
      <c r="B33" s="2" t="inlineStr">
        <is>
          <t>Accum Goodwill Amortized(-)</t>
        </is>
      </c>
      <c r="C33" s="2" t="inlineStr">
        <is>
          <t>bs_nca</t>
        </is>
      </c>
      <c r="D33" s="2" t="inlineStr">
        <is>
          <t>Extract the reported value for 'Accum Goodwill Amortized(-)' from the stated section. Do not calculate or replace it from other rows, because the revised template does not designate this field as formula-driven.</t>
        </is>
      </c>
      <c r="E33" s="2" t="inlineStr">
        <is>
          <t>Accum Goodwill Amortized(-)</t>
        </is>
      </c>
      <c r="F33" s="2" t="inlineStr">
        <is>
          <t>Accum Goodwill Amortized(-)</t>
        </is>
      </c>
      <c r="G33" s="2" t="inlineStr">
        <is>
          <t>^Accum\s+Goodwill\s+Amortized\([\-–—]?\)$</t>
        </is>
      </c>
      <c r="H33" s="2" t="inlineStr"/>
      <c r="I33" s="2" t="inlineStr">
        <is>
          <t>Amounts or disclosures explicitly reported for Accum Goodwill Amortized(-) in Balance Sheet / bs_nca.</t>
        </is>
      </c>
      <c r="J33" s="2" t="inlineStr">
        <is>
          <t>Do not substitute another section, period, entity scope, currency or unit; do not double count a parent and its children.</t>
        </is>
      </c>
      <c r="K33" s="2" t="inlineStr"/>
      <c r="L33" s="2" t="inlineStr">
        <is>
          <t>negative_or_contra</t>
        </is>
      </c>
      <c r="M33" s="2" t="inlineStr">
        <is>
          <t>direct_exclusive</t>
        </is>
      </c>
      <c r="N33" s="2" t="n">
        <v>90</v>
      </c>
      <c r="O33" s="2" t="inlineStr">
        <is>
          <t>normalized_exact_then_regex</t>
        </is>
      </c>
      <c r="P33" s="3" t="inlineStr">
        <is>
          <t>extract</t>
        </is>
      </c>
      <c r="Q33" s="2" t="inlineStr">
        <is>
          <t>currency_amount</t>
        </is>
      </c>
      <c r="R33" s="2" t="inlineStr">
        <is>
          <t>period_end</t>
        </is>
      </c>
      <c r="S33" s="2" t="inlineStr">
        <is>
          <t>allowed_with_provenance</t>
        </is>
      </c>
      <c r="T33" s="2" t="b">
        <v>0</v>
      </c>
      <c r="U33" s="2" t="b">
        <v>0</v>
      </c>
      <c r="V33" s="2" t="inlineStr"/>
      <c r="W33" s="2" t="inlineStr"/>
      <c r="X33" s="2" t="inlineStr">
        <is>
          <t>Decompose only from explicit face or note evidence; never fabricate a split.</t>
        </is>
      </c>
      <c r="Y33" s="2" t="inlineStr">
        <is>
          <t>Aggregate only mutually exclusive facts with identical period, scope, currency and unit.</t>
        </is>
      </c>
      <c r="Z33" s="2" t="inlineStr">
        <is>
          <t>Bind only to Balance Sheet / bs_nca.</t>
        </is>
      </c>
      <c r="AA33" s="2" t="inlineStr"/>
      <c r="AB33" s="2" t="b">
        <v>1</v>
      </c>
      <c r="AC33" s="2" t="inlineStr"/>
      <c r="AD33" s="2" t="inlineStr">
        <is>
          <t>Exact field from Balance Sheet!A18; value cell B18.</t>
        </is>
      </c>
      <c r="AE33" s="2" t="inlineStr">
        <is>
          <t>Notes may support direct extraction or decomposition with provenance. Formula outputs must be derived only from template dependencies.</t>
        </is>
      </c>
      <c r="AF33" s="2" t="inlineStr"/>
      <c r="AG33" s="2" t="inlineStr">
        <is>
          <t>[]</t>
        </is>
      </c>
      <c r="AH33" s="2" t="inlineStr">
        <is>
          <t>Accum Goodwill Amortized(-)</t>
        </is>
      </c>
      <c r="AI33" s="2" t="inlineStr"/>
      <c r="AJ33" s="2" t="inlineStr">
        <is>
          <t>{"template_sheet": "Balance Sheet", "template_row": 18, "template_cell": "B18", "template_value_or_formula": 15, "calculation_type": "reported_input", "dependencies": [], "source_template": "Copy of Output_CSV Template.xlsx"}</t>
        </is>
      </c>
    </row>
    <row r="34">
      <c r="A34" s="2" t="inlineStr">
        <is>
          <t>bs_nca__land_use_rights</t>
        </is>
      </c>
      <c r="B34" s="2" t="inlineStr">
        <is>
          <t>Land use rights</t>
        </is>
      </c>
      <c r="C34" s="2" t="inlineStr">
        <is>
          <t>bs_nca</t>
        </is>
      </c>
      <c r="D34" s="2" t="inlineStr">
        <is>
          <t>Extract the reported value for 'Land use rights' from the stated section. Do not calculate or replace it from other rows, because the revised template does not designate this field as formula-driven.</t>
        </is>
      </c>
      <c r="E34" s="2" t="inlineStr">
        <is>
          <t>Land use rights</t>
        </is>
      </c>
      <c r="F34" s="2" t="inlineStr">
        <is>
          <t>Land use rights</t>
        </is>
      </c>
      <c r="G34" s="2" t="inlineStr">
        <is>
          <t>^Land\s+use\s+rights$</t>
        </is>
      </c>
      <c r="H34" s="2" t="inlineStr"/>
      <c r="I34" s="2" t="inlineStr">
        <is>
          <t>Amounts or disclosures explicitly reported for Land use rights in Balance Sheet / bs_nca.</t>
        </is>
      </c>
      <c r="J34" s="2" t="inlineStr">
        <is>
          <t>Do not substitute another section, period, entity scope, currency or unit; do not double count a parent and its children.</t>
        </is>
      </c>
      <c r="K34" s="2" t="inlineStr"/>
      <c r="L34" s="2" t="inlineStr">
        <is>
          <t>as_reported</t>
        </is>
      </c>
      <c r="M34" s="2" t="inlineStr">
        <is>
          <t>direct_exclusive</t>
        </is>
      </c>
      <c r="N34" s="2" t="n">
        <v>90</v>
      </c>
      <c r="O34" s="2" t="inlineStr">
        <is>
          <t>normalized_exact_then_regex</t>
        </is>
      </c>
      <c r="P34" s="3" t="inlineStr">
        <is>
          <t>extract</t>
        </is>
      </c>
      <c r="Q34" s="2" t="inlineStr">
        <is>
          <t>currency_amount</t>
        </is>
      </c>
      <c r="R34" s="2" t="inlineStr">
        <is>
          <t>period_end</t>
        </is>
      </c>
      <c r="S34" s="2" t="inlineStr">
        <is>
          <t>allowed_with_provenance</t>
        </is>
      </c>
      <c r="T34" s="2" t="b">
        <v>0</v>
      </c>
      <c r="U34" s="2" t="b">
        <v>0</v>
      </c>
      <c r="V34" s="2" t="inlineStr"/>
      <c r="W34" s="2" t="inlineStr"/>
      <c r="X34" s="2" t="inlineStr">
        <is>
          <t>Decompose only from explicit face or note evidence; never fabricate a split.</t>
        </is>
      </c>
      <c r="Y34" s="2" t="inlineStr">
        <is>
          <t>Aggregate only mutually exclusive facts with identical period, scope, currency and unit.</t>
        </is>
      </c>
      <c r="Z34" s="2" t="inlineStr">
        <is>
          <t>Bind only to Balance Sheet / bs_nca.</t>
        </is>
      </c>
      <c r="AA34" s="2" t="inlineStr"/>
      <c r="AB34" s="2" t="b">
        <v>1</v>
      </c>
      <c r="AC34" s="2" t="inlineStr"/>
      <c r="AD34" s="2" t="inlineStr">
        <is>
          <t>Exact field from Balance Sheet!A19; value cell B19.</t>
        </is>
      </c>
      <c r="AE34" s="2" t="inlineStr">
        <is>
          <t>Notes may support direct extraction or decomposition with provenance. Formula outputs must be derived only from template dependencies.</t>
        </is>
      </c>
      <c r="AF34" s="2" t="inlineStr"/>
      <c r="AG34" s="2" t="inlineStr">
        <is>
          <t>[]</t>
        </is>
      </c>
      <c r="AH34" s="2" t="inlineStr">
        <is>
          <t>Land use rights</t>
        </is>
      </c>
      <c r="AI34" s="2" t="inlineStr"/>
      <c r="AJ34" s="2" t="inlineStr">
        <is>
          <t>{"template_sheet": "Balance Sheet", "template_row": 19, "template_cell": "B19", "template_value_or_formula": 32, "calculation_type": "reported_input", "dependencies": [], "source_template": "Copy of Output_CSV Template.xlsx"}</t>
        </is>
      </c>
    </row>
    <row r="35">
      <c r="A35" s="2" t="inlineStr">
        <is>
          <t>bs_nca__concessions_licenses_and_trdmrks</t>
        </is>
      </c>
      <c r="B35" s="2" t="inlineStr">
        <is>
          <t>Concessions, Licenses &amp; Trdmrks</t>
        </is>
      </c>
      <c r="C35" s="2" t="inlineStr">
        <is>
          <t>bs_nca</t>
        </is>
      </c>
      <c r="D35" s="2" t="inlineStr">
        <is>
          <t>Extract the reported value for 'Concessions, Licenses &amp; Trdmrks' from the stated section. Do not calculate or replace it from other rows, because the revised template does not designate this field as formula-driven.</t>
        </is>
      </c>
      <c r="E35" s="2" t="inlineStr">
        <is>
          <t>Concessions, Licenses &amp; Trdmrks</t>
        </is>
      </c>
      <c r="F35" s="2" t="inlineStr">
        <is>
          <t>Concessions, Licenses &amp; Trdmrks</t>
        </is>
      </c>
      <c r="G35" s="2" t="inlineStr">
        <is>
          <t>^Concessions,\s+Licenses\s+\&amp;\s+Trdmrks$</t>
        </is>
      </c>
      <c r="H35" s="2" t="inlineStr"/>
      <c r="I35" s="2" t="inlineStr">
        <is>
          <t>Amounts or disclosures explicitly reported for Concessions, Licenses &amp; Trdmrks in Balance Sheet / bs_nca.</t>
        </is>
      </c>
      <c r="J35" s="2" t="inlineStr">
        <is>
          <t>Do not substitute another section, period, entity scope, currency or unit; do not double count a parent and its children.</t>
        </is>
      </c>
      <c r="K35" s="2" t="inlineStr"/>
      <c r="L35" s="2" t="inlineStr">
        <is>
          <t>as_reported</t>
        </is>
      </c>
      <c r="M35" s="2" t="inlineStr">
        <is>
          <t>direct_exclusive</t>
        </is>
      </c>
      <c r="N35" s="2" t="n">
        <v>90</v>
      </c>
      <c r="O35" s="2" t="inlineStr">
        <is>
          <t>normalized_exact_then_regex</t>
        </is>
      </c>
      <c r="P35" s="3" t="inlineStr">
        <is>
          <t>extract</t>
        </is>
      </c>
      <c r="Q35" s="2" t="inlineStr">
        <is>
          <t>currency_amount</t>
        </is>
      </c>
      <c r="R35" s="2" t="inlineStr">
        <is>
          <t>period_end</t>
        </is>
      </c>
      <c r="S35" s="2" t="inlineStr">
        <is>
          <t>allowed_with_provenance</t>
        </is>
      </c>
      <c r="T35" s="2" t="b">
        <v>0</v>
      </c>
      <c r="U35" s="2" t="b">
        <v>0</v>
      </c>
      <c r="V35" s="2" t="inlineStr"/>
      <c r="W35" s="2" t="inlineStr"/>
      <c r="X35" s="2" t="inlineStr">
        <is>
          <t>Decompose only from explicit face or note evidence; never fabricate a split.</t>
        </is>
      </c>
      <c r="Y35" s="2" t="inlineStr">
        <is>
          <t>Aggregate only mutually exclusive facts with identical period, scope, currency and unit.</t>
        </is>
      </c>
      <c r="Z35" s="2" t="inlineStr">
        <is>
          <t>Bind only to Balance Sheet / bs_nca.</t>
        </is>
      </c>
      <c r="AA35" s="2" t="inlineStr"/>
      <c r="AB35" s="2" t="b">
        <v>1</v>
      </c>
      <c r="AC35" s="2" t="inlineStr"/>
      <c r="AD35" s="2" t="inlineStr">
        <is>
          <t>Exact field from Balance Sheet!A20; value cell B20.</t>
        </is>
      </c>
      <c r="AE35" s="2" t="inlineStr">
        <is>
          <t>Notes may support direct extraction or decomposition with provenance. Formula outputs must be derived only from template dependencies.</t>
        </is>
      </c>
      <c r="AF35" s="2" t="inlineStr"/>
      <c r="AG35" s="2" t="inlineStr">
        <is>
          <t>[]</t>
        </is>
      </c>
      <c r="AH35" s="2" t="inlineStr">
        <is>
          <t>Concessions, Licenses &amp; Trdmrks</t>
        </is>
      </c>
      <c r="AI35" s="2" t="inlineStr"/>
      <c r="AJ35" s="2" t="inlineStr">
        <is>
          <t>{"template_sheet": "Balance Sheet", "template_row": 20, "template_cell": "B20", "template_value_or_formula": 49, "calculation_type": "reported_input", "dependencies": [], "source_template": "Copy of Output_CSV Template.xlsx"}</t>
        </is>
      </c>
    </row>
    <row r="36">
      <c r="A36" s="2" t="inlineStr">
        <is>
          <t>bs_nca__patents</t>
        </is>
      </c>
      <c r="B36" s="2" t="inlineStr">
        <is>
          <t>Patents</t>
        </is>
      </c>
      <c r="C36" s="2" t="inlineStr">
        <is>
          <t>bs_nca</t>
        </is>
      </c>
      <c r="D36" s="2" t="inlineStr">
        <is>
          <t>Extract the reported value for 'Patents' from the stated section. Do not calculate or replace it from other rows, because the revised template does not designate this field as formula-driven.</t>
        </is>
      </c>
      <c r="E36" s="2" t="inlineStr">
        <is>
          <t>Patents</t>
        </is>
      </c>
      <c r="F36" s="2" t="inlineStr">
        <is>
          <t>Patents</t>
        </is>
      </c>
      <c r="G36" s="2" t="inlineStr">
        <is>
          <t>^Patents$</t>
        </is>
      </c>
      <c r="H36" s="2" t="inlineStr"/>
      <c r="I36" s="2" t="inlineStr">
        <is>
          <t>Amounts or disclosures explicitly reported for Patents in Balance Sheet / bs_nca.</t>
        </is>
      </c>
      <c r="J36" s="2" t="inlineStr">
        <is>
          <t>Do not substitute another section, period, entity scope, currency or unit; do not double count a parent and its children.</t>
        </is>
      </c>
      <c r="K36" s="2" t="inlineStr"/>
      <c r="L36" s="2" t="inlineStr">
        <is>
          <t>as_reported</t>
        </is>
      </c>
      <c r="M36" s="2" t="inlineStr">
        <is>
          <t>direct_exclusive</t>
        </is>
      </c>
      <c r="N36" s="2" t="n">
        <v>90</v>
      </c>
      <c r="O36" s="2" t="inlineStr">
        <is>
          <t>normalized_exact_then_regex</t>
        </is>
      </c>
      <c r="P36" s="3" t="inlineStr">
        <is>
          <t>extract</t>
        </is>
      </c>
      <c r="Q36" s="2" t="inlineStr">
        <is>
          <t>currency_amount</t>
        </is>
      </c>
      <c r="R36" s="2" t="inlineStr">
        <is>
          <t>period_end</t>
        </is>
      </c>
      <c r="S36" s="2" t="inlineStr">
        <is>
          <t>allowed_with_provenance</t>
        </is>
      </c>
      <c r="T36" s="2" t="b">
        <v>0</v>
      </c>
      <c r="U36" s="2" t="b">
        <v>0</v>
      </c>
      <c r="V36" s="2" t="inlineStr"/>
      <c r="W36" s="2" t="inlineStr"/>
      <c r="X36" s="2" t="inlineStr">
        <is>
          <t>Decompose only from explicit face or note evidence; never fabricate a split.</t>
        </is>
      </c>
      <c r="Y36" s="2" t="inlineStr">
        <is>
          <t>Aggregate only mutually exclusive facts with identical period, scope, currency and unit.</t>
        </is>
      </c>
      <c r="Z36" s="2" t="inlineStr">
        <is>
          <t>Bind only to Balance Sheet / bs_nca.</t>
        </is>
      </c>
      <c r="AA36" s="2" t="inlineStr"/>
      <c r="AB36" s="2" t="b">
        <v>1</v>
      </c>
      <c r="AC36" s="2" t="inlineStr"/>
      <c r="AD36" s="2" t="inlineStr">
        <is>
          <t>Exact field from Balance Sheet!A21; value cell B21.</t>
        </is>
      </c>
      <c r="AE36" s="2" t="inlineStr">
        <is>
          <t>Notes may support direct extraction or decomposition with provenance. Formula outputs must be derived only from template dependencies.</t>
        </is>
      </c>
      <c r="AF36" s="2" t="inlineStr"/>
      <c r="AG36" s="2" t="inlineStr">
        <is>
          <t>[]</t>
        </is>
      </c>
      <c r="AH36" s="2" t="inlineStr">
        <is>
          <t>Patents</t>
        </is>
      </c>
      <c r="AI36" s="2" t="inlineStr"/>
      <c r="AJ36" s="2" t="inlineStr">
        <is>
          <t>{"template_sheet": "Balance Sheet", "template_row": 21, "template_cell": "B21", "template_value_or_formula": 23, "calculation_type": "reported_input", "dependencies": [], "source_template": "Copy of Output_CSV Template.xlsx"}</t>
        </is>
      </c>
    </row>
    <row r="37">
      <c r="A37" s="2" t="inlineStr">
        <is>
          <t>bs_nca__start_up_capitalized_expenses</t>
        </is>
      </c>
      <c r="B37" s="2" t="inlineStr">
        <is>
          <t>Start-Up Capitalized Expenses</t>
        </is>
      </c>
      <c r="C37" s="2" t="inlineStr">
        <is>
          <t>bs_nca</t>
        </is>
      </c>
      <c r="D37" s="2" t="inlineStr">
        <is>
          <t>Extract the reported value for 'Start-Up Capitalized Expenses' from the stated section. Do not calculate or replace it from other rows, because the revised template does not designate this field as formula-driven.</t>
        </is>
      </c>
      <c r="E37" s="2" t="inlineStr">
        <is>
          <t>Start-Up Capitalized Expenses</t>
        </is>
      </c>
      <c r="F37" s="2" t="inlineStr">
        <is>
          <t>Start-Up Capitalized Expenses</t>
        </is>
      </c>
      <c r="G37" s="2" t="inlineStr">
        <is>
          <t>^Start[\-–—]?Up\s+Capitalized\s+Expenses$</t>
        </is>
      </c>
      <c r="H37" s="2" t="inlineStr"/>
      <c r="I37" s="2" t="inlineStr">
        <is>
          <t>Amounts or disclosures explicitly reported for Start-Up Capitalized Expenses in Balance Sheet / bs_nca.</t>
        </is>
      </c>
      <c r="J37" s="2" t="inlineStr">
        <is>
          <t>Do not substitute another section, period, entity scope, currency or unit; do not double count a parent and its children.</t>
        </is>
      </c>
      <c r="K37" s="2" t="inlineStr"/>
      <c r="L37" s="2" t="inlineStr">
        <is>
          <t>as_reported</t>
        </is>
      </c>
      <c r="M37" s="2" t="inlineStr">
        <is>
          <t>direct_exclusive</t>
        </is>
      </c>
      <c r="N37" s="2" t="n">
        <v>90</v>
      </c>
      <c r="O37" s="2" t="inlineStr">
        <is>
          <t>normalized_exact_then_regex</t>
        </is>
      </c>
      <c r="P37" s="3" t="inlineStr">
        <is>
          <t>extract</t>
        </is>
      </c>
      <c r="Q37" s="2" t="inlineStr">
        <is>
          <t>currency_amount</t>
        </is>
      </c>
      <c r="R37" s="2" t="inlineStr">
        <is>
          <t>period_end</t>
        </is>
      </c>
      <c r="S37" s="2" t="inlineStr">
        <is>
          <t>allowed_with_provenance</t>
        </is>
      </c>
      <c r="T37" s="2" t="b">
        <v>0</v>
      </c>
      <c r="U37" s="2" t="b">
        <v>0</v>
      </c>
      <c r="V37" s="2" t="inlineStr"/>
      <c r="W37" s="2" t="inlineStr"/>
      <c r="X37" s="2" t="inlineStr">
        <is>
          <t>Decompose only from explicit face or note evidence; never fabricate a split.</t>
        </is>
      </c>
      <c r="Y37" s="2" t="inlineStr">
        <is>
          <t>Aggregate only mutually exclusive facts with identical period, scope, currency and unit.</t>
        </is>
      </c>
      <c r="Z37" s="2" t="inlineStr">
        <is>
          <t>Bind only to Balance Sheet / bs_nca.</t>
        </is>
      </c>
      <c r="AA37" s="2" t="inlineStr"/>
      <c r="AB37" s="2" t="b">
        <v>1</v>
      </c>
      <c r="AC37" s="2" t="inlineStr"/>
      <c r="AD37" s="2" t="inlineStr">
        <is>
          <t>Exact field from Balance Sheet!A22; value cell B22.</t>
        </is>
      </c>
      <c r="AE37" s="2" t="inlineStr">
        <is>
          <t>Notes may support direct extraction or decomposition with provenance. Formula outputs must be derived only from template dependencies.</t>
        </is>
      </c>
      <c r="AF37" s="2" t="inlineStr"/>
      <c r="AG37" s="2" t="inlineStr">
        <is>
          <t>[]</t>
        </is>
      </c>
      <c r="AH37" s="2" t="inlineStr">
        <is>
          <t>Start-Up Capitalized Expenses</t>
        </is>
      </c>
      <c r="AI37" s="2" t="inlineStr"/>
      <c r="AJ37" s="2" t="inlineStr">
        <is>
          <t>{"template_sheet": "Balance Sheet", "template_row": 22, "template_cell": "B22", "template_value_or_formula": 40, "calculation_type": "reported_input", "dependencies": [], "source_template": "Copy of Output_CSV Template.xlsx"}</t>
        </is>
      </c>
    </row>
    <row r="38">
      <c r="A38" s="2" t="inlineStr">
        <is>
          <t>bs_nca__r_and_d_capitalized_expenses</t>
        </is>
      </c>
      <c r="B38" s="2" t="inlineStr">
        <is>
          <t>R&amp;D Capitalized Expenses</t>
        </is>
      </c>
      <c r="C38" s="2" t="inlineStr">
        <is>
          <t>bs_nca</t>
        </is>
      </c>
      <c r="D38" s="2" t="inlineStr">
        <is>
          <t>Extract the reported value for 'R&amp;D Capitalized Expenses' from the stated section. Do not calculate or replace it from other rows, because the revised template does not designate this field as formula-driven.</t>
        </is>
      </c>
      <c r="E38" s="2" t="inlineStr">
        <is>
          <t>R&amp;D Capitalized Expenses</t>
        </is>
      </c>
      <c r="F38" s="2" t="inlineStr">
        <is>
          <t>R&amp;D Capitalized Expenses</t>
        </is>
      </c>
      <c r="G38" s="2" t="inlineStr">
        <is>
          <t>^R\&amp;D\s+Capitalized\s+Expenses$</t>
        </is>
      </c>
      <c r="H38" s="2" t="inlineStr"/>
      <c r="I38" s="2" t="inlineStr">
        <is>
          <t>Amounts or disclosures explicitly reported for R&amp;D Capitalized Expenses in Balance Sheet / bs_nca.</t>
        </is>
      </c>
      <c r="J38" s="2" t="inlineStr">
        <is>
          <t>Do not substitute another section, period, entity scope, currency or unit; do not double count a parent and its children.</t>
        </is>
      </c>
      <c r="K38" s="2" t="inlineStr"/>
      <c r="L38" s="2" t="inlineStr">
        <is>
          <t>as_reported</t>
        </is>
      </c>
      <c r="M38" s="2" t="inlineStr">
        <is>
          <t>direct_exclusive</t>
        </is>
      </c>
      <c r="N38" s="2" t="n">
        <v>90</v>
      </c>
      <c r="O38" s="2" t="inlineStr">
        <is>
          <t>normalized_exact_then_regex</t>
        </is>
      </c>
      <c r="P38" s="3" t="inlineStr">
        <is>
          <t>extract</t>
        </is>
      </c>
      <c r="Q38" s="2" t="inlineStr">
        <is>
          <t>currency_amount</t>
        </is>
      </c>
      <c r="R38" s="2" t="inlineStr">
        <is>
          <t>period_end</t>
        </is>
      </c>
      <c r="S38" s="2" t="inlineStr">
        <is>
          <t>allowed_with_provenance</t>
        </is>
      </c>
      <c r="T38" s="2" t="b">
        <v>0</v>
      </c>
      <c r="U38" s="2" t="b">
        <v>0</v>
      </c>
      <c r="V38" s="2" t="inlineStr"/>
      <c r="W38" s="2" t="inlineStr"/>
      <c r="X38" s="2" t="inlineStr">
        <is>
          <t>Decompose only from explicit face or note evidence; never fabricate a split.</t>
        </is>
      </c>
      <c r="Y38" s="2" t="inlineStr">
        <is>
          <t>Aggregate only mutually exclusive facts with identical period, scope, currency and unit.</t>
        </is>
      </c>
      <c r="Z38" s="2" t="inlineStr">
        <is>
          <t>Bind only to Balance Sheet / bs_nca.</t>
        </is>
      </c>
      <c r="AA38" s="2" t="inlineStr"/>
      <c r="AB38" s="2" t="b">
        <v>1</v>
      </c>
      <c r="AC38" s="2" t="inlineStr"/>
      <c r="AD38" s="2" t="inlineStr">
        <is>
          <t>Exact field from Balance Sheet!A23; value cell B23.</t>
        </is>
      </c>
      <c r="AE38" s="2" t="inlineStr">
        <is>
          <t>Notes may support direct extraction or decomposition with provenance. Formula outputs must be derived only from template dependencies.</t>
        </is>
      </c>
      <c r="AF38" s="2" t="inlineStr"/>
      <c r="AG38" s="2" t="inlineStr">
        <is>
          <t>[]</t>
        </is>
      </c>
      <c r="AH38" s="2" t="inlineStr">
        <is>
          <t>R&amp;D Capitalized Expenses</t>
        </is>
      </c>
      <c r="AI38" s="2" t="inlineStr"/>
      <c r="AJ38" s="2" t="inlineStr">
        <is>
          <t>{"template_sheet": "Balance Sheet", "template_row": 23, "template_cell": "B23", "template_value_or_formula": 14, "calculation_type": "reported_input", "dependencies": [], "source_template": "Copy of Output_CSV Template.xlsx"}</t>
        </is>
      </c>
    </row>
    <row r="39">
      <c r="A39" s="2" t="inlineStr">
        <is>
          <t>bs_nca__other_intangible_assets</t>
        </is>
      </c>
      <c r="B39" s="2" t="inlineStr">
        <is>
          <t>Other Intangible Assets</t>
        </is>
      </c>
      <c r="C39" s="2" t="inlineStr">
        <is>
          <t>bs_nca</t>
        </is>
      </c>
      <c r="D39" s="2" t="inlineStr">
        <is>
          <t>Extract the reported value for 'Other Intangible Assets' from the stated section. Do not calculate or replace it from other rows, because the revised template does not designate this field as formula-driven.</t>
        </is>
      </c>
      <c r="E39" s="2" t="inlineStr">
        <is>
          <t>Other Intangible Assets</t>
        </is>
      </c>
      <c r="F39" s="2" t="inlineStr">
        <is>
          <t>Other Intangible Assets</t>
        </is>
      </c>
      <c r="G39" s="2" t="inlineStr">
        <is>
          <t>^Other\s+Intangible\s+Assets$</t>
        </is>
      </c>
      <c r="H39" s="2" t="inlineStr"/>
      <c r="I39" s="2" t="inlineStr">
        <is>
          <t>Amounts or disclosures explicitly reported for Other Intangible Assets in Balance Sheet / bs_nca.</t>
        </is>
      </c>
      <c r="J39" s="2" t="inlineStr">
        <is>
          <t>Do not substitute another section, period, entity scope, currency or unit; do not double count a parent and its children.</t>
        </is>
      </c>
      <c r="K39" s="2" t="inlineStr"/>
      <c r="L39" s="2" t="inlineStr">
        <is>
          <t>as_reported</t>
        </is>
      </c>
      <c r="M39" s="2" t="inlineStr">
        <is>
          <t>direct_exclusive</t>
        </is>
      </c>
      <c r="N39" s="2" t="n">
        <v>90</v>
      </c>
      <c r="O39" s="2" t="inlineStr">
        <is>
          <t>normalized_exact_then_regex</t>
        </is>
      </c>
      <c r="P39" s="3" t="inlineStr">
        <is>
          <t>extract</t>
        </is>
      </c>
      <c r="Q39" s="2" t="inlineStr">
        <is>
          <t>currency_amount</t>
        </is>
      </c>
      <c r="R39" s="2" t="inlineStr">
        <is>
          <t>period_end</t>
        </is>
      </c>
      <c r="S39" s="2" t="inlineStr">
        <is>
          <t>allowed_with_provenance</t>
        </is>
      </c>
      <c r="T39" s="2" t="b">
        <v>0</v>
      </c>
      <c r="U39" s="2" t="b">
        <v>0</v>
      </c>
      <c r="V39" s="2" t="inlineStr"/>
      <c r="W39" s="2" t="inlineStr"/>
      <c r="X39" s="2" t="inlineStr">
        <is>
          <t>Decompose only from explicit face or note evidence; never fabricate a split.</t>
        </is>
      </c>
      <c r="Y39" s="2" t="inlineStr">
        <is>
          <t>Aggregate only mutually exclusive facts with identical period, scope, currency and unit.</t>
        </is>
      </c>
      <c r="Z39" s="2" t="inlineStr">
        <is>
          <t>Bind only to Balance Sheet / bs_nca.</t>
        </is>
      </c>
      <c r="AA39" s="2" t="inlineStr"/>
      <c r="AB39" s="2" t="b">
        <v>1</v>
      </c>
      <c r="AC39" s="2" t="inlineStr"/>
      <c r="AD39" s="2" t="inlineStr">
        <is>
          <t>Exact field from Balance Sheet!A24; value cell B24.</t>
        </is>
      </c>
      <c r="AE39" s="2" t="inlineStr">
        <is>
          <t>Notes may support direct extraction or decomposition with provenance. Formula outputs must be derived only from template dependencies.</t>
        </is>
      </c>
      <c r="AF39" s="2" t="inlineStr">
        <is>
          <t>{"mode": "no_balancing_plug", "negative_result": "review"}</t>
        </is>
      </c>
      <c r="AG39" s="2" t="inlineStr">
        <is>
          <t>[]</t>
        </is>
      </c>
      <c r="AH39" s="2" t="inlineStr">
        <is>
          <t>Other Intangible Assets</t>
        </is>
      </c>
      <c r="AI39" s="2" t="inlineStr"/>
      <c r="AJ39" s="2" t="inlineStr">
        <is>
          <t>{"template_sheet": "Balance Sheet", "template_row": 24, "template_cell": "B24", "template_value_or_formula": 31, "calculation_type": "reported_input", "dependencies": [], "source_template": "Copy of Output_CSV Template.xlsx"}</t>
        </is>
      </c>
    </row>
    <row r="40">
      <c r="A40" s="2" t="inlineStr">
        <is>
          <t>bs_nca__accum_intgbl_assets_amort</t>
        </is>
      </c>
      <c r="B40" s="2" t="inlineStr">
        <is>
          <t>Accum Intgbl Assets Amort(-)</t>
        </is>
      </c>
      <c r="C40" s="2" t="inlineStr">
        <is>
          <t>bs_nca</t>
        </is>
      </c>
      <c r="D40" s="2" t="inlineStr">
        <is>
          <t>Calculated target using the exact formula retained in the supplied template: =-ROUND(SUM({bs_nca__goodwill}:{bs_nca__other_intangible_assets})*20%,0)</t>
        </is>
      </c>
      <c r="E40" s="2" t="inlineStr">
        <is>
          <t>Accum Intgbl Assets Amort(-)</t>
        </is>
      </c>
      <c r="F40" s="2" t="inlineStr">
        <is>
          <t>Accum Intgbl Assets Amort(-)</t>
        </is>
      </c>
      <c r="G40" s="2" t="inlineStr">
        <is>
          <t>^Accum\s+Intgbl\s+Assets\s+Amort\([\-–—]?\)$</t>
        </is>
      </c>
      <c r="H40" s="2" t="inlineStr"/>
      <c r="I40" s="2" t="inlineStr">
        <is>
          <t>Amounts or disclosures explicitly reported for Accum Intgbl Assets Amort(-) in Balance Sheet / bs_nca.</t>
        </is>
      </c>
      <c r="J40" s="2" t="inlineStr">
        <is>
          <t>Do not substitute another section, period, entity scope, currency or unit; do not double count a parent and its children.</t>
        </is>
      </c>
      <c r="K40" s="2" t="inlineStr"/>
      <c r="L40" s="2" t="inlineStr">
        <is>
          <t>negative_or_contra</t>
        </is>
      </c>
      <c r="M40" s="2" t="inlineStr">
        <is>
          <t>derived_total</t>
        </is>
      </c>
      <c r="N40" s="2" t="n">
        <v>100</v>
      </c>
      <c r="O40" s="2" t="inlineStr">
        <is>
          <t>disabled</t>
        </is>
      </c>
      <c r="P40" s="4" t="inlineStr">
        <is>
          <t>derive</t>
        </is>
      </c>
      <c r="Q40" s="2" t="inlineStr">
        <is>
          <t>currency_amount</t>
        </is>
      </c>
      <c r="R40" s="2" t="inlineStr">
        <is>
          <t>period_end</t>
        </is>
      </c>
      <c r="S40" s="2" t="inlineStr">
        <is>
          <t>allowed_with_provenance</t>
        </is>
      </c>
      <c r="T40" s="2" t="b">
        <v>0</v>
      </c>
      <c r="U40" s="2" t="b">
        <v>1</v>
      </c>
      <c r="V40" s="2" t="inlineStr">
        <is>
          <t>bs_nca__goodwill | bs_nca__other_intangible_assets</t>
        </is>
      </c>
      <c r="W40" s="2">
        <f>-ROUND(SUM({bs_nca__goodwill}:{bs_nca__other_intangible_assets})*20%,0)</f>
        <v/>
      </c>
      <c r="X40" s="2" t="inlineStr">
        <is>
          <t>Use only dependencies stated in the formula; never fabricate missing components.</t>
        </is>
      </c>
      <c r="Y40" s="2" t="inlineStr">
        <is>
          <t>Calculate only after every dependency is populated and validated.</t>
        </is>
      </c>
      <c r="Z40" s="2" t="inlineStr">
        <is>
          <t>Bind only to Balance Sheet / bs_nca.</t>
        </is>
      </c>
      <c r="AA40" s="2" t="inlineStr"/>
      <c r="AB40" s="2" t="b">
        <v>0</v>
      </c>
      <c r="AC40" s="2" t="inlineStr">
        <is>
          <t>bs_nca__goodwill | bs_nca__other_intangible_assets</t>
        </is>
      </c>
      <c r="AD40" s="2" t="inlineStr">
        <is>
          <t>Exact field from Balance Sheet!A25; value cell B25.</t>
        </is>
      </c>
      <c r="AE40" s="2" t="inlineStr">
        <is>
          <t>Notes may support direct extraction or decomposition with provenance. Formula outputs must be derived only from template dependencies.</t>
        </is>
      </c>
      <c r="AF40" s="2" t="inlineStr"/>
      <c r="AG40" s="2" t="inlineStr">
        <is>
          <t>[]</t>
        </is>
      </c>
      <c r="AH40" s="2" t="inlineStr">
        <is>
          <t>Accum Intgbl Assets Amort(-)</t>
        </is>
      </c>
      <c r="AI40" s="2" t="inlineStr"/>
      <c r="AJ40" s="2" t="inlineStr">
        <is>
          <t>{"template_sheet": "Balance Sheet", "template_row": 25, "template_cell": "B25", "template_value_or_formula": "=-ROUND(SUM(B17:B24)*20%,0)", "calculation_type": "formula", "dependencies": ["bs_nca__goodwill", "bs_nca__other_intangible_assets"], "source_template": "Copy of Output_CSV Template.xlsx"}</t>
        </is>
      </c>
    </row>
    <row r="41">
      <c r="A41" s="2" t="inlineStr">
        <is>
          <t>bs_nca__net_intangibles</t>
        </is>
      </c>
      <c r="B41" s="2" t="inlineStr">
        <is>
          <t>Net Intangibles</t>
        </is>
      </c>
      <c r="C41" s="2" t="inlineStr">
        <is>
          <t>bs_nca</t>
        </is>
      </c>
      <c r="D41" s="2" t="inlineStr">
        <is>
          <t>Calculated target using the exact formula retained in the supplied template: =SUM({bs_nca__goodwill}:{bs_nca__accum_intgbl_assets_amort})</t>
        </is>
      </c>
      <c r="E41" s="2" t="inlineStr">
        <is>
          <t>Net Intangibles</t>
        </is>
      </c>
      <c r="F41" s="2" t="inlineStr">
        <is>
          <t>Net Intangibles</t>
        </is>
      </c>
      <c r="G41" s="2" t="inlineStr">
        <is>
          <t>^Net\s+Intangibles$</t>
        </is>
      </c>
      <c r="H41" s="2" t="inlineStr"/>
      <c r="I41" s="2" t="inlineStr">
        <is>
          <t>Amounts or disclosures explicitly reported for Net Intangibles in Balance Sheet / bs_nca.</t>
        </is>
      </c>
      <c r="J41" s="2" t="inlineStr">
        <is>
          <t>Do not substitute another section, period, entity scope, currency or unit; do not double count a parent and its children.</t>
        </is>
      </c>
      <c r="K41" s="2" t="inlineStr"/>
      <c r="L41" s="2" t="inlineStr">
        <is>
          <t>as_reported</t>
        </is>
      </c>
      <c r="M41" s="2" t="inlineStr">
        <is>
          <t>derived_total</t>
        </is>
      </c>
      <c r="N41" s="2" t="n">
        <v>100</v>
      </c>
      <c r="O41" s="2" t="inlineStr">
        <is>
          <t>disabled</t>
        </is>
      </c>
      <c r="P41" s="4" t="inlineStr">
        <is>
          <t>derive</t>
        </is>
      </c>
      <c r="Q41" s="2" t="inlineStr">
        <is>
          <t>currency_amount</t>
        </is>
      </c>
      <c r="R41" s="2" t="inlineStr">
        <is>
          <t>period_end</t>
        </is>
      </c>
      <c r="S41" s="2" t="inlineStr">
        <is>
          <t>allowed_with_provenance</t>
        </is>
      </c>
      <c r="T41" s="2" t="b">
        <v>0</v>
      </c>
      <c r="U41" s="2" t="b">
        <v>1</v>
      </c>
      <c r="V41" s="2" t="inlineStr">
        <is>
          <t>bs_nca__goodwill | bs_nca__accum_intgbl_assets_amort</t>
        </is>
      </c>
      <c r="W41" s="2">
        <f>SUM({bs_nca__goodwill}:{bs_nca__accum_intgbl_assets_amort})</f>
        <v/>
      </c>
      <c r="X41" s="2" t="inlineStr">
        <is>
          <t>Use only dependencies stated in the formula; never fabricate missing components.</t>
        </is>
      </c>
      <c r="Y41" s="2" t="inlineStr">
        <is>
          <t>Calculate only after every dependency is populated and validated.</t>
        </is>
      </c>
      <c r="Z41" s="2" t="inlineStr">
        <is>
          <t>Bind only to Balance Sheet / bs_nca.</t>
        </is>
      </c>
      <c r="AA41" s="2" t="inlineStr"/>
      <c r="AB41" s="2" t="b">
        <v>0</v>
      </c>
      <c r="AC41" s="2" t="inlineStr">
        <is>
          <t>bs_nca__goodwill | bs_nca__accum_intgbl_assets_amort</t>
        </is>
      </c>
      <c r="AD41" s="2" t="inlineStr">
        <is>
          <t>Exact field from Balance Sheet!A26; value cell B26.</t>
        </is>
      </c>
      <c r="AE41" s="2" t="inlineStr">
        <is>
          <t>Notes may support direct extraction or decomposition with provenance. Formula outputs must be derived only from template dependencies.</t>
        </is>
      </c>
      <c r="AF41" s="2" t="inlineStr"/>
      <c r="AG41" s="2" t="inlineStr">
        <is>
          <t>[]</t>
        </is>
      </c>
      <c r="AH41" s="2" t="inlineStr">
        <is>
          <t>Net Intangibles</t>
        </is>
      </c>
      <c r="AI41" s="2" t="inlineStr"/>
      <c r="AJ41" s="2" t="inlineStr">
        <is>
          <t>{"template_sheet": "Balance Sheet", "template_row": 26, "template_cell": "B26", "template_value_or_formula": "=SUM(B17:B25)", "calculation_type": "formula", "dependencies": ["bs_nca__goodwill", "bs_nca__accum_intgbl_assets_amort"], "source_template": "Copy of Output_CSV Template.xlsx"}</t>
        </is>
      </c>
    </row>
    <row r="42">
      <c r="A42" s="2" t="inlineStr">
        <is>
          <t>bs_nca__investment_property_net</t>
        </is>
      </c>
      <c r="B42" s="2" t="inlineStr">
        <is>
          <t>Investment Property(Net)</t>
        </is>
      </c>
      <c r="C42" s="2" t="inlineStr">
        <is>
          <t>bs_nca</t>
        </is>
      </c>
      <c r="D42" s="2" t="inlineStr">
        <is>
          <t>Extract the reported value for 'Investment Property(Net)' from the stated section. Do not calculate or replace it from other rows, because the revised template does not designate this field as formula-driven.</t>
        </is>
      </c>
      <c r="E42" s="2" t="inlineStr">
        <is>
          <t>Investment Property(Net)</t>
        </is>
      </c>
      <c r="F42" s="2" t="inlineStr">
        <is>
          <t>Investment Property(Net)</t>
        </is>
      </c>
      <c r="G42" s="2" t="inlineStr">
        <is>
          <t>^Investment\s+Property\(Net\)$</t>
        </is>
      </c>
      <c r="H42" s="2" t="inlineStr"/>
      <c r="I42" s="2" t="inlineStr">
        <is>
          <t>Amounts or disclosures explicitly reported for Investment Property(Net) in Balance Sheet / bs_nca.</t>
        </is>
      </c>
      <c r="J42" s="2" t="inlineStr">
        <is>
          <t>Do not substitute another section, period, entity scope, currency or unit; do not double count a parent and its children.</t>
        </is>
      </c>
      <c r="K42" s="2" t="inlineStr"/>
      <c r="L42" s="2" t="inlineStr">
        <is>
          <t>as_reported</t>
        </is>
      </c>
      <c r="M42" s="2" t="inlineStr">
        <is>
          <t>direct_exclusive</t>
        </is>
      </c>
      <c r="N42" s="2" t="n">
        <v>90</v>
      </c>
      <c r="O42" s="2" t="inlineStr">
        <is>
          <t>normalized_exact_then_regex</t>
        </is>
      </c>
      <c r="P42" s="3" t="inlineStr">
        <is>
          <t>extract</t>
        </is>
      </c>
      <c r="Q42" s="2" t="inlineStr">
        <is>
          <t>currency_amount</t>
        </is>
      </c>
      <c r="R42" s="2" t="inlineStr">
        <is>
          <t>period_end</t>
        </is>
      </c>
      <c r="S42" s="2" t="inlineStr">
        <is>
          <t>allowed_with_provenance</t>
        </is>
      </c>
      <c r="T42" s="2" t="b">
        <v>0</v>
      </c>
      <c r="U42" s="2" t="b">
        <v>0</v>
      </c>
      <c r="V42" s="2" t="inlineStr"/>
      <c r="W42" s="2" t="inlineStr"/>
      <c r="X42" s="2" t="inlineStr">
        <is>
          <t>Decompose only from explicit face or note evidence; never fabricate a split.</t>
        </is>
      </c>
      <c r="Y42" s="2" t="inlineStr">
        <is>
          <t>Aggregate only mutually exclusive facts with identical period, scope, currency and unit.</t>
        </is>
      </c>
      <c r="Z42" s="2" t="inlineStr">
        <is>
          <t>Bind only to Balance Sheet / bs_nca.</t>
        </is>
      </c>
      <c r="AA42" s="2" t="inlineStr"/>
      <c r="AB42" s="2" t="b">
        <v>1</v>
      </c>
      <c r="AC42" s="2" t="inlineStr"/>
      <c r="AD42" s="2" t="inlineStr">
        <is>
          <t>Exact field from Balance Sheet!A27; value cell B27.</t>
        </is>
      </c>
      <c r="AE42" s="2" t="inlineStr">
        <is>
          <t>Notes may support direct extraction or decomposition with provenance. Formula outputs must be derived only from template dependencies.</t>
        </is>
      </c>
      <c r="AF42" s="2" t="inlineStr"/>
      <c r="AG42" s="2" t="inlineStr">
        <is>
          <t>[]</t>
        </is>
      </c>
      <c r="AH42" s="2" t="inlineStr">
        <is>
          <t>Investment Property(Net)</t>
        </is>
      </c>
      <c r="AI42" s="2" t="inlineStr"/>
      <c r="AJ42" s="2" t="inlineStr">
        <is>
          <t>{"template_sheet": "Balance Sheet", "template_row": 27, "template_cell": "B27", "template_value_or_formula": 39, "calculation_type": "reported_input", "dependencies": [], "source_template": "Copy of Output_CSV Template.xlsx"}</t>
        </is>
      </c>
    </row>
    <row r="43">
      <c r="A43" s="2" t="inlineStr">
        <is>
          <t>bs_nca__investment_in_subsidiaries</t>
        </is>
      </c>
      <c r="B43" s="2" t="inlineStr">
        <is>
          <t>Investment in Subsidiaries</t>
        </is>
      </c>
      <c r="C43" s="2" t="inlineStr">
        <is>
          <t>bs_nca</t>
        </is>
      </c>
      <c r="D43" s="2" t="inlineStr">
        <is>
          <t>Extract the reported value for 'Investment in Subsidiaries' from the stated section. Do not calculate or replace it from other rows, because the revised template does not designate this field as formula-driven.</t>
        </is>
      </c>
      <c r="E43" s="2" t="inlineStr">
        <is>
          <t>Investment in Subsidiaries</t>
        </is>
      </c>
      <c r="F43" s="2" t="inlineStr">
        <is>
          <t>Investment in Subsidiaries</t>
        </is>
      </c>
      <c r="G43" s="2" t="inlineStr">
        <is>
          <t>^Investment\s+in\s+Subsidiaries$</t>
        </is>
      </c>
      <c r="H43" s="2" t="inlineStr"/>
      <c r="I43" s="2" t="inlineStr">
        <is>
          <t>Amounts or disclosures explicitly reported for Investment in Subsidiaries in Balance Sheet / bs_nca.</t>
        </is>
      </c>
      <c r="J43" s="2" t="inlineStr">
        <is>
          <t>Do not substitute another section, period, entity scope, currency or unit; do not double count a parent and its children.</t>
        </is>
      </c>
      <c r="K43" s="2" t="inlineStr"/>
      <c r="L43" s="2" t="inlineStr">
        <is>
          <t>as_reported</t>
        </is>
      </c>
      <c r="M43" s="2" t="inlineStr">
        <is>
          <t>direct_exclusive</t>
        </is>
      </c>
      <c r="N43" s="2" t="n">
        <v>90</v>
      </c>
      <c r="O43" s="2" t="inlineStr">
        <is>
          <t>normalized_exact_then_regex</t>
        </is>
      </c>
      <c r="P43" s="3" t="inlineStr">
        <is>
          <t>extract</t>
        </is>
      </c>
      <c r="Q43" s="2" t="inlineStr">
        <is>
          <t>currency_amount</t>
        </is>
      </c>
      <c r="R43" s="2" t="inlineStr">
        <is>
          <t>period_end</t>
        </is>
      </c>
      <c r="S43" s="2" t="inlineStr">
        <is>
          <t>allowed_with_provenance</t>
        </is>
      </c>
      <c r="T43" s="2" t="b">
        <v>0</v>
      </c>
      <c r="U43" s="2" t="b">
        <v>0</v>
      </c>
      <c r="V43" s="2" t="inlineStr"/>
      <c r="W43" s="2" t="inlineStr"/>
      <c r="X43" s="2" t="inlineStr">
        <is>
          <t>Decompose only from explicit face or note evidence; never fabricate a split.</t>
        </is>
      </c>
      <c r="Y43" s="2" t="inlineStr">
        <is>
          <t>Aggregate only mutually exclusive facts with identical period, scope, currency and unit.</t>
        </is>
      </c>
      <c r="Z43" s="2" t="inlineStr">
        <is>
          <t>Bind only to Balance Sheet / bs_nca.</t>
        </is>
      </c>
      <c r="AA43" s="2" t="inlineStr"/>
      <c r="AB43" s="2" t="b">
        <v>1</v>
      </c>
      <c r="AC43" s="2" t="inlineStr"/>
      <c r="AD43" s="2" t="inlineStr">
        <is>
          <t>Exact field from Balance Sheet!A28; value cell B28.</t>
        </is>
      </c>
      <c r="AE43" s="2" t="inlineStr">
        <is>
          <t>Notes may support direct extraction or decomposition with provenance. Formula outputs must be derived only from template dependencies.</t>
        </is>
      </c>
      <c r="AF43" s="2" t="inlineStr"/>
      <c r="AG43" s="2" t="inlineStr">
        <is>
          <t>[]</t>
        </is>
      </c>
      <c r="AH43" s="2" t="inlineStr">
        <is>
          <t>Investment in Subsidiaries</t>
        </is>
      </c>
      <c r="AI43" s="2" t="inlineStr"/>
      <c r="AJ43" s="2" t="inlineStr">
        <is>
          <t>{"template_sheet": "Balance Sheet", "template_row": 28, "template_cell": "B28", "template_value_or_formula": 13, "calculation_type": "reported_input", "dependencies": [], "source_template": "Copy of Output_CSV Template.xlsx"}</t>
        </is>
      </c>
    </row>
    <row r="44">
      <c r="A44" s="2" t="inlineStr">
        <is>
          <t>bs_nca__investments_in_associates</t>
        </is>
      </c>
      <c r="B44" s="2" t="inlineStr">
        <is>
          <t>Investments in Associates</t>
        </is>
      </c>
      <c r="C44" s="2" t="inlineStr">
        <is>
          <t>bs_nca</t>
        </is>
      </c>
      <c r="D44" s="2" t="inlineStr">
        <is>
          <t>Extract the reported value for 'Investments in Associates' from the stated section. Do not calculate or replace it from other rows, because the revised template does not designate this field as formula-driven.</t>
        </is>
      </c>
      <c r="E44" s="2" t="inlineStr">
        <is>
          <t>Investments in Associates</t>
        </is>
      </c>
      <c r="F44" s="2" t="inlineStr">
        <is>
          <t>Investments in Associates</t>
        </is>
      </c>
      <c r="G44" s="2" t="inlineStr">
        <is>
          <t>^Investments\s+in\s+Associates$</t>
        </is>
      </c>
      <c r="H44" s="2" t="inlineStr"/>
      <c r="I44" s="2" t="inlineStr">
        <is>
          <t>Amounts or disclosures explicitly reported for Investments in Associates in Balance Sheet / bs_nca.</t>
        </is>
      </c>
      <c r="J44" s="2" t="inlineStr">
        <is>
          <t>Do not substitute another section, period, entity scope, currency or unit; do not double count a parent and its children.</t>
        </is>
      </c>
      <c r="K44" s="2" t="inlineStr"/>
      <c r="L44" s="2" t="inlineStr">
        <is>
          <t>as_reported</t>
        </is>
      </c>
      <c r="M44" s="2" t="inlineStr">
        <is>
          <t>direct_exclusive</t>
        </is>
      </c>
      <c r="N44" s="2" t="n">
        <v>90</v>
      </c>
      <c r="O44" s="2" t="inlineStr">
        <is>
          <t>normalized_exact_then_regex</t>
        </is>
      </c>
      <c r="P44" s="3" t="inlineStr">
        <is>
          <t>extract</t>
        </is>
      </c>
      <c r="Q44" s="2" t="inlineStr">
        <is>
          <t>currency_amount</t>
        </is>
      </c>
      <c r="R44" s="2" t="inlineStr">
        <is>
          <t>period_end</t>
        </is>
      </c>
      <c r="S44" s="2" t="inlineStr">
        <is>
          <t>allowed_with_provenance</t>
        </is>
      </c>
      <c r="T44" s="2" t="b">
        <v>0</v>
      </c>
      <c r="U44" s="2" t="b">
        <v>0</v>
      </c>
      <c r="V44" s="2" t="inlineStr"/>
      <c r="W44" s="2" t="inlineStr"/>
      <c r="X44" s="2" t="inlineStr">
        <is>
          <t>Decompose only from explicit face or note evidence; never fabricate a split.</t>
        </is>
      </c>
      <c r="Y44" s="2" t="inlineStr">
        <is>
          <t>Aggregate only mutually exclusive facts with identical period, scope, currency and unit.</t>
        </is>
      </c>
      <c r="Z44" s="2" t="inlineStr">
        <is>
          <t>Bind only to Balance Sheet / bs_nca.</t>
        </is>
      </c>
      <c r="AA44" s="2" t="inlineStr"/>
      <c r="AB44" s="2" t="b">
        <v>1</v>
      </c>
      <c r="AC44" s="2" t="inlineStr"/>
      <c r="AD44" s="2" t="inlineStr">
        <is>
          <t>Exact field from Balance Sheet!A29; value cell B29.</t>
        </is>
      </c>
      <c r="AE44" s="2" t="inlineStr">
        <is>
          <t>Notes may support direct extraction or decomposition with provenance. Formula outputs must be derived only from template dependencies.</t>
        </is>
      </c>
      <c r="AF44" s="2" t="inlineStr"/>
      <c r="AG44" s="2" t="inlineStr">
        <is>
          <t>[]</t>
        </is>
      </c>
      <c r="AH44" s="2" t="inlineStr">
        <is>
          <t>Investments in Associates</t>
        </is>
      </c>
      <c r="AI44" s="2" t="inlineStr"/>
      <c r="AJ44" s="2" t="inlineStr">
        <is>
          <t>{"template_sheet": "Balance Sheet", "template_row": 29, "template_cell": "B29", "template_value_or_formula": 30, "calculation_type": "reported_input", "dependencies": [], "source_template": "Copy of Output_CSV Template.xlsx"}</t>
        </is>
      </c>
    </row>
    <row r="45">
      <c r="A45" s="2" t="inlineStr">
        <is>
          <t>bs_nca__invest_in_jvs_and_partnerships</t>
        </is>
      </c>
      <c r="B45" s="2" t="inlineStr">
        <is>
          <t>Invest in JVs &amp; Partnerships</t>
        </is>
      </c>
      <c r="C45" s="2" t="inlineStr">
        <is>
          <t>bs_nca</t>
        </is>
      </c>
      <c r="D45" s="2" t="inlineStr">
        <is>
          <t>Extract the reported value for 'Invest in JVs &amp; Partnerships' from the stated section. Do not calculate or replace it from other rows, because the revised template does not designate this field as formula-driven.</t>
        </is>
      </c>
      <c r="E45" s="2" t="inlineStr">
        <is>
          <t>Invest in JVs &amp; Partnerships</t>
        </is>
      </c>
      <c r="F45" s="2" t="inlineStr">
        <is>
          <t>Invest in JVs &amp; Partnerships</t>
        </is>
      </c>
      <c r="G45" s="2" t="inlineStr">
        <is>
          <t>^Invest\s+in\s+JVs\s+\&amp;\s+Partnerships$</t>
        </is>
      </c>
      <c r="H45" s="2" t="inlineStr"/>
      <c r="I45" s="2" t="inlineStr">
        <is>
          <t>Amounts or disclosures explicitly reported for Invest in JVs &amp; Partnerships in Balance Sheet / bs_nca.</t>
        </is>
      </c>
      <c r="J45" s="2" t="inlineStr">
        <is>
          <t>Do not substitute another section, period, entity scope, currency or unit; do not double count a parent and its children.</t>
        </is>
      </c>
      <c r="K45" s="2" t="inlineStr"/>
      <c r="L45" s="2" t="inlineStr">
        <is>
          <t>as_reported</t>
        </is>
      </c>
      <c r="M45" s="2" t="inlineStr">
        <is>
          <t>direct_exclusive</t>
        </is>
      </c>
      <c r="N45" s="2" t="n">
        <v>90</v>
      </c>
      <c r="O45" s="2" t="inlineStr">
        <is>
          <t>normalized_exact_then_regex</t>
        </is>
      </c>
      <c r="P45" s="3" t="inlineStr">
        <is>
          <t>extract</t>
        </is>
      </c>
      <c r="Q45" s="2" t="inlineStr">
        <is>
          <t>currency_amount</t>
        </is>
      </c>
      <c r="R45" s="2" t="inlineStr">
        <is>
          <t>period_end</t>
        </is>
      </c>
      <c r="S45" s="2" t="inlineStr">
        <is>
          <t>allowed_with_provenance</t>
        </is>
      </c>
      <c r="T45" s="2" t="b">
        <v>0</v>
      </c>
      <c r="U45" s="2" t="b">
        <v>0</v>
      </c>
      <c r="V45" s="2" t="inlineStr"/>
      <c r="W45" s="2" t="inlineStr"/>
      <c r="X45" s="2" t="inlineStr">
        <is>
          <t>Decompose only from explicit face or note evidence; never fabricate a split.</t>
        </is>
      </c>
      <c r="Y45" s="2" t="inlineStr">
        <is>
          <t>Aggregate only mutually exclusive facts with identical period, scope, currency and unit.</t>
        </is>
      </c>
      <c r="Z45" s="2" t="inlineStr">
        <is>
          <t>Bind only to Balance Sheet / bs_nca.</t>
        </is>
      </c>
      <c r="AA45" s="2" t="inlineStr"/>
      <c r="AB45" s="2" t="b">
        <v>1</v>
      </c>
      <c r="AC45" s="2" t="inlineStr"/>
      <c r="AD45" s="2" t="inlineStr">
        <is>
          <t>Exact field from Balance Sheet!A30; value cell B30.</t>
        </is>
      </c>
      <c r="AE45" s="2" t="inlineStr">
        <is>
          <t>Notes may support direct extraction or decomposition with provenance. Formula outputs must be derived only from template dependencies.</t>
        </is>
      </c>
      <c r="AF45" s="2" t="inlineStr"/>
      <c r="AG45" s="2" t="inlineStr">
        <is>
          <t>[]</t>
        </is>
      </c>
      <c r="AH45" s="2" t="inlineStr">
        <is>
          <t>Invest in JVs &amp; Partnerships</t>
        </is>
      </c>
      <c r="AI45" s="2" t="inlineStr"/>
      <c r="AJ45" s="2" t="inlineStr">
        <is>
          <t>{"template_sheet": "Balance Sheet", "template_row": 30, "template_cell": "B30", "template_value_or_formula": 47, "calculation_type": "reported_input", "dependencies": [], "source_template": "Copy of Output_CSV Template.xlsx"}</t>
        </is>
      </c>
    </row>
    <row r="46">
      <c r="A46" s="2" t="inlineStr">
        <is>
          <t>bs_nca__entrusted_loan_receivables_related_parties_ltp</t>
        </is>
      </c>
      <c r="B46" s="2" t="inlineStr">
        <is>
          <t>Entrusted loan receivables- related parties(LTP)</t>
        </is>
      </c>
      <c r="C46" s="2" t="inlineStr">
        <is>
          <t>bs_nca</t>
        </is>
      </c>
      <c r="D46" s="2" t="inlineStr">
        <is>
          <t>Extract the reported value for 'Entrusted loan receivables- related parties(LTP)' from the stated section. Do not calculate or replace it from other rows, because the revised template does not designate this field as formula-driven.</t>
        </is>
      </c>
      <c r="E46" s="2" t="inlineStr">
        <is>
          <t>Entrusted loan receivables- related parties(LTP)</t>
        </is>
      </c>
      <c r="F46" s="2" t="inlineStr">
        <is>
          <t>Entrusted loan receivables- related parties(LTP)</t>
        </is>
      </c>
      <c r="G46" s="2" t="inlineStr">
        <is>
          <t>^Entrusted\s+loan\s+receivables[\-–—]?\s+related\s+parties\(LTP\)$</t>
        </is>
      </c>
      <c r="H46" s="2" t="inlineStr"/>
      <c r="I46" s="2" t="inlineStr">
        <is>
          <t>Amounts or disclosures explicitly reported for Entrusted loan receivables- related parties(LTP) in Balance Sheet / bs_nca.</t>
        </is>
      </c>
      <c r="J46" s="2" t="inlineStr">
        <is>
          <t>Do not substitute another section, period, entity scope, currency or unit; do not double count a parent and its children.</t>
        </is>
      </c>
      <c r="K46" s="2" t="inlineStr"/>
      <c r="L46" s="2" t="inlineStr">
        <is>
          <t>as_reported</t>
        </is>
      </c>
      <c r="M46" s="2" t="inlineStr">
        <is>
          <t>direct_exclusive</t>
        </is>
      </c>
      <c r="N46" s="2" t="n">
        <v>90</v>
      </c>
      <c r="O46" s="2" t="inlineStr">
        <is>
          <t>normalized_exact_then_regex</t>
        </is>
      </c>
      <c r="P46" s="3" t="inlineStr">
        <is>
          <t>extract</t>
        </is>
      </c>
      <c r="Q46" s="2" t="inlineStr">
        <is>
          <t>currency_amount</t>
        </is>
      </c>
      <c r="R46" s="2" t="inlineStr">
        <is>
          <t>period_end</t>
        </is>
      </c>
      <c r="S46" s="2" t="inlineStr">
        <is>
          <t>allowed_with_provenance</t>
        </is>
      </c>
      <c r="T46" s="2" t="b">
        <v>0</v>
      </c>
      <c r="U46" s="2" t="b">
        <v>0</v>
      </c>
      <c r="V46" s="2" t="inlineStr"/>
      <c r="W46" s="2" t="inlineStr"/>
      <c r="X46" s="2" t="inlineStr">
        <is>
          <t>Decompose only from explicit face or note evidence; never fabricate a split.</t>
        </is>
      </c>
      <c r="Y46" s="2" t="inlineStr">
        <is>
          <t>Aggregate only mutually exclusive facts with identical period, scope, currency and unit.</t>
        </is>
      </c>
      <c r="Z46" s="2" t="inlineStr">
        <is>
          <t>Bind only to Balance Sheet / bs_nca.</t>
        </is>
      </c>
      <c r="AA46" s="2" t="inlineStr"/>
      <c r="AB46" s="2" t="b">
        <v>1</v>
      </c>
      <c r="AC46" s="2" t="inlineStr"/>
      <c r="AD46" s="2" t="inlineStr">
        <is>
          <t>Exact field from Balance Sheet!A31; value cell B31.</t>
        </is>
      </c>
      <c r="AE46" s="2" t="inlineStr">
        <is>
          <t>Notes may support direct extraction or decomposition with provenance. Formula outputs must be derived only from template dependencies.</t>
        </is>
      </c>
      <c r="AF46" s="2" t="inlineStr"/>
      <c r="AG46" s="2" t="inlineStr">
        <is>
          <t>[]</t>
        </is>
      </c>
      <c r="AH46" s="2" t="inlineStr">
        <is>
          <t>Entrusted loan receivables- related parties(LTP)</t>
        </is>
      </c>
      <c r="AI46" s="2" t="inlineStr"/>
      <c r="AJ46" s="2" t="inlineStr">
        <is>
          <t>{"template_sheet": "Balance Sheet", "template_row": 31, "template_cell": "B31", "template_value_or_formula": 21, "calculation_type": "reported_input", "dependencies": [], "source_template": "Copy of Output_CSV Template.xlsx"}</t>
        </is>
      </c>
    </row>
    <row r="47">
      <c r="A47" s="2" t="inlineStr">
        <is>
          <t>bs_nca__due_from_directors</t>
        </is>
      </c>
      <c r="B47" s="2" t="inlineStr">
        <is>
          <t>Due from directors</t>
        </is>
      </c>
      <c r="C47" s="2" t="inlineStr">
        <is>
          <t>bs_nca</t>
        </is>
      </c>
      <c r="D47" s="2" t="inlineStr">
        <is>
          <t>Extract the reported value for 'Due from directors' from the stated section. Do not calculate or replace it from other rows, because the revised template does not designate this field as formula-driven.</t>
        </is>
      </c>
      <c r="E47" s="2" t="inlineStr">
        <is>
          <t>Due from directors</t>
        </is>
      </c>
      <c r="F47" s="2" t="inlineStr">
        <is>
          <t>Due from directors</t>
        </is>
      </c>
      <c r="G47" s="2" t="inlineStr">
        <is>
          <t>^Due\s+from\s+directors$</t>
        </is>
      </c>
      <c r="H47" s="2" t="inlineStr"/>
      <c r="I47" s="2" t="inlineStr">
        <is>
          <t>Amounts or disclosures explicitly reported for Due from directors in Balance Sheet / bs_nca.</t>
        </is>
      </c>
      <c r="J47" s="2" t="inlineStr">
        <is>
          <t>Do not substitute another section, period, entity scope, currency or unit; do not double count a parent and its children.</t>
        </is>
      </c>
      <c r="K47" s="2" t="inlineStr"/>
      <c r="L47" s="2" t="inlineStr">
        <is>
          <t>as_reported</t>
        </is>
      </c>
      <c r="M47" s="2" t="inlineStr">
        <is>
          <t>direct_exclusive</t>
        </is>
      </c>
      <c r="N47" s="2" t="n">
        <v>90</v>
      </c>
      <c r="O47" s="2" t="inlineStr">
        <is>
          <t>normalized_exact_then_regex</t>
        </is>
      </c>
      <c r="P47" s="3" t="inlineStr">
        <is>
          <t>extract</t>
        </is>
      </c>
      <c r="Q47" s="2" t="inlineStr">
        <is>
          <t>currency_amount</t>
        </is>
      </c>
      <c r="R47" s="2" t="inlineStr">
        <is>
          <t>period_end</t>
        </is>
      </c>
      <c r="S47" s="2" t="inlineStr">
        <is>
          <t>allowed_with_provenance</t>
        </is>
      </c>
      <c r="T47" s="2" t="b">
        <v>0</v>
      </c>
      <c r="U47" s="2" t="b">
        <v>0</v>
      </c>
      <c r="V47" s="2" t="inlineStr"/>
      <c r="W47" s="2" t="inlineStr"/>
      <c r="X47" s="2" t="inlineStr">
        <is>
          <t>Decompose only from explicit face or note evidence; never fabricate a split.</t>
        </is>
      </c>
      <c r="Y47" s="2" t="inlineStr">
        <is>
          <t>Aggregate only mutually exclusive facts with identical period, scope, currency and unit.</t>
        </is>
      </c>
      <c r="Z47" s="2" t="inlineStr">
        <is>
          <t>Bind only to Balance Sheet / bs_nca.</t>
        </is>
      </c>
      <c r="AA47" s="2" t="inlineStr"/>
      <c r="AB47" s="2" t="b">
        <v>1</v>
      </c>
      <c r="AC47" s="2" t="inlineStr"/>
      <c r="AD47" s="2" t="inlineStr">
        <is>
          <t>Exact field from Balance Sheet!A32; value cell B32.</t>
        </is>
      </c>
      <c r="AE47" s="2" t="inlineStr">
        <is>
          <t>Notes may support direct extraction or decomposition with provenance. Formula outputs must be derived only from template dependencies.</t>
        </is>
      </c>
      <c r="AF47" s="2" t="inlineStr"/>
      <c r="AG47" s="2" t="inlineStr">
        <is>
          <t>[]</t>
        </is>
      </c>
      <c r="AH47" s="2" t="inlineStr">
        <is>
          <t>Due from directors</t>
        </is>
      </c>
      <c r="AI47" s="2" t="inlineStr"/>
      <c r="AJ47" s="2" t="inlineStr">
        <is>
          <t>{"template_sheet": "Balance Sheet", "template_row": 32, "template_cell": "B32", "template_value_or_formula": 38, "calculation_type": "reported_input", "dependencies": [], "source_template": "Copy of Output_CSV Template.xlsx"}</t>
        </is>
      </c>
    </row>
    <row r="48">
      <c r="A48" s="2" t="inlineStr">
        <is>
          <t>bs_nca__due_from_subsidiaries</t>
        </is>
      </c>
      <c r="B48" s="2" t="inlineStr">
        <is>
          <t>Due from subsidiaries</t>
        </is>
      </c>
      <c r="C48" s="2" t="inlineStr">
        <is>
          <t>bs_nca</t>
        </is>
      </c>
      <c r="D48" s="2" t="inlineStr">
        <is>
          <t>Extract the reported value for 'Due from subsidiaries' from the stated section. Do not calculate or replace it from other rows, because the revised template does not designate this field as formula-driven.</t>
        </is>
      </c>
      <c r="E48" s="2" t="inlineStr">
        <is>
          <t>Due from subsidiaries</t>
        </is>
      </c>
      <c r="F48" s="2" t="inlineStr">
        <is>
          <t>Due from subsidiaries</t>
        </is>
      </c>
      <c r="G48" s="2" t="inlineStr">
        <is>
          <t>^Due\s+from\s+subsidiaries$</t>
        </is>
      </c>
      <c r="H48" s="2" t="inlineStr"/>
      <c r="I48" s="2" t="inlineStr">
        <is>
          <t>Amounts or disclosures explicitly reported for Due from subsidiaries in Balance Sheet / bs_nca.</t>
        </is>
      </c>
      <c r="J48" s="2" t="inlineStr">
        <is>
          <t>Do not substitute another section, period, entity scope, currency or unit; do not double count a parent and its children.</t>
        </is>
      </c>
      <c r="K48" s="2" t="inlineStr"/>
      <c r="L48" s="2" t="inlineStr">
        <is>
          <t>as_reported</t>
        </is>
      </c>
      <c r="M48" s="2" t="inlineStr">
        <is>
          <t>direct_exclusive</t>
        </is>
      </c>
      <c r="N48" s="2" t="n">
        <v>90</v>
      </c>
      <c r="O48" s="2" t="inlineStr">
        <is>
          <t>normalized_exact_then_regex</t>
        </is>
      </c>
      <c r="P48" s="3" t="inlineStr">
        <is>
          <t>extract</t>
        </is>
      </c>
      <c r="Q48" s="2" t="inlineStr">
        <is>
          <t>currency_amount</t>
        </is>
      </c>
      <c r="R48" s="2" t="inlineStr">
        <is>
          <t>period_end</t>
        </is>
      </c>
      <c r="S48" s="2" t="inlineStr">
        <is>
          <t>allowed_with_provenance</t>
        </is>
      </c>
      <c r="T48" s="2" t="b">
        <v>0</v>
      </c>
      <c r="U48" s="2" t="b">
        <v>0</v>
      </c>
      <c r="V48" s="2" t="inlineStr"/>
      <c r="W48" s="2" t="inlineStr"/>
      <c r="X48" s="2" t="inlineStr">
        <is>
          <t>Decompose only from explicit face or note evidence; never fabricate a split.</t>
        </is>
      </c>
      <c r="Y48" s="2" t="inlineStr">
        <is>
          <t>Aggregate only mutually exclusive facts with identical period, scope, currency and unit.</t>
        </is>
      </c>
      <c r="Z48" s="2" t="inlineStr">
        <is>
          <t>Bind only to Balance Sheet / bs_nca.</t>
        </is>
      </c>
      <c r="AA48" s="2" t="inlineStr"/>
      <c r="AB48" s="2" t="b">
        <v>1</v>
      </c>
      <c r="AC48" s="2" t="inlineStr"/>
      <c r="AD48" s="2" t="inlineStr">
        <is>
          <t>Exact field from Balance Sheet!A33; value cell B33.</t>
        </is>
      </c>
      <c r="AE48" s="2" t="inlineStr">
        <is>
          <t>Notes may support direct extraction or decomposition with provenance. Formula outputs must be derived only from template dependencies.</t>
        </is>
      </c>
      <c r="AF48" s="2" t="inlineStr"/>
      <c r="AG48" s="2" t="inlineStr">
        <is>
          <t>[]</t>
        </is>
      </c>
      <c r="AH48" s="2" t="inlineStr">
        <is>
          <t>Due from subsidiaries</t>
        </is>
      </c>
      <c r="AI48" s="2" t="inlineStr"/>
      <c r="AJ48" s="2" t="inlineStr">
        <is>
          <t>{"template_sheet": "Balance Sheet", "template_row": 33, "template_cell": "B33", "template_value_or_formula": 12, "calculation_type": "reported_input", "dependencies": [], "source_template": "Copy of Output_CSV Template.xlsx"}</t>
        </is>
      </c>
    </row>
    <row r="49">
      <c r="A49" s="2" t="inlineStr">
        <is>
          <t>bs_nca__due_from_related_parties_ltp</t>
        </is>
      </c>
      <c r="B49" s="2" t="inlineStr">
        <is>
          <t>Due from Related Parties(LTP)</t>
        </is>
      </c>
      <c r="C49" s="2" t="inlineStr">
        <is>
          <t>bs_nca</t>
        </is>
      </c>
      <c r="D49" s="2" t="inlineStr">
        <is>
          <t>Extract the reported value for 'Due from Related Parties(LTP)' from the stated section. Do not calculate or replace it from other rows, because the revised template does not designate this field as formula-driven.</t>
        </is>
      </c>
      <c r="E49" s="2" t="inlineStr">
        <is>
          <t>Due from Related Parties(LTP)</t>
        </is>
      </c>
      <c r="F49" s="2" t="inlineStr">
        <is>
          <t>Due from Related Parties(LTP)</t>
        </is>
      </c>
      <c r="G49" s="2" t="inlineStr">
        <is>
          <t>^Due\s+from\s+Related\s+Parties\(LTP\)$</t>
        </is>
      </c>
      <c r="H49" s="2" t="inlineStr"/>
      <c r="I49" s="2" t="inlineStr">
        <is>
          <t>Amounts or disclosures explicitly reported for Due from Related Parties(LTP) in Balance Sheet / bs_nca.</t>
        </is>
      </c>
      <c r="J49" s="2" t="inlineStr">
        <is>
          <t>Do not substitute another section, period, entity scope, currency or unit; do not double count a parent and its children.</t>
        </is>
      </c>
      <c r="K49" s="2" t="inlineStr"/>
      <c r="L49" s="2" t="inlineStr">
        <is>
          <t>as_reported</t>
        </is>
      </c>
      <c r="M49" s="2" t="inlineStr">
        <is>
          <t>direct_exclusive</t>
        </is>
      </c>
      <c r="N49" s="2" t="n">
        <v>90</v>
      </c>
      <c r="O49" s="2" t="inlineStr">
        <is>
          <t>normalized_exact_then_regex</t>
        </is>
      </c>
      <c r="P49" s="3" t="inlineStr">
        <is>
          <t>extract</t>
        </is>
      </c>
      <c r="Q49" s="2" t="inlineStr">
        <is>
          <t>currency_amount</t>
        </is>
      </c>
      <c r="R49" s="2" t="inlineStr">
        <is>
          <t>period_end</t>
        </is>
      </c>
      <c r="S49" s="2" t="inlineStr">
        <is>
          <t>allowed_with_provenance</t>
        </is>
      </c>
      <c r="T49" s="2" t="b">
        <v>0</v>
      </c>
      <c r="U49" s="2" t="b">
        <v>0</v>
      </c>
      <c r="V49" s="2" t="inlineStr"/>
      <c r="W49" s="2" t="inlineStr"/>
      <c r="X49" s="2" t="inlineStr">
        <is>
          <t>Decompose only from explicit face or note evidence; never fabricate a split.</t>
        </is>
      </c>
      <c r="Y49" s="2" t="inlineStr">
        <is>
          <t>Aggregate only mutually exclusive facts with identical period, scope, currency and unit.</t>
        </is>
      </c>
      <c r="Z49" s="2" t="inlineStr">
        <is>
          <t>Bind only to Balance Sheet / bs_nca.</t>
        </is>
      </c>
      <c r="AA49" s="2" t="inlineStr"/>
      <c r="AB49" s="2" t="b">
        <v>1</v>
      </c>
      <c r="AC49" s="2" t="inlineStr"/>
      <c r="AD49" s="2" t="inlineStr">
        <is>
          <t>Exact field from Balance Sheet!A34; value cell B34.</t>
        </is>
      </c>
      <c r="AE49" s="2" t="inlineStr">
        <is>
          <t>Notes may support direct extraction or decomposition with provenance. Formula outputs must be derived only from template dependencies.</t>
        </is>
      </c>
      <c r="AF49" s="2" t="inlineStr"/>
      <c r="AG49" s="2" t="inlineStr">
        <is>
          <t>[]</t>
        </is>
      </c>
      <c r="AH49" s="2" t="inlineStr">
        <is>
          <t>Due from Related Parties(LTP)</t>
        </is>
      </c>
      <c r="AI49" s="2" t="inlineStr"/>
      <c r="AJ49" s="2" t="inlineStr">
        <is>
          <t>{"template_sheet": "Balance Sheet", "template_row": 34, "template_cell": "B34", "template_value_or_formula": 29, "calculation_type": "reported_input", "dependencies": [], "source_template": "Copy of Output_CSV Template.xlsx"}</t>
        </is>
      </c>
    </row>
    <row r="50">
      <c r="A50" s="2" t="inlineStr">
        <is>
          <t>bs_nca__entrusted_loan_receivables_shareholders_ltp</t>
        </is>
      </c>
      <c r="B50" s="2" t="inlineStr">
        <is>
          <t>Entrusted loan receivables- shareholders(LTP)</t>
        </is>
      </c>
      <c r="C50" s="2" t="inlineStr">
        <is>
          <t>bs_nca</t>
        </is>
      </c>
      <c r="D50" s="2" t="inlineStr">
        <is>
          <t>Extract the reported value for 'Entrusted loan receivables- shareholders(LTP)' from the stated section. Do not calculate or replace it from other rows, because the revised template does not designate this field as formula-driven.</t>
        </is>
      </c>
      <c r="E50" s="2" t="inlineStr">
        <is>
          <t>Entrusted loan receivables- shareholders(LTP)</t>
        </is>
      </c>
      <c r="F50" s="2" t="inlineStr">
        <is>
          <t>Entrusted loan receivables- shareholders(LTP)</t>
        </is>
      </c>
      <c r="G50" s="2" t="inlineStr">
        <is>
          <t>^Entrusted\s+loan\s+receivables[\-–—]?\s+shareholders\(LTP\)$</t>
        </is>
      </c>
      <c r="H50" s="2" t="inlineStr"/>
      <c r="I50" s="2" t="inlineStr">
        <is>
          <t>Amounts or disclosures explicitly reported for Entrusted loan receivables- shareholders(LTP) in Balance Sheet / bs_nca.</t>
        </is>
      </c>
      <c r="J50" s="2" t="inlineStr">
        <is>
          <t>Do not substitute another section, period, entity scope, currency or unit; do not double count a parent and its children.</t>
        </is>
      </c>
      <c r="K50" s="2" t="inlineStr"/>
      <c r="L50" s="2" t="inlineStr">
        <is>
          <t>as_reported</t>
        </is>
      </c>
      <c r="M50" s="2" t="inlineStr">
        <is>
          <t>direct_exclusive</t>
        </is>
      </c>
      <c r="N50" s="2" t="n">
        <v>90</v>
      </c>
      <c r="O50" s="2" t="inlineStr">
        <is>
          <t>normalized_exact_then_regex</t>
        </is>
      </c>
      <c r="P50" s="3" t="inlineStr">
        <is>
          <t>extract</t>
        </is>
      </c>
      <c r="Q50" s="2" t="inlineStr">
        <is>
          <t>currency_amount</t>
        </is>
      </c>
      <c r="R50" s="2" t="inlineStr">
        <is>
          <t>period_end</t>
        </is>
      </c>
      <c r="S50" s="2" t="inlineStr">
        <is>
          <t>allowed_with_provenance</t>
        </is>
      </c>
      <c r="T50" s="2" t="b">
        <v>0</v>
      </c>
      <c r="U50" s="2" t="b">
        <v>0</v>
      </c>
      <c r="V50" s="2" t="inlineStr"/>
      <c r="W50" s="2" t="inlineStr"/>
      <c r="X50" s="2" t="inlineStr">
        <is>
          <t>Decompose only from explicit face or note evidence; never fabricate a split.</t>
        </is>
      </c>
      <c r="Y50" s="2" t="inlineStr">
        <is>
          <t>Aggregate only mutually exclusive facts with identical period, scope, currency and unit.</t>
        </is>
      </c>
      <c r="Z50" s="2" t="inlineStr">
        <is>
          <t>Bind only to Balance Sheet / bs_nca.</t>
        </is>
      </c>
      <c r="AA50" s="2" t="inlineStr"/>
      <c r="AB50" s="2" t="b">
        <v>1</v>
      </c>
      <c r="AC50" s="2" t="inlineStr"/>
      <c r="AD50" s="2" t="inlineStr">
        <is>
          <t>Exact field from Balance Sheet!A35; value cell B35.</t>
        </is>
      </c>
      <c r="AE50" s="2" t="inlineStr">
        <is>
          <t>Notes may support direct extraction or decomposition with provenance. Formula outputs must be derived only from template dependencies.</t>
        </is>
      </c>
      <c r="AF50" s="2" t="inlineStr"/>
      <c r="AG50" s="2" t="inlineStr">
        <is>
          <t>[]</t>
        </is>
      </c>
      <c r="AH50" s="2" t="inlineStr">
        <is>
          <t>Entrusted loan receivables- shareholders(LTP)</t>
        </is>
      </c>
      <c r="AI50" s="2" t="inlineStr"/>
      <c r="AJ50" s="2" t="inlineStr">
        <is>
          <t>{"template_sheet": "Balance Sheet", "template_row": 35, "template_cell": "B35", "template_value_or_formula": 46, "calculation_type": "reported_input", "dependencies": [], "source_template": "Copy of Output_CSV Template.xlsx"}</t>
        </is>
      </c>
    </row>
    <row r="51">
      <c r="A51" s="2" t="inlineStr">
        <is>
          <t>bs_nca__due_from_mi</t>
        </is>
      </c>
      <c r="B51" s="2" t="inlineStr">
        <is>
          <t>Due from MI</t>
        </is>
      </c>
      <c r="C51" s="2" t="inlineStr">
        <is>
          <t>bs_nca</t>
        </is>
      </c>
      <c r="D51" s="2" t="inlineStr">
        <is>
          <t>Extract the reported value for 'Due from MI' from the stated section. Do not calculate or replace it from other rows, because the revised template does not designate this field as formula-driven.</t>
        </is>
      </c>
      <c r="E51" s="2" t="inlineStr">
        <is>
          <t>Due from MI</t>
        </is>
      </c>
      <c r="F51" s="2" t="inlineStr">
        <is>
          <t>Due from MI</t>
        </is>
      </c>
      <c r="G51" s="2" t="inlineStr">
        <is>
          <t>^Due\s+from\s+MI$</t>
        </is>
      </c>
      <c r="H51" s="2" t="inlineStr"/>
      <c r="I51" s="2" t="inlineStr">
        <is>
          <t>Amounts or disclosures explicitly reported for Due from MI in Balance Sheet / bs_nca.</t>
        </is>
      </c>
      <c r="J51" s="2" t="inlineStr">
        <is>
          <t>Do not substitute another section, period, entity scope, currency or unit; do not double count a parent and its children.</t>
        </is>
      </c>
      <c r="K51" s="2" t="inlineStr"/>
      <c r="L51" s="2" t="inlineStr">
        <is>
          <t>as_reported</t>
        </is>
      </c>
      <c r="M51" s="2" t="inlineStr">
        <is>
          <t>direct_exclusive</t>
        </is>
      </c>
      <c r="N51" s="2" t="n">
        <v>90</v>
      </c>
      <c r="O51" s="2" t="inlineStr">
        <is>
          <t>normalized_exact_then_regex</t>
        </is>
      </c>
      <c r="P51" s="3" t="inlineStr">
        <is>
          <t>extract</t>
        </is>
      </c>
      <c r="Q51" s="2" t="inlineStr">
        <is>
          <t>currency_amount</t>
        </is>
      </c>
      <c r="R51" s="2" t="inlineStr">
        <is>
          <t>period_end</t>
        </is>
      </c>
      <c r="S51" s="2" t="inlineStr">
        <is>
          <t>allowed_with_provenance</t>
        </is>
      </c>
      <c r="T51" s="2" t="b">
        <v>0</v>
      </c>
      <c r="U51" s="2" t="b">
        <v>0</v>
      </c>
      <c r="V51" s="2" t="inlineStr"/>
      <c r="W51" s="2" t="inlineStr"/>
      <c r="X51" s="2" t="inlineStr">
        <is>
          <t>Decompose only from explicit face or note evidence; never fabricate a split.</t>
        </is>
      </c>
      <c r="Y51" s="2" t="inlineStr">
        <is>
          <t>Aggregate only mutually exclusive facts with identical period, scope, currency and unit.</t>
        </is>
      </c>
      <c r="Z51" s="2" t="inlineStr">
        <is>
          <t>Bind only to Balance Sheet / bs_nca.</t>
        </is>
      </c>
      <c r="AA51" s="2" t="inlineStr"/>
      <c r="AB51" s="2" t="b">
        <v>1</v>
      </c>
      <c r="AC51" s="2" t="inlineStr"/>
      <c r="AD51" s="2" t="inlineStr">
        <is>
          <t>Exact field from Balance Sheet!A36; value cell B36.</t>
        </is>
      </c>
      <c r="AE51" s="2" t="inlineStr">
        <is>
          <t>Notes may support direct extraction or decomposition with provenance. Formula outputs must be derived only from template dependencies.</t>
        </is>
      </c>
      <c r="AF51" s="2" t="inlineStr"/>
      <c r="AG51" s="2" t="inlineStr">
        <is>
          <t>[]</t>
        </is>
      </c>
      <c r="AH51" s="2" t="inlineStr">
        <is>
          <t>Due from MI</t>
        </is>
      </c>
      <c r="AI51" s="2" t="inlineStr"/>
      <c r="AJ51" s="2" t="inlineStr">
        <is>
          <t>{"template_sheet": "Balance Sheet", "template_row": 36, "template_cell": "B36", "template_value_or_formula": 20, "calculation_type": "reported_input", "dependencies": [], "source_template": "Copy of Output_CSV Template.xlsx"}</t>
        </is>
      </c>
    </row>
    <row r="52">
      <c r="A52" s="2" t="inlineStr">
        <is>
          <t>bs_nca__due_from_sholder_ltp</t>
        </is>
      </c>
      <c r="B52" s="2" t="inlineStr">
        <is>
          <t>Due from S'holder(LTP)</t>
        </is>
      </c>
      <c r="C52" s="2" t="inlineStr">
        <is>
          <t>bs_nca</t>
        </is>
      </c>
      <c r="D52" s="2" t="inlineStr">
        <is>
          <t>Extract the reported value for 'Due from S'holder(LTP)' from the stated section. Do not calculate or replace it from other rows, because the revised template does not designate this field as formula-driven.</t>
        </is>
      </c>
      <c r="E52" s="2" t="inlineStr">
        <is>
          <t>Due from S'holder(LTP)</t>
        </is>
      </c>
      <c r="F52" s="2" t="inlineStr">
        <is>
          <t>Due from S'holder(LTP)</t>
        </is>
      </c>
      <c r="G52" s="2" t="inlineStr">
        <is>
          <t>^Due\s+from\s+S'holder\(LTP\)$</t>
        </is>
      </c>
      <c r="H52" s="2" t="inlineStr"/>
      <c r="I52" s="2" t="inlineStr">
        <is>
          <t>Amounts or disclosures explicitly reported for Due from S'holder(LTP) in Balance Sheet / bs_nca.</t>
        </is>
      </c>
      <c r="J52" s="2" t="inlineStr">
        <is>
          <t>Do not substitute another section, period, entity scope, currency or unit; do not double count a parent and its children.</t>
        </is>
      </c>
      <c r="K52" s="2" t="inlineStr"/>
      <c r="L52" s="2" t="inlineStr">
        <is>
          <t>as_reported</t>
        </is>
      </c>
      <c r="M52" s="2" t="inlineStr">
        <is>
          <t>direct_exclusive</t>
        </is>
      </c>
      <c r="N52" s="2" t="n">
        <v>90</v>
      </c>
      <c r="O52" s="2" t="inlineStr">
        <is>
          <t>normalized_exact_then_regex</t>
        </is>
      </c>
      <c r="P52" s="3" t="inlineStr">
        <is>
          <t>extract</t>
        </is>
      </c>
      <c r="Q52" s="2" t="inlineStr">
        <is>
          <t>currency_amount</t>
        </is>
      </c>
      <c r="R52" s="2" t="inlineStr">
        <is>
          <t>period_end</t>
        </is>
      </c>
      <c r="S52" s="2" t="inlineStr">
        <is>
          <t>allowed_with_provenance</t>
        </is>
      </c>
      <c r="T52" s="2" t="b">
        <v>0</v>
      </c>
      <c r="U52" s="2" t="b">
        <v>0</v>
      </c>
      <c r="V52" s="2" t="inlineStr"/>
      <c r="W52" s="2" t="inlineStr"/>
      <c r="X52" s="2" t="inlineStr">
        <is>
          <t>Decompose only from explicit face or note evidence; never fabricate a split.</t>
        </is>
      </c>
      <c r="Y52" s="2" t="inlineStr">
        <is>
          <t>Aggregate only mutually exclusive facts with identical period, scope, currency and unit.</t>
        </is>
      </c>
      <c r="Z52" s="2" t="inlineStr">
        <is>
          <t>Bind only to Balance Sheet / bs_nca.</t>
        </is>
      </c>
      <c r="AA52" s="2" t="inlineStr"/>
      <c r="AB52" s="2" t="b">
        <v>1</v>
      </c>
      <c r="AC52" s="2" t="inlineStr"/>
      <c r="AD52" s="2" t="inlineStr">
        <is>
          <t>Exact field from Balance Sheet!A37; value cell B37.</t>
        </is>
      </c>
      <c r="AE52" s="2" t="inlineStr">
        <is>
          <t>Notes may support direct extraction or decomposition with provenance. Formula outputs must be derived only from template dependencies.</t>
        </is>
      </c>
      <c r="AF52" s="2" t="inlineStr"/>
      <c r="AG52" s="2" t="inlineStr">
        <is>
          <t>[]</t>
        </is>
      </c>
      <c r="AH52" s="2" t="inlineStr">
        <is>
          <t>Due from S'holder(LTP)</t>
        </is>
      </c>
      <c r="AI52" s="2" t="inlineStr"/>
      <c r="AJ52" s="2" t="inlineStr">
        <is>
          <t>{"template_sheet": "Balance Sheet", "template_row": 37, "template_cell": "B37", "template_value_or_formula": 37, "calculation_type": "reported_input", "dependencies": [], "source_template": "Copy of Output_CSV Template.xlsx"}</t>
        </is>
      </c>
    </row>
    <row r="53">
      <c r="A53" s="2" t="inlineStr">
        <is>
          <t>bs_nca__wealth_management_products_ltp_from_secur_and_fincl</t>
        </is>
      </c>
      <c r="B53" s="2" t="inlineStr">
        <is>
          <t>Wealth management products(LTP) (from Secur&amp;Fincl)</t>
        </is>
      </c>
      <c r="C53" s="2" t="inlineStr">
        <is>
          <t>bs_nca</t>
        </is>
      </c>
      <c r="D53" s="2" t="inlineStr">
        <is>
          <t>Extract the reported value for 'Wealth management products(LTP) (from Secur&amp;Fincl)' from the stated section. Do not calculate or replace it from other rows, because the revised template does not designate this field as formula-driven.</t>
        </is>
      </c>
      <c r="E53" s="2" t="inlineStr">
        <is>
          <t>Wealth management products(LTP) (from Secur&amp;Fincl)</t>
        </is>
      </c>
      <c r="F53" s="2" t="inlineStr">
        <is>
          <t>Wealth management products(LTP) (from Secur&amp;Fincl)</t>
        </is>
      </c>
      <c r="G53" s="2" t="inlineStr">
        <is>
          <t>^Wealth\s+management\s+products\(LTP\)\s+\(from\s+Secur\&amp;Fincl\)$</t>
        </is>
      </c>
      <c r="H53" s="2" t="inlineStr"/>
      <c r="I53" s="2" t="inlineStr">
        <is>
          <t>Amounts or disclosures explicitly reported for Wealth management products(LTP) (from Secur&amp;Fincl) in Balance Sheet / bs_nca.</t>
        </is>
      </c>
      <c r="J53" s="2" t="inlineStr">
        <is>
          <t>Do not substitute another section, period, entity scope, currency or unit; do not double count a parent and its children.</t>
        </is>
      </c>
      <c r="K53" s="2" t="inlineStr"/>
      <c r="L53" s="2" t="inlineStr">
        <is>
          <t>as_reported</t>
        </is>
      </c>
      <c r="M53" s="2" t="inlineStr">
        <is>
          <t>direct_exclusive</t>
        </is>
      </c>
      <c r="N53" s="2" t="n">
        <v>90</v>
      </c>
      <c r="O53" s="2" t="inlineStr">
        <is>
          <t>normalized_exact_then_regex</t>
        </is>
      </c>
      <c r="P53" s="3" t="inlineStr">
        <is>
          <t>extract</t>
        </is>
      </c>
      <c r="Q53" s="2" t="inlineStr">
        <is>
          <t>currency_amount</t>
        </is>
      </c>
      <c r="R53" s="2" t="inlineStr">
        <is>
          <t>period_end</t>
        </is>
      </c>
      <c r="S53" s="2" t="inlineStr">
        <is>
          <t>allowed_with_provenance</t>
        </is>
      </c>
      <c r="T53" s="2" t="b">
        <v>0</v>
      </c>
      <c r="U53" s="2" t="b">
        <v>0</v>
      </c>
      <c r="V53" s="2" t="inlineStr"/>
      <c r="W53" s="2" t="inlineStr"/>
      <c r="X53" s="2" t="inlineStr">
        <is>
          <t>Decompose only from explicit face or note evidence; never fabricate a split.</t>
        </is>
      </c>
      <c r="Y53" s="2" t="inlineStr">
        <is>
          <t>Aggregate only mutually exclusive facts with identical period, scope, currency and unit.</t>
        </is>
      </c>
      <c r="Z53" s="2" t="inlineStr">
        <is>
          <t>Bind only to Balance Sheet / bs_nca.</t>
        </is>
      </c>
      <c r="AA53" s="2" t="inlineStr"/>
      <c r="AB53" s="2" t="b">
        <v>1</v>
      </c>
      <c r="AC53" s="2" t="inlineStr"/>
      <c r="AD53" s="2" t="inlineStr">
        <is>
          <t>Exact field from Balance Sheet!A38; value cell B38.</t>
        </is>
      </c>
      <c r="AE53" s="2" t="inlineStr">
        <is>
          <t>Notes may support direct extraction or decomposition with provenance. Formula outputs must be derived only from template dependencies.</t>
        </is>
      </c>
      <c r="AF53" s="2" t="inlineStr"/>
      <c r="AG53" s="2" t="inlineStr">
        <is>
          <t>[]</t>
        </is>
      </c>
      <c r="AH53" s="2" t="inlineStr">
        <is>
          <t>Wealth management products(LTP) (from Secur&amp;Fincl)</t>
        </is>
      </c>
      <c r="AI53" s="2" t="inlineStr"/>
      <c r="AJ53" s="2" t="inlineStr">
        <is>
          <t>{"template_sheet": "Balance Sheet", "template_row": 38, "template_cell": "B38", "template_value_or_formula": 11, "calculation_type": "reported_input", "dependencies": [], "source_template": "Copy of Output_CSV Template.xlsx"}</t>
        </is>
      </c>
    </row>
    <row r="54">
      <c r="A54" s="2" t="inlineStr">
        <is>
          <t>bs_nca__secur_and_other_fincl_assets_ltp</t>
        </is>
      </c>
      <c r="B54" s="2" t="inlineStr">
        <is>
          <t>Secur &amp; Other Fincl Assets(LTP)</t>
        </is>
      </c>
      <c r="C54" s="2" t="inlineStr">
        <is>
          <t>bs_nca</t>
        </is>
      </c>
      <c r="D54" s="2" t="inlineStr">
        <is>
          <t>Extract the reported value for 'Secur &amp; Other Fincl Assets(LTP)' from the stated section. Do not calculate or replace it from other rows, because the revised template does not designate this field as formula-driven.</t>
        </is>
      </c>
      <c r="E54" s="2" t="inlineStr">
        <is>
          <t>Secur &amp; Other Fincl Assets(LTP)</t>
        </is>
      </c>
      <c r="F54" s="2" t="inlineStr">
        <is>
          <t>Secur &amp; Other Fincl Assets(LTP)</t>
        </is>
      </c>
      <c r="G54" s="2" t="inlineStr">
        <is>
          <t>^Secur\s+\&amp;\s+Other\s+Fincl\s+Assets\(LTP\)$</t>
        </is>
      </c>
      <c r="H54" s="2" t="inlineStr"/>
      <c r="I54" s="2" t="inlineStr">
        <is>
          <t>Amounts or disclosures explicitly reported for Secur &amp; Other Fincl Assets(LTP) in Balance Sheet / bs_nca.</t>
        </is>
      </c>
      <c r="J54" s="2" t="inlineStr">
        <is>
          <t>Do not substitute another section, period, entity scope, currency or unit; do not double count a parent and its children.</t>
        </is>
      </c>
      <c r="K54" s="2" t="inlineStr"/>
      <c r="L54" s="2" t="inlineStr">
        <is>
          <t>as_reported</t>
        </is>
      </c>
      <c r="M54" s="2" t="inlineStr">
        <is>
          <t>direct_exclusive</t>
        </is>
      </c>
      <c r="N54" s="2" t="n">
        <v>90</v>
      </c>
      <c r="O54" s="2" t="inlineStr">
        <is>
          <t>normalized_exact_then_regex</t>
        </is>
      </c>
      <c r="P54" s="3" t="inlineStr">
        <is>
          <t>extract</t>
        </is>
      </c>
      <c r="Q54" s="2" t="inlineStr">
        <is>
          <t>currency_amount</t>
        </is>
      </c>
      <c r="R54" s="2" t="inlineStr">
        <is>
          <t>period_end</t>
        </is>
      </c>
      <c r="S54" s="2" t="inlineStr">
        <is>
          <t>allowed_with_provenance</t>
        </is>
      </c>
      <c r="T54" s="2" t="b">
        <v>0</v>
      </c>
      <c r="U54" s="2" t="b">
        <v>0</v>
      </c>
      <c r="V54" s="2" t="inlineStr"/>
      <c r="W54" s="2" t="inlineStr"/>
      <c r="X54" s="2" t="inlineStr">
        <is>
          <t>Decompose only from explicit face or note evidence; never fabricate a split.</t>
        </is>
      </c>
      <c r="Y54" s="2" t="inlineStr">
        <is>
          <t>Aggregate only mutually exclusive facts with identical period, scope, currency and unit.</t>
        </is>
      </c>
      <c r="Z54" s="2" t="inlineStr">
        <is>
          <t>Bind only to Balance Sheet / bs_nca.</t>
        </is>
      </c>
      <c r="AA54" s="2" t="inlineStr"/>
      <c r="AB54" s="2" t="b">
        <v>1</v>
      </c>
      <c r="AC54" s="2" t="inlineStr"/>
      <c r="AD54" s="2" t="inlineStr">
        <is>
          <t>Exact field from Balance Sheet!A39; value cell B39.</t>
        </is>
      </c>
      <c r="AE54" s="2" t="inlineStr">
        <is>
          <t>Notes may support direct extraction or decomposition with provenance. Formula outputs must be derived only from template dependencies.</t>
        </is>
      </c>
      <c r="AF54" s="2" t="inlineStr"/>
      <c r="AG54" s="2" t="inlineStr">
        <is>
          <t>[]</t>
        </is>
      </c>
      <c r="AH54" s="2" t="inlineStr">
        <is>
          <t>Secur &amp; Other Fincl Assets(LTP)</t>
        </is>
      </c>
      <c r="AI54" s="2" t="inlineStr"/>
      <c r="AJ54" s="2" t="inlineStr">
        <is>
          <t>{"template_sheet": "Balance Sheet", "template_row": 39, "template_cell": "B39", "template_value_or_formula": 28, "calculation_type": "reported_input", "dependencies": [], "source_template": "Copy of Output_CSV Template.xlsx"}</t>
        </is>
      </c>
    </row>
    <row r="55">
      <c r="A55" s="2" t="inlineStr">
        <is>
          <t>bs_nca__futures_nca</t>
        </is>
      </c>
      <c r="B55" s="2" t="inlineStr">
        <is>
          <t>Futures(NCA)</t>
        </is>
      </c>
      <c r="C55" s="2" t="inlineStr">
        <is>
          <t>bs_nca</t>
        </is>
      </c>
      <c r="D55" s="2" t="inlineStr">
        <is>
          <t>Extract the reported value for 'Futures(NCA)' from the stated section. Do not calculate or replace it from other rows, because the revised template does not designate this field as formula-driven.</t>
        </is>
      </c>
      <c r="E55" s="2" t="inlineStr">
        <is>
          <t>Futures(NCA)</t>
        </is>
      </c>
      <c r="F55" s="2" t="inlineStr">
        <is>
          <t>Futures(NCA)</t>
        </is>
      </c>
      <c r="G55" s="2" t="inlineStr">
        <is>
          <t>^Futures\(NCA\)$</t>
        </is>
      </c>
      <c r="H55" s="2" t="inlineStr"/>
      <c r="I55" s="2" t="inlineStr">
        <is>
          <t>Amounts or disclosures explicitly reported for Futures(NCA) in Balance Sheet / bs_nca.</t>
        </is>
      </c>
      <c r="J55" s="2" t="inlineStr">
        <is>
          <t>Do not substitute another section, period, entity scope, currency or unit; do not double count a parent and its children.</t>
        </is>
      </c>
      <c r="K55" s="2" t="inlineStr"/>
      <c r="L55" s="2" t="inlineStr">
        <is>
          <t>as_reported</t>
        </is>
      </c>
      <c r="M55" s="2" t="inlineStr">
        <is>
          <t>direct_exclusive</t>
        </is>
      </c>
      <c r="N55" s="2" t="n">
        <v>90</v>
      </c>
      <c r="O55" s="2" t="inlineStr">
        <is>
          <t>normalized_exact_then_regex</t>
        </is>
      </c>
      <c r="P55" s="3" t="inlineStr">
        <is>
          <t>extract</t>
        </is>
      </c>
      <c r="Q55" s="2" t="inlineStr">
        <is>
          <t>currency_amount</t>
        </is>
      </c>
      <c r="R55" s="2" t="inlineStr">
        <is>
          <t>period_end</t>
        </is>
      </c>
      <c r="S55" s="2" t="inlineStr">
        <is>
          <t>allowed_with_provenance</t>
        </is>
      </c>
      <c r="T55" s="2" t="b">
        <v>0</v>
      </c>
      <c r="U55" s="2" t="b">
        <v>0</v>
      </c>
      <c r="V55" s="2" t="inlineStr"/>
      <c r="W55" s="2" t="inlineStr"/>
      <c r="X55" s="2" t="inlineStr">
        <is>
          <t>Decompose only from explicit face or note evidence; never fabricate a split.</t>
        </is>
      </c>
      <c r="Y55" s="2" t="inlineStr">
        <is>
          <t>Aggregate only mutually exclusive facts with identical period, scope, currency and unit.</t>
        </is>
      </c>
      <c r="Z55" s="2" t="inlineStr">
        <is>
          <t>Bind only to Balance Sheet / bs_nca.</t>
        </is>
      </c>
      <c r="AA55" s="2" t="inlineStr"/>
      <c r="AB55" s="2" t="b">
        <v>1</v>
      </c>
      <c r="AC55" s="2" t="inlineStr"/>
      <c r="AD55" s="2" t="inlineStr">
        <is>
          <t>Exact field from Balance Sheet!A40; value cell B40.</t>
        </is>
      </c>
      <c r="AE55" s="2" t="inlineStr">
        <is>
          <t>Notes may support direct extraction or decomposition with provenance. Formula outputs must be derived only from template dependencies.</t>
        </is>
      </c>
      <c r="AF55" s="2" t="inlineStr"/>
      <c r="AG55" s="2" t="inlineStr">
        <is>
          <t>[]</t>
        </is>
      </c>
      <c r="AH55" s="2" t="inlineStr">
        <is>
          <t>Futures(NCA)</t>
        </is>
      </c>
      <c r="AI55" s="2" t="inlineStr"/>
      <c r="AJ55" s="2" t="inlineStr">
        <is>
          <t>{"template_sheet": "Balance Sheet", "template_row": 40, "template_cell": "B40", "template_value_or_formula": 45, "calculation_type": "reported_input", "dependencies": [], "source_template": "Copy of Output_CSV Template.xlsx"}</t>
        </is>
      </c>
    </row>
    <row r="56">
      <c r="A56" s="2" t="inlineStr">
        <is>
          <t>bs_nca__options_nca</t>
        </is>
      </c>
      <c r="B56" s="2" t="inlineStr">
        <is>
          <t>Options(NCA)</t>
        </is>
      </c>
      <c r="C56" s="2" t="inlineStr">
        <is>
          <t>bs_nca</t>
        </is>
      </c>
      <c r="D56" s="2" t="inlineStr">
        <is>
          <t>Extract the reported value for 'Options(NCA)' from the stated section. Do not calculate or replace it from other rows, because the revised template does not designate this field as formula-driven.</t>
        </is>
      </c>
      <c r="E56" s="2" t="inlineStr">
        <is>
          <t>Options(NCA)</t>
        </is>
      </c>
      <c r="F56" s="2" t="inlineStr">
        <is>
          <t>Options(NCA)</t>
        </is>
      </c>
      <c r="G56" s="2" t="inlineStr">
        <is>
          <t>^Options\(NCA\)$</t>
        </is>
      </c>
      <c r="H56" s="2" t="inlineStr"/>
      <c r="I56" s="2" t="inlineStr">
        <is>
          <t>Amounts or disclosures explicitly reported for Options(NCA) in Balance Sheet / bs_nca.</t>
        </is>
      </c>
      <c r="J56" s="2" t="inlineStr">
        <is>
          <t>Do not substitute another section, period, entity scope, currency or unit; do not double count a parent and its children.</t>
        </is>
      </c>
      <c r="K56" s="2" t="inlineStr"/>
      <c r="L56" s="2" t="inlineStr">
        <is>
          <t>as_reported</t>
        </is>
      </c>
      <c r="M56" s="2" t="inlineStr">
        <is>
          <t>direct_exclusive</t>
        </is>
      </c>
      <c r="N56" s="2" t="n">
        <v>90</v>
      </c>
      <c r="O56" s="2" t="inlineStr">
        <is>
          <t>normalized_exact_then_regex</t>
        </is>
      </c>
      <c r="P56" s="3" t="inlineStr">
        <is>
          <t>extract</t>
        </is>
      </c>
      <c r="Q56" s="2" t="inlineStr">
        <is>
          <t>currency_amount</t>
        </is>
      </c>
      <c r="R56" s="2" t="inlineStr">
        <is>
          <t>period_end</t>
        </is>
      </c>
      <c r="S56" s="2" t="inlineStr">
        <is>
          <t>allowed_with_provenance</t>
        </is>
      </c>
      <c r="T56" s="2" t="b">
        <v>0</v>
      </c>
      <c r="U56" s="2" t="b">
        <v>0</v>
      </c>
      <c r="V56" s="2" t="inlineStr"/>
      <c r="W56" s="2" t="inlineStr"/>
      <c r="X56" s="2" t="inlineStr">
        <is>
          <t>Decompose only from explicit face or note evidence; never fabricate a split.</t>
        </is>
      </c>
      <c r="Y56" s="2" t="inlineStr">
        <is>
          <t>Aggregate only mutually exclusive facts with identical period, scope, currency and unit.</t>
        </is>
      </c>
      <c r="Z56" s="2" t="inlineStr">
        <is>
          <t>Bind only to Balance Sheet / bs_nca.</t>
        </is>
      </c>
      <c r="AA56" s="2" t="inlineStr"/>
      <c r="AB56" s="2" t="b">
        <v>1</v>
      </c>
      <c r="AC56" s="2" t="inlineStr"/>
      <c r="AD56" s="2" t="inlineStr">
        <is>
          <t>Exact field from Balance Sheet!A41; value cell B41.</t>
        </is>
      </c>
      <c r="AE56" s="2" t="inlineStr">
        <is>
          <t>Notes may support direct extraction or decomposition with provenance. Formula outputs must be derived only from template dependencies.</t>
        </is>
      </c>
      <c r="AF56" s="2" t="inlineStr"/>
      <c r="AG56" s="2" t="inlineStr">
        <is>
          <t>[]</t>
        </is>
      </c>
      <c r="AH56" s="2" t="inlineStr">
        <is>
          <t>Options(NCA)</t>
        </is>
      </c>
      <c r="AI56" s="2" t="inlineStr"/>
      <c r="AJ56" s="2" t="inlineStr">
        <is>
          <t>{"template_sheet": "Balance Sheet", "template_row": 41, "template_cell": "B41", "template_value_or_formula": 19, "calculation_type": "reported_input", "dependencies": [], "source_template": "Copy of Output_CSV Template.xlsx"}</t>
        </is>
      </c>
    </row>
    <row r="57">
      <c r="A57" s="2" t="inlineStr">
        <is>
          <t>bs_nca__forwards_nca</t>
        </is>
      </c>
      <c r="B57" s="2" t="inlineStr">
        <is>
          <t>Forwards(NCA)</t>
        </is>
      </c>
      <c r="C57" s="2" t="inlineStr">
        <is>
          <t>bs_nca</t>
        </is>
      </c>
      <c r="D57" s="2" t="inlineStr">
        <is>
          <t>Extract the reported value for 'Forwards(NCA)' from the stated section. Do not calculate or replace it from other rows, because the revised template does not designate this field as formula-driven.</t>
        </is>
      </c>
      <c r="E57" s="2" t="inlineStr">
        <is>
          <t>Forwards(NCA)</t>
        </is>
      </c>
      <c r="F57" s="2" t="inlineStr">
        <is>
          <t>Forwards(NCA)</t>
        </is>
      </c>
      <c r="G57" s="2" t="inlineStr">
        <is>
          <t>^Forwards\(NCA\)$</t>
        </is>
      </c>
      <c r="H57" s="2" t="inlineStr"/>
      <c r="I57" s="2" t="inlineStr">
        <is>
          <t>Amounts or disclosures explicitly reported for Forwards(NCA) in Balance Sheet / bs_nca.</t>
        </is>
      </c>
      <c r="J57" s="2" t="inlineStr">
        <is>
          <t>Do not substitute another section, period, entity scope, currency or unit; do not double count a parent and its children.</t>
        </is>
      </c>
      <c r="K57" s="2" t="inlineStr"/>
      <c r="L57" s="2" t="inlineStr">
        <is>
          <t>as_reported</t>
        </is>
      </c>
      <c r="M57" s="2" t="inlineStr">
        <is>
          <t>direct_exclusive</t>
        </is>
      </c>
      <c r="N57" s="2" t="n">
        <v>90</v>
      </c>
      <c r="O57" s="2" t="inlineStr">
        <is>
          <t>normalized_exact_then_regex</t>
        </is>
      </c>
      <c r="P57" s="3" t="inlineStr">
        <is>
          <t>extract</t>
        </is>
      </c>
      <c r="Q57" s="2" t="inlineStr">
        <is>
          <t>currency_amount</t>
        </is>
      </c>
      <c r="R57" s="2" t="inlineStr">
        <is>
          <t>period_end</t>
        </is>
      </c>
      <c r="S57" s="2" t="inlineStr">
        <is>
          <t>allowed_with_provenance</t>
        </is>
      </c>
      <c r="T57" s="2" t="b">
        <v>0</v>
      </c>
      <c r="U57" s="2" t="b">
        <v>0</v>
      </c>
      <c r="V57" s="2" t="inlineStr"/>
      <c r="W57" s="2" t="inlineStr"/>
      <c r="X57" s="2" t="inlineStr">
        <is>
          <t>Decompose only from explicit face or note evidence; never fabricate a split.</t>
        </is>
      </c>
      <c r="Y57" s="2" t="inlineStr">
        <is>
          <t>Aggregate only mutually exclusive facts with identical period, scope, currency and unit.</t>
        </is>
      </c>
      <c r="Z57" s="2" t="inlineStr">
        <is>
          <t>Bind only to Balance Sheet / bs_nca.</t>
        </is>
      </c>
      <c r="AA57" s="2" t="inlineStr"/>
      <c r="AB57" s="2" t="b">
        <v>1</v>
      </c>
      <c r="AC57" s="2" t="inlineStr"/>
      <c r="AD57" s="2" t="inlineStr">
        <is>
          <t>Exact field from Balance Sheet!A42; value cell B42.</t>
        </is>
      </c>
      <c r="AE57" s="2" t="inlineStr">
        <is>
          <t>Notes may support direct extraction or decomposition with provenance. Formula outputs must be derived only from template dependencies.</t>
        </is>
      </c>
      <c r="AF57" s="2" t="inlineStr"/>
      <c r="AG57" s="2" t="inlineStr">
        <is>
          <t>[]</t>
        </is>
      </c>
      <c r="AH57" s="2" t="inlineStr">
        <is>
          <t>Forwards(NCA)</t>
        </is>
      </c>
      <c r="AI57" s="2" t="inlineStr"/>
      <c r="AJ57" s="2" t="inlineStr">
        <is>
          <t>{"template_sheet": "Balance Sheet", "template_row": 42, "template_cell": "B42", "template_value_or_formula": 36, "calculation_type": "reported_input", "dependencies": [], "source_template": "Copy of Output_CSV Template.xlsx"}</t>
        </is>
      </c>
    </row>
    <row r="58">
      <c r="A58" s="2" t="inlineStr">
        <is>
          <t>bs_nca__commodities_nca</t>
        </is>
      </c>
      <c r="B58" s="2" t="inlineStr">
        <is>
          <t>Commodities(NCA)</t>
        </is>
      </c>
      <c r="C58" s="2" t="inlineStr">
        <is>
          <t>bs_nca</t>
        </is>
      </c>
      <c r="D58" s="2" t="inlineStr">
        <is>
          <t>Extract the reported value for 'Commodities(NCA)' from the stated section. Do not calculate or replace it from other rows, because the revised template does not designate this field as formula-driven.</t>
        </is>
      </c>
      <c r="E58" s="2" t="inlineStr">
        <is>
          <t>Commodities(NCA)</t>
        </is>
      </c>
      <c r="F58" s="2" t="inlineStr">
        <is>
          <t>Commodities(NCA)</t>
        </is>
      </c>
      <c r="G58" s="2" t="inlineStr">
        <is>
          <t>^Commodities\(NCA\)$</t>
        </is>
      </c>
      <c r="H58" s="2" t="inlineStr"/>
      <c r="I58" s="2" t="inlineStr">
        <is>
          <t>Amounts or disclosures explicitly reported for Commodities(NCA) in Balance Sheet / bs_nca.</t>
        </is>
      </c>
      <c r="J58" s="2" t="inlineStr">
        <is>
          <t>Do not substitute another section, period, entity scope, currency or unit; do not double count a parent and its children.</t>
        </is>
      </c>
      <c r="K58" s="2" t="inlineStr"/>
      <c r="L58" s="2" t="inlineStr">
        <is>
          <t>as_reported</t>
        </is>
      </c>
      <c r="M58" s="2" t="inlineStr">
        <is>
          <t>direct_exclusive</t>
        </is>
      </c>
      <c r="N58" s="2" t="n">
        <v>90</v>
      </c>
      <c r="O58" s="2" t="inlineStr">
        <is>
          <t>normalized_exact_then_regex</t>
        </is>
      </c>
      <c r="P58" s="3" t="inlineStr">
        <is>
          <t>extract</t>
        </is>
      </c>
      <c r="Q58" s="2" t="inlineStr">
        <is>
          <t>currency_amount</t>
        </is>
      </c>
      <c r="R58" s="2" t="inlineStr">
        <is>
          <t>period_end</t>
        </is>
      </c>
      <c r="S58" s="2" t="inlineStr">
        <is>
          <t>allowed_with_provenance</t>
        </is>
      </c>
      <c r="T58" s="2" t="b">
        <v>0</v>
      </c>
      <c r="U58" s="2" t="b">
        <v>0</v>
      </c>
      <c r="V58" s="2" t="inlineStr"/>
      <c r="W58" s="2" t="inlineStr"/>
      <c r="X58" s="2" t="inlineStr">
        <is>
          <t>Decompose only from explicit face or note evidence; never fabricate a split.</t>
        </is>
      </c>
      <c r="Y58" s="2" t="inlineStr">
        <is>
          <t>Aggregate only mutually exclusive facts with identical period, scope, currency and unit.</t>
        </is>
      </c>
      <c r="Z58" s="2" t="inlineStr">
        <is>
          <t>Bind only to Balance Sheet / bs_nca.</t>
        </is>
      </c>
      <c r="AA58" s="2" t="inlineStr"/>
      <c r="AB58" s="2" t="b">
        <v>1</v>
      </c>
      <c r="AC58" s="2" t="inlineStr"/>
      <c r="AD58" s="2" t="inlineStr">
        <is>
          <t>Exact field from Balance Sheet!A43; value cell B43.</t>
        </is>
      </c>
      <c r="AE58" s="2" t="inlineStr">
        <is>
          <t>Notes may support direct extraction or decomposition with provenance. Formula outputs must be derived only from template dependencies.</t>
        </is>
      </c>
      <c r="AF58" s="2" t="inlineStr"/>
      <c r="AG58" s="2" t="inlineStr">
        <is>
          <t>[]</t>
        </is>
      </c>
      <c r="AH58" s="2" t="inlineStr">
        <is>
          <t>Commodities(NCA)</t>
        </is>
      </c>
      <c r="AI58" s="2" t="inlineStr"/>
      <c r="AJ58" s="2" t="inlineStr">
        <is>
          <t>{"template_sheet": "Balance Sheet", "template_row": 43, "template_cell": "B43", "template_value_or_formula": 10, "calculation_type": "reported_input", "dependencies": [], "source_template": "Copy of Output_CSV Template.xlsx"}</t>
        </is>
      </c>
    </row>
    <row r="59">
      <c r="A59" s="2" t="inlineStr">
        <is>
          <t>bs_nca__swaps_nca</t>
        </is>
      </c>
      <c r="B59" s="2" t="inlineStr">
        <is>
          <t>Swaps(NCA)</t>
        </is>
      </c>
      <c r="C59" s="2" t="inlineStr">
        <is>
          <t>bs_nca</t>
        </is>
      </c>
      <c r="D59" s="2" t="inlineStr">
        <is>
          <t>Extract the reported value for 'Swaps(NCA)' from the stated section. Do not calculate or replace it from other rows, because the revised template does not designate this field as formula-driven.</t>
        </is>
      </c>
      <c r="E59" s="2" t="inlineStr">
        <is>
          <t>Swaps(NCA)</t>
        </is>
      </c>
      <c r="F59" s="2" t="inlineStr">
        <is>
          <t>Swaps(NCA)</t>
        </is>
      </c>
      <c r="G59" s="2" t="inlineStr">
        <is>
          <t>^Swaps\(NCA\)$</t>
        </is>
      </c>
      <c r="H59" s="2" t="inlineStr"/>
      <c r="I59" s="2" t="inlineStr">
        <is>
          <t>Amounts or disclosures explicitly reported for Swaps(NCA) in Balance Sheet / bs_nca.</t>
        </is>
      </c>
      <c r="J59" s="2" t="inlineStr">
        <is>
          <t>Do not substitute another section, period, entity scope, currency or unit; do not double count a parent and its children.</t>
        </is>
      </c>
      <c r="K59" s="2" t="inlineStr"/>
      <c r="L59" s="2" t="inlineStr">
        <is>
          <t>as_reported</t>
        </is>
      </c>
      <c r="M59" s="2" t="inlineStr">
        <is>
          <t>direct_exclusive</t>
        </is>
      </c>
      <c r="N59" s="2" t="n">
        <v>90</v>
      </c>
      <c r="O59" s="2" t="inlineStr">
        <is>
          <t>normalized_exact_then_regex</t>
        </is>
      </c>
      <c r="P59" s="3" t="inlineStr">
        <is>
          <t>extract</t>
        </is>
      </c>
      <c r="Q59" s="2" t="inlineStr">
        <is>
          <t>currency_amount</t>
        </is>
      </c>
      <c r="R59" s="2" t="inlineStr">
        <is>
          <t>period_end</t>
        </is>
      </c>
      <c r="S59" s="2" t="inlineStr">
        <is>
          <t>allowed_with_provenance</t>
        </is>
      </c>
      <c r="T59" s="2" t="b">
        <v>0</v>
      </c>
      <c r="U59" s="2" t="b">
        <v>0</v>
      </c>
      <c r="V59" s="2" t="inlineStr"/>
      <c r="W59" s="2" t="inlineStr"/>
      <c r="X59" s="2" t="inlineStr">
        <is>
          <t>Decompose only from explicit face or note evidence; never fabricate a split.</t>
        </is>
      </c>
      <c r="Y59" s="2" t="inlineStr">
        <is>
          <t>Aggregate only mutually exclusive facts with identical period, scope, currency and unit.</t>
        </is>
      </c>
      <c r="Z59" s="2" t="inlineStr">
        <is>
          <t>Bind only to Balance Sheet / bs_nca.</t>
        </is>
      </c>
      <c r="AA59" s="2" t="inlineStr"/>
      <c r="AB59" s="2" t="b">
        <v>1</v>
      </c>
      <c r="AC59" s="2" t="inlineStr"/>
      <c r="AD59" s="2" t="inlineStr">
        <is>
          <t>Exact field from Balance Sheet!A44; value cell B44.</t>
        </is>
      </c>
      <c r="AE59" s="2" t="inlineStr">
        <is>
          <t>Notes may support direct extraction or decomposition with provenance. Formula outputs must be derived only from template dependencies.</t>
        </is>
      </c>
      <c r="AF59" s="2" t="inlineStr"/>
      <c r="AG59" s="2" t="inlineStr">
        <is>
          <t>[]</t>
        </is>
      </c>
      <c r="AH59" s="2" t="inlineStr">
        <is>
          <t>Swaps(NCA)</t>
        </is>
      </c>
      <c r="AI59" s="2" t="inlineStr"/>
      <c r="AJ59" s="2" t="inlineStr">
        <is>
          <t>{"template_sheet": "Balance Sheet", "template_row": 44, "template_cell": "B44", "template_value_or_formula": 27, "calculation_type": "reported_input", "dependencies": [], "source_template": "Copy of Output_CSV Template.xlsx"}</t>
        </is>
      </c>
    </row>
    <row r="60">
      <c r="A60" s="2" t="inlineStr">
        <is>
          <t>bs_nca__deriv_and_hedg_assets_ltp</t>
        </is>
      </c>
      <c r="B60" s="2" t="inlineStr">
        <is>
          <t>Deriv &amp; Hedg Assets(LTP)</t>
        </is>
      </c>
      <c r="C60" s="2" t="inlineStr">
        <is>
          <t>bs_nca</t>
        </is>
      </c>
      <c r="D60" s="2" t="inlineStr">
        <is>
          <t>Extract the reported value for 'Deriv &amp; Hedg Assets(LTP)' from the stated section. Do not calculate or replace it from other rows, because the revised template does not designate this field as formula-driven.</t>
        </is>
      </c>
      <c r="E60" s="2" t="inlineStr">
        <is>
          <t>Deriv &amp; Hedg Assets(LTP)</t>
        </is>
      </c>
      <c r="F60" s="2" t="inlineStr">
        <is>
          <t>Deriv &amp; Hedg Assets(LTP)</t>
        </is>
      </c>
      <c r="G60" s="2" t="inlineStr">
        <is>
          <t>^Deriv\s+\&amp;\s+Hedg\s+Assets\(LTP\)$</t>
        </is>
      </c>
      <c r="H60" s="2" t="inlineStr"/>
      <c r="I60" s="2" t="inlineStr">
        <is>
          <t>Amounts or disclosures explicitly reported for Deriv &amp; Hedg Assets(LTP) in Balance Sheet / bs_nca.</t>
        </is>
      </c>
      <c r="J60" s="2" t="inlineStr">
        <is>
          <t>Do not substitute another section, period, entity scope, currency or unit; do not double count a parent and its children.</t>
        </is>
      </c>
      <c r="K60" s="2" t="inlineStr"/>
      <c r="L60" s="2" t="inlineStr">
        <is>
          <t>as_reported</t>
        </is>
      </c>
      <c r="M60" s="2" t="inlineStr">
        <is>
          <t>direct_exclusive</t>
        </is>
      </c>
      <c r="N60" s="2" t="n">
        <v>90</v>
      </c>
      <c r="O60" s="2" t="inlineStr">
        <is>
          <t>normalized_exact_then_regex</t>
        </is>
      </c>
      <c r="P60" s="3" t="inlineStr">
        <is>
          <t>extract</t>
        </is>
      </c>
      <c r="Q60" s="2" t="inlineStr">
        <is>
          <t>currency_amount</t>
        </is>
      </c>
      <c r="R60" s="2" t="inlineStr">
        <is>
          <t>period_end</t>
        </is>
      </c>
      <c r="S60" s="2" t="inlineStr">
        <is>
          <t>allowed_with_provenance</t>
        </is>
      </c>
      <c r="T60" s="2" t="b">
        <v>0</v>
      </c>
      <c r="U60" s="2" t="b">
        <v>0</v>
      </c>
      <c r="V60" s="2" t="inlineStr"/>
      <c r="W60" s="2" t="inlineStr"/>
      <c r="X60" s="2" t="inlineStr">
        <is>
          <t>Decompose only from explicit face or note evidence; never fabricate a split.</t>
        </is>
      </c>
      <c r="Y60" s="2" t="inlineStr">
        <is>
          <t>Aggregate only mutually exclusive facts with identical period, scope, currency and unit.</t>
        </is>
      </c>
      <c r="Z60" s="2" t="inlineStr">
        <is>
          <t>Bind only to Balance Sheet / bs_nca.</t>
        </is>
      </c>
      <c r="AA60" s="2" t="inlineStr"/>
      <c r="AB60" s="2" t="b">
        <v>1</v>
      </c>
      <c r="AC60" s="2" t="inlineStr"/>
      <c r="AD60" s="2" t="inlineStr">
        <is>
          <t>Exact field from Balance Sheet!A45; value cell B45.</t>
        </is>
      </c>
      <c r="AE60" s="2" t="inlineStr">
        <is>
          <t>Notes may support direct extraction or decomposition with provenance. Formula outputs must be derived only from template dependencies.</t>
        </is>
      </c>
      <c r="AF60" s="2" t="inlineStr"/>
      <c r="AG60" s="2" t="inlineStr">
        <is>
          <t>[]</t>
        </is>
      </c>
      <c r="AH60" s="2" t="inlineStr">
        <is>
          <t>Deriv &amp; Hedg Assets(LTP)</t>
        </is>
      </c>
      <c r="AI60" s="2" t="inlineStr"/>
      <c r="AJ60" s="2" t="inlineStr">
        <is>
          <t>{"template_sheet": "Balance Sheet", "template_row": 45, "template_cell": "B45", "template_value_or_formula": 44, "calculation_type": "reported_input", "dependencies": [], "source_template": "Copy of Output_CSV Template.xlsx"}</t>
        </is>
      </c>
    </row>
    <row r="61">
      <c r="A61" s="2" t="inlineStr">
        <is>
          <t>bs_nca__rtrmnt_plan_actuarial_surplus</t>
        </is>
      </c>
      <c r="B61" s="2" t="inlineStr">
        <is>
          <t>Rtrmnt Plan Actuarial Surplus</t>
        </is>
      </c>
      <c r="C61" s="2" t="inlineStr">
        <is>
          <t>bs_nca</t>
        </is>
      </c>
      <c r="D61" s="2" t="inlineStr">
        <is>
          <t>Extract the reported value for 'Rtrmnt Plan Actuarial Surplus' from the stated section. Do not calculate or replace it from other rows, because the revised template does not designate this field as formula-driven.</t>
        </is>
      </c>
      <c r="E61" s="2" t="inlineStr">
        <is>
          <t>Rtrmnt Plan Actuarial Surplus</t>
        </is>
      </c>
      <c r="F61" s="2" t="inlineStr">
        <is>
          <t>Rtrmnt Plan Actuarial Surplus</t>
        </is>
      </c>
      <c r="G61" s="2" t="inlineStr">
        <is>
          <t>^Rtrmnt\s+Plan\s+Actuarial\s+Surplus$</t>
        </is>
      </c>
      <c r="H61" s="2" t="inlineStr"/>
      <c r="I61" s="2" t="inlineStr">
        <is>
          <t>Amounts or disclosures explicitly reported for Rtrmnt Plan Actuarial Surplus in Balance Sheet / bs_nca.</t>
        </is>
      </c>
      <c r="J61" s="2" t="inlineStr">
        <is>
          <t>Do not substitute another section, period, entity scope, currency or unit; do not double count a parent and its children.</t>
        </is>
      </c>
      <c r="K61" s="2" t="inlineStr"/>
      <c r="L61" s="2" t="inlineStr">
        <is>
          <t>as_reported</t>
        </is>
      </c>
      <c r="M61" s="2" t="inlineStr">
        <is>
          <t>direct_exclusive</t>
        </is>
      </c>
      <c r="N61" s="2" t="n">
        <v>90</v>
      </c>
      <c r="O61" s="2" t="inlineStr">
        <is>
          <t>normalized_exact_then_regex</t>
        </is>
      </c>
      <c r="P61" s="3" t="inlineStr">
        <is>
          <t>extract</t>
        </is>
      </c>
      <c r="Q61" s="2" t="inlineStr">
        <is>
          <t>currency_amount</t>
        </is>
      </c>
      <c r="R61" s="2" t="inlineStr">
        <is>
          <t>period_end</t>
        </is>
      </c>
      <c r="S61" s="2" t="inlineStr">
        <is>
          <t>allowed_with_provenance</t>
        </is>
      </c>
      <c r="T61" s="2" t="b">
        <v>0</v>
      </c>
      <c r="U61" s="2" t="b">
        <v>0</v>
      </c>
      <c r="V61" s="2" t="inlineStr"/>
      <c r="W61" s="2" t="inlineStr"/>
      <c r="X61" s="2" t="inlineStr">
        <is>
          <t>Decompose only from explicit face or note evidence; never fabricate a split.</t>
        </is>
      </c>
      <c r="Y61" s="2" t="inlineStr">
        <is>
          <t>Aggregate only mutually exclusive facts with identical period, scope, currency and unit.</t>
        </is>
      </c>
      <c r="Z61" s="2" t="inlineStr">
        <is>
          <t>Bind only to Balance Sheet / bs_nca.</t>
        </is>
      </c>
      <c r="AA61" s="2" t="inlineStr"/>
      <c r="AB61" s="2" t="b">
        <v>1</v>
      </c>
      <c r="AC61" s="2" t="inlineStr"/>
      <c r="AD61" s="2" t="inlineStr">
        <is>
          <t>Exact field from Balance Sheet!A46; value cell B46.</t>
        </is>
      </c>
      <c r="AE61" s="2" t="inlineStr">
        <is>
          <t>Notes may support direct extraction or decomposition with provenance. Formula outputs must be derived only from template dependencies.</t>
        </is>
      </c>
      <c r="AF61" s="2" t="inlineStr"/>
      <c r="AG61" s="2" t="inlineStr">
        <is>
          <t>[]</t>
        </is>
      </c>
      <c r="AH61" s="2" t="inlineStr">
        <is>
          <t>Rtrmnt Plan Actuarial Surplus</t>
        </is>
      </c>
      <c r="AI61" s="2" t="inlineStr"/>
      <c r="AJ61" s="2" t="inlineStr">
        <is>
          <t>{"template_sheet": "Balance Sheet", "template_row": 46, "template_cell": "B46", "template_value_or_formula": 18, "calculation_type": "reported_input", "dependencies": [], "source_template": "Copy of Output_CSV Template.xlsx"}</t>
        </is>
      </c>
    </row>
    <row r="62">
      <c r="A62" s="2" t="inlineStr">
        <is>
          <t>bs_nca__wealth_management_products_ltp_from_otherasset</t>
        </is>
      </c>
      <c r="B62" s="2" t="inlineStr">
        <is>
          <t>Wealth management products(LTP) (from OtherAsset)</t>
        </is>
      </c>
      <c r="C62" s="2" t="inlineStr">
        <is>
          <t>bs_nca</t>
        </is>
      </c>
      <c r="D62" s="2" t="inlineStr">
        <is>
          <t>Extract the reported value for 'Wealth management products(LTP) (from OtherAsset)' from the stated section. Do not calculate or replace it from other rows, because the revised template does not designate this field as formula-driven.</t>
        </is>
      </c>
      <c r="E62" s="2" t="inlineStr">
        <is>
          <t>Wealth management products(LTP) (from OtherAsset)</t>
        </is>
      </c>
      <c r="F62" s="2" t="inlineStr">
        <is>
          <t>Wealth management products(LTP) (from OtherAsset)</t>
        </is>
      </c>
      <c r="G62" s="2" t="inlineStr">
        <is>
          <t>^Wealth\s+management\s+products\(LTP\)\s+\(from\s+OtherAsset\)$</t>
        </is>
      </c>
      <c r="H62" s="2" t="inlineStr"/>
      <c r="I62" s="2" t="inlineStr">
        <is>
          <t>Amounts or disclosures explicitly reported for Wealth management products(LTP) (from OtherAsset) in Balance Sheet / bs_nca.</t>
        </is>
      </c>
      <c r="J62" s="2" t="inlineStr">
        <is>
          <t>Do not substitute another section, period, entity scope, currency or unit; do not double count a parent and its children.</t>
        </is>
      </c>
      <c r="K62" s="2" t="inlineStr"/>
      <c r="L62" s="2" t="inlineStr">
        <is>
          <t>as_reported</t>
        </is>
      </c>
      <c r="M62" s="2" t="inlineStr">
        <is>
          <t>direct_exclusive</t>
        </is>
      </c>
      <c r="N62" s="2" t="n">
        <v>90</v>
      </c>
      <c r="O62" s="2" t="inlineStr">
        <is>
          <t>normalized_exact_then_regex</t>
        </is>
      </c>
      <c r="P62" s="3" t="inlineStr">
        <is>
          <t>extract</t>
        </is>
      </c>
      <c r="Q62" s="2" t="inlineStr">
        <is>
          <t>currency_amount</t>
        </is>
      </c>
      <c r="R62" s="2" t="inlineStr">
        <is>
          <t>period_end</t>
        </is>
      </c>
      <c r="S62" s="2" t="inlineStr">
        <is>
          <t>allowed_with_provenance</t>
        </is>
      </c>
      <c r="T62" s="2" t="b">
        <v>0</v>
      </c>
      <c r="U62" s="2" t="b">
        <v>0</v>
      </c>
      <c r="V62" s="2" t="inlineStr"/>
      <c r="W62" s="2" t="inlineStr"/>
      <c r="X62" s="2" t="inlineStr">
        <is>
          <t>Decompose only from explicit face or note evidence; never fabricate a split.</t>
        </is>
      </c>
      <c r="Y62" s="2" t="inlineStr">
        <is>
          <t>Aggregate only mutually exclusive facts with identical period, scope, currency and unit.</t>
        </is>
      </c>
      <c r="Z62" s="2" t="inlineStr">
        <is>
          <t>Bind only to Balance Sheet / bs_nca.</t>
        </is>
      </c>
      <c r="AA62" s="2" t="inlineStr"/>
      <c r="AB62" s="2" t="b">
        <v>1</v>
      </c>
      <c r="AC62" s="2" t="inlineStr"/>
      <c r="AD62" s="2" t="inlineStr">
        <is>
          <t>Exact field from Balance Sheet!A47; value cell B47.</t>
        </is>
      </c>
      <c r="AE62" s="2" t="inlineStr">
        <is>
          <t>Notes may support direct extraction or decomposition with provenance. Formula outputs must be derived only from template dependencies.</t>
        </is>
      </c>
      <c r="AF62" s="2" t="inlineStr"/>
      <c r="AG62" s="2" t="inlineStr">
        <is>
          <t>[]</t>
        </is>
      </c>
      <c r="AH62" s="2" t="inlineStr">
        <is>
          <t>Wealth management products(LTP) (from OtherAsset)</t>
        </is>
      </c>
      <c r="AI62" s="2" t="inlineStr"/>
      <c r="AJ62" s="2" t="inlineStr">
        <is>
          <t>{"template_sheet": "Balance Sheet", "template_row": 47, "template_cell": "B47", "template_value_or_formula": 35, "calculation_type": "reported_input", "dependencies": [], "source_template": "Copy of Output_CSV Template.xlsx"}</t>
        </is>
      </c>
    </row>
    <row r="63">
      <c r="A63" s="2" t="inlineStr">
        <is>
          <t>bs_nca__pledged_deposits_ltp</t>
        </is>
      </c>
      <c r="B63" s="2" t="inlineStr">
        <is>
          <t>Pledged Deposits(LTP)</t>
        </is>
      </c>
      <c r="C63" s="2" t="inlineStr">
        <is>
          <t>bs_nca</t>
        </is>
      </c>
      <c r="D63" s="2" t="inlineStr">
        <is>
          <t>Extract the reported value for 'Pledged Deposits(LTP)' from the stated section. Do not calculate or replace it from other rows, because the revised template does not designate this field as formula-driven.</t>
        </is>
      </c>
      <c r="E63" s="2" t="inlineStr">
        <is>
          <t>Pledged Deposits(LTP)</t>
        </is>
      </c>
      <c r="F63" s="2" t="inlineStr">
        <is>
          <t>Pledged Deposits(LTP)</t>
        </is>
      </c>
      <c r="G63" s="2" t="inlineStr">
        <is>
          <t>^Pledged\s+Deposits\(LTP\)$</t>
        </is>
      </c>
      <c r="H63" s="2" t="inlineStr"/>
      <c r="I63" s="2" t="inlineStr">
        <is>
          <t>Amounts or disclosures explicitly reported for Pledged Deposits(LTP) in Balance Sheet / bs_nca.</t>
        </is>
      </c>
      <c r="J63" s="2" t="inlineStr">
        <is>
          <t>Do not substitute another section, period, entity scope, currency or unit; do not double count a parent and its children.</t>
        </is>
      </c>
      <c r="K63" s="2" t="inlineStr"/>
      <c r="L63" s="2" t="inlineStr">
        <is>
          <t>as_reported</t>
        </is>
      </c>
      <c r="M63" s="2" t="inlineStr">
        <is>
          <t>direct_exclusive</t>
        </is>
      </c>
      <c r="N63" s="2" t="n">
        <v>90</v>
      </c>
      <c r="O63" s="2" t="inlineStr">
        <is>
          <t>normalized_exact_then_regex</t>
        </is>
      </c>
      <c r="P63" s="3" t="inlineStr">
        <is>
          <t>extract</t>
        </is>
      </c>
      <c r="Q63" s="2" t="inlineStr">
        <is>
          <t>currency_amount</t>
        </is>
      </c>
      <c r="R63" s="2" t="inlineStr">
        <is>
          <t>period_end</t>
        </is>
      </c>
      <c r="S63" s="2" t="inlineStr">
        <is>
          <t>allowed_with_provenance</t>
        </is>
      </c>
      <c r="T63" s="2" t="b">
        <v>0</v>
      </c>
      <c r="U63" s="2" t="b">
        <v>0</v>
      </c>
      <c r="V63" s="2" t="inlineStr"/>
      <c r="W63" s="2" t="inlineStr"/>
      <c r="X63" s="2" t="inlineStr">
        <is>
          <t>Decompose only from explicit face or note evidence; never fabricate a split.</t>
        </is>
      </c>
      <c r="Y63" s="2" t="inlineStr">
        <is>
          <t>Aggregate only mutually exclusive facts with identical period, scope, currency and unit.</t>
        </is>
      </c>
      <c r="Z63" s="2" t="inlineStr">
        <is>
          <t>Bind only to Balance Sheet / bs_nca.</t>
        </is>
      </c>
      <c r="AA63" s="2" t="inlineStr"/>
      <c r="AB63" s="2" t="b">
        <v>1</v>
      </c>
      <c r="AC63" s="2" t="inlineStr"/>
      <c r="AD63" s="2" t="inlineStr">
        <is>
          <t>Exact field from Balance Sheet!A48; value cell B48.</t>
        </is>
      </c>
      <c r="AE63" s="2" t="inlineStr">
        <is>
          <t>Notes may support direct extraction or decomposition with provenance. Formula outputs must be derived only from template dependencies.</t>
        </is>
      </c>
      <c r="AF63" s="2" t="inlineStr"/>
      <c r="AG63" s="2" t="inlineStr">
        <is>
          <t>[]</t>
        </is>
      </c>
      <c r="AH63" s="2" t="inlineStr">
        <is>
          <t>Pledged Deposits(LTP)</t>
        </is>
      </c>
      <c r="AI63" s="2" t="inlineStr"/>
      <c r="AJ63" s="2" t="inlineStr">
        <is>
          <t>{"template_sheet": "Balance Sheet", "template_row": 48, "template_cell": "B48", "template_value_or_formula": 52, "calculation_type": "reported_input", "dependencies": [], "source_template": "Copy of Output_CSV Template.xlsx"}</t>
        </is>
      </c>
    </row>
    <row r="64">
      <c r="A64" s="2" t="inlineStr">
        <is>
          <t>bs_nca__pledged_secur_and_other_fincl_assets_ltp</t>
        </is>
      </c>
      <c r="B64" s="2" t="inlineStr">
        <is>
          <t>Pledged Secur &amp; Other Fincl Assets(LTP)</t>
        </is>
      </c>
      <c r="C64" s="2" t="inlineStr">
        <is>
          <t>bs_nca</t>
        </is>
      </c>
      <c r="D64" s="2" t="inlineStr">
        <is>
          <t>Extract the reported value for 'Pledged Secur &amp; Other Fincl Assets(LTP)' from the stated section. Do not calculate or replace it from other rows, because the revised template does not designate this field as formula-driven.</t>
        </is>
      </c>
      <c r="E64" s="2" t="inlineStr">
        <is>
          <t>Pledged Secur &amp; Other Fincl Assets(LTP)</t>
        </is>
      </c>
      <c r="F64" s="2" t="inlineStr">
        <is>
          <t>Pledged Secur &amp; Other Fincl Assets(LTP)</t>
        </is>
      </c>
      <c r="G64" s="2" t="inlineStr">
        <is>
          <t>^Pledged\s+Secur\s+\&amp;\s+Other\s+Fincl\s+Assets\(LTP\)$</t>
        </is>
      </c>
      <c r="H64" s="2" t="inlineStr"/>
      <c r="I64" s="2" t="inlineStr">
        <is>
          <t>Amounts or disclosures explicitly reported for Pledged Secur &amp; Other Fincl Assets(LTP) in Balance Sheet / bs_nca.</t>
        </is>
      </c>
      <c r="J64" s="2" t="inlineStr">
        <is>
          <t>Do not substitute another section, period, entity scope, currency or unit; do not double count a parent and its children.</t>
        </is>
      </c>
      <c r="K64" s="2" t="inlineStr"/>
      <c r="L64" s="2" t="inlineStr">
        <is>
          <t>as_reported</t>
        </is>
      </c>
      <c r="M64" s="2" t="inlineStr">
        <is>
          <t>direct_exclusive</t>
        </is>
      </c>
      <c r="N64" s="2" t="n">
        <v>90</v>
      </c>
      <c r="O64" s="2" t="inlineStr">
        <is>
          <t>normalized_exact_then_regex</t>
        </is>
      </c>
      <c r="P64" s="3" t="inlineStr">
        <is>
          <t>extract</t>
        </is>
      </c>
      <c r="Q64" s="2" t="inlineStr">
        <is>
          <t>currency_amount</t>
        </is>
      </c>
      <c r="R64" s="2" t="inlineStr">
        <is>
          <t>period_end</t>
        </is>
      </c>
      <c r="S64" s="2" t="inlineStr">
        <is>
          <t>allowed_with_provenance</t>
        </is>
      </c>
      <c r="T64" s="2" t="b">
        <v>0</v>
      </c>
      <c r="U64" s="2" t="b">
        <v>0</v>
      </c>
      <c r="V64" s="2" t="inlineStr"/>
      <c r="W64" s="2" t="inlineStr"/>
      <c r="X64" s="2" t="inlineStr">
        <is>
          <t>Decompose only from explicit face or note evidence; never fabricate a split.</t>
        </is>
      </c>
      <c r="Y64" s="2" t="inlineStr">
        <is>
          <t>Aggregate only mutually exclusive facts with identical period, scope, currency and unit.</t>
        </is>
      </c>
      <c r="Z64" s="2" t="inlineStr">
        <is>
          <t>Bind only to Balance Sheet / bs_nca.</t>
        </is>
      </c>
      <c r="AA64" s="2" t="inlineStr"/>
      <c r="AB64" s="2" t="b">
        <v>1</v>
      </c>
      <c r="AC64" s="2" t="inlineStr"/>
      <c r="AD64" s="2" t="inlineStr">
        <is>
          <t>Exact field from Balance Sheet!A49; value cell B49.</t>
        </is>
      </c>
      <c r="AE64" s="2" t="inlineStr">
        <is>
          <t>Notes may support direct extraction or decomposition with provenance. Formula outputs must be derived only from template dependencies.</t>
        </is>
      </c>
      <c r="AF64" s="2" t="inlineStr"/>
      <c r="AG64" s="2" t="inlineStr">
        <is>
          <t>[]</t>
        </is>
      </c>
      <c r="AH64" s="2" t="inlineStr">
        <is>
          <t>Pledged Secur &amp; Other Fincl Assets(LTP)</t>
        </is>
      </c>
      <c r="AI64" s="2" t="inlineStr"/>
      <c r="AJ64" s="2" t="inlineStr">
        <is>
          <t>{"template_sheet": "Balance Sheet", "template_row": 49, "template_cell": "B49", "template_value_or_formula": 26, "calculation_type": "reported_input", "dependencies": [], "source_template": "Copy of Output_CSV Template.xlsx"}</t>
        </is>
      </c>
    </row>
    <row r="65">
      <c r="A65" s="2" t="inlineStr">
        <is>
          <t>bs_nca__other_non_current_assets</t>
        </is>
      </c>
      <c r="B65" s="2" t="inlineStr">
        <is>
          <t>Other Non-Current Assets</t>
        </is>
      </c>
      <c r="C65" s="2" t="inlineStr">
        <is>
          <t>bs_nca</t>
        </is>
      </c>
      <c r="D65" s="2" t="inlineStr">
        <is>
          <t>Extract the reported value for 'Other Non-Current Assets' from the stated section. Do not calculate or replace it from other rows, because the revised template does not designate this field as formula-driven.</t>
        </is>
      </c>
      <c r="E65" s="2" t="inlineStr">
        <is>
          <t>Other Non-Current Assets</t>
        </is>
      </c>
      <c r="F65" s="2" t="inlineStr">
        <is>
          <t>Other Non-Current Assets</t>
        </is>
      </c>
      <c r="G65" s="2" t="inlineStr">
        <is>
          <t>^Other\s+Non[\-–—]?Current\s+Assets$</t>
        </is>
      </c>
      <c r="H65" s="2" t="inlineStr"/>
      <c r="I65" s="2" t="inlineStr">
        <is>
          <t>Amounts or disclosures explicitly reported for Other Non-Current Assets in Balance Sheet / bs_nca.</t>
        </is>
      </c>
      <c r="J65" s="2" t="inlineStr">
        <is>
          <t>Do not substitute another section, period, entity scope, currency or unit; do not double count a parent and its children.</t>
        </is>
      </c>
      <c r="K65" s="2" t="inlineStr"/>
      <c r="L65" s="2" t="inlineStr">
        <is>
          <t>as_reported</t>
        </is>
      </c>
      <c r="M65" s="2" t="inlineStr">
        <is>
          <t>direct_exclusive</t>
        </is>
      </c>
      <c r="N65" s="2" t="n">
        <v>90</v>
      </c>
      <c r="O65" s="2" t="inlineStr">
        <is>
          <t>normalized_exact_then_regex</t>
        </is>
      </c>
      <c r="P65" s="3" t="inlineStr">
        <is>
          <t>extract</t>
        </is>
      </c>
      <c r="Q65" s="2" t="inlineStr">
        <is>
          <t>currency_amount</t>
        </is>
      </c>
      <c r="R65" s="2" t="inlineStr">
        <is>
          <t>period_end</t>
        </is>
      </c>
      <c r="S65" s="2" t="inlineStr">
        <is>
          <t>allowed_with_provenance</t>
        </is>
      </c>
      <c r="T65" s="2" t="b">
        <v>0</v>
      </c>
      <c r="U65" s="2" t="b">
        <v>0</v>
      </c>
      <c r="V65" s="2" t="inlineStr"/>
      <c r="W65" s="2" t="inlineStr"/>
      <c r="X65" s="2" t="inlineStr">
        <is>
          <t>Decompose only from explicit face or note evidence; never fabricate a split.</t>
        </is>
      </c>
      <c r="Y65" s="2" t="inlineStr">
        <is>
          <t>Aggregate only mutually exclusive facts with identical period, scope, currency and unit.</t>
        </is>
      </c>
      <c r="Z65" s="2" t="inlineStr">
        <is>
          <t>Bind only to Balance Sheet / bs_nca.</t>
        </is>
      </c>
      <c r="AA65" s="2" t="inlineStr"/>
      <c r="AB65" s="2" t="b">
        <v>1</v>
      </c>
      <c r="AC65" s="2" t="inlineStr"/>
      <c r="AD65" s="2" t="inlineStr">
        <is>
          <t>Exact field from Balance Sheet!A50; value cell B50.</t>
        </is>
      </c>
      <c r="AE65" s="2" t="inlineStr">
        <is>
          <t>Notes may support direct extraction or decomposition with provenance. Formula outputs must be derived only from template dependencies.</t>
        </is>
      </c>
      <c r="AF65" s="2" t="inlineStr">
        <is>
          <t>{"mode": "no_balancing_plug", "negative_result": "review"}</t>
        </is>
      </c>
      <c r="AG65" s="2" t="inlineStr">
        <is>
          <t>[]</t>
        </is>
      </c>
      <c r="AH65" s="2" t="inlineStr">
        <is>
          <t>Other Non-Current Assets</t>
        </is>
      </c>
      <c r="AI65" s="2" t="inlineStr"/>
      <c r="AJ65" s="2" t="inlineStr">
        <is>
          <t>{"template_sheet": "Balance Sheet", "template_row": 50, "template_cell": "B50", "template_value_or_formula": 43, "calculation_type": "reported_input", "dependencies": [], "source_template": "Copy of Output_CSV Template.xlsx"}</t>
        </is>
      </c>
    </row>
    <row r="66">
      <c r="A66" s="2" t="inlineStr">
        <is>
          <t>bs_nca__deferred_tax_assets</t>
        </is>
      </c>
      <c r="B66" s="2" t="inlineStr">
        <is>
          <t>Deferred Tax Assets</t>
        </is>
      </c>
      <c r="C66" s="2" t="inlineStr">
        <is>
          <t>bs_nca</t>
        </is>
      </c>
      <c r="D66" s="2" t="inlineStr">
        <is>
          <t>Extract the reported value for 'Deferred Tax Assets' from the stated section. Do not calculate or replace it from other rows, because the revised template does not designate this field as formula-driven.</t>
        </is>
      </c>
      <c r="E66" s="2" t="inlineStr">
        <is>
          <t>Deferred Tax Assets</t>
        </is>
      </c>
      <c r="F66" s="2" t="inlineStr">
        <is>
          <t>Deferred Tax Assets</t>
        </is>
      </c>
      <c r="G66" s="2" t="inlineStr">
        <is>
          <t>^Deferred\s+Tax\s+Assets$</t>
        </is>
      </c>
      <c r="H66" s="2" t="inlineStr"/>
      <c r="I66" s="2" t="inlineStr">
        <is>
          <t>Amounts or disclosures explicitly reported for Deferred Tax Assets in Balance Sheet / bs_nca.</t>
        </is>
      </c>
      <c r="J66" s="2" t="inlineStr">
        <is>
          <t>Do not substitute another section, period, entity scope, currency or unit; do not double count a parent and its children.</t>
        </is>
      </c>
      <c r="K66" s="2" t="inlineStr"/>
      <c r="L66" s="2" t="inlineStr">
        <is>
          <t>as_reported</t>
        </is>
      </c>
      <c r="M66" s="2" t="inlineStr">
        <is>
          <t>direct_exclusive</t>
        </is>
      </c>
      <c r="N66" s="2" t="n">
        <v>90</v>
      </c>
      <c r="O66" s="2" t="inlineStr">
        <is>
          <t>normalized_exact_then_regex</t>
        </is>
      </c>
      <c r="P66" s="3" t="inlineStr">
        <is>
          <t>extract</t>
        </is>
      </c>
      <c r="Q66" s="2" t="inlineStr">
        <is>
          <t>currency_amount</t>
        </is>
      </c>
      <c r="R66" s="2" t="inlineStr">
        <is>
          <t>period_end</t>
        </is>
      </c>
      <c r="S66" s="2" t="inlineStr">
        <is>
          <t>allowed_with_provenance</t>
        </is>
      </c>
      <c r="T66" s="2" t="b">
        <v>0</v>
      </c>
      <c r="U66" s="2" t="b">
        <v>0</v>
      </c>
      <c r="V66" s="2" t="inlineStr"/>
      <c r="W66" s="2" t="inlineStr"/>
      <c r="X66" s="2" t="inlineStr">
        <is>
          <t>Decompose only from explicit face or note evidence; never fabricate a split.</t>
        </is>
      </c>
      <c r="Y66" s="2" t="inlineStr">
        <is>
          <t>Aggregate only mutually exclusive facts with identical period, scope, currency and unit.</t>
        </is>
      </c>
      <c r="Z66" s="2" t="inlineStr">
        <is>
          <t>Bind only to Balance Sheet / bs_nca.</t>
        </is>
      </c>
      <c r="AA66" s="2" t="inlineStr"/>
      <c r="AB66" s="2" t="b">
        <v>1</v>
      </c>
      <c r="AC66" s="2" t="inlineStr"/>
      <c r="AD66" s="2" t="inlineStr">
        <is>
          <t>Exact field from Balance Sheet!A51; value cell B51.</t>
        </is>
      </c>
      <c r="AE66" s="2" t="inlineStr">
        <is>
          <t>Notes may support direct extraction or decomposition with provenance. Formula outputs must be derived only from template dependencies.</t>
        </is>
      </c>
      <c r="AF66" s="2" t="inlineStr"/>
      <c r="AG66" s="2" t="inlineStr">
        <is>
          <t>[]</t>
        </is>
      </c>
      <c r="AH66" s="2" t="inlineStr">
        <is>
          <t>Deferred Tax Assets</t>
        </is>
      </c>
      <c r="AI66" s="2" t="inlineStr"/>
      <c r="AJ66" s="2" t="inlineStr">
        <is>
          <t>{"template_sheet": "Balance Sheet", "template_row": 51, "template_cell": "B51", "template_value_or_formula": 17, "calculation_type": "reported_input", "dependencies": [], "source_template": "Copy of Output_CSV Template.xlsx"}</t>
        </is>
      </c>
    </row>
    <row r="67">
      <c r="A67" s="2" t="inlineStr">
        <is>
          <t>bs_nca__entrusted_loan_receivables_third_parties_ltp</t>
        </is>
      </c>
      <c r="B67" s="2" t="inlineStr">
        <is>
          <t>Entrusted loan receivables- third parties(LTP)</t>
        </is>
      </c>
      <c r="C67" s="2" t="inlineStr">
        <is>
          <t>bs_nca</t>
        </is>
      </c>
      <c r="D67" s="2" t="inlineStr">
        <is>
          <t>Extract the reported value for 'Entrusted loan receivables- third parties(LTP)' from the stated section. Do not calculate or replace it from other rows, because the revised template does not designate this field as formula-driven.</t>
        </is>
      </c>
      <c r="E67" s="2" t="inlineStr">
        <is>
          <t>Entrusted loan receivables- third parties(LTP)</t>
        </is>
      </c>
      <c r="F67" s="2" t="inlineStr">
        <is>
          <t>Entrusted loan receivables- third parties(LTP)</t>
        </is>
      </c>
      <c r="G67" s="2" t="inlineStr">
        <is>
          <t>^Entrusted\s+loan\s+receivables[\-–—]?\s+third\s+parties\(LTP\)$</t>
        </is>
      </c>
      <c r="H67" s="2" t="inlineStr"/>
      <c r="I67" s="2" t="inlineStr">
        <is>
          <t>Amounts or disclosures explicitly reported for Entrusted loan receivables- third parties(LTP) in Balance Sheet / bs_nca.</t>
        </is>
      </c>
      <c r="J67" s="2" t="inlineStr">
        <is>
          <t>Do not substitute another section, period, entity scope, currency or unit; do not double count a parent and its children.</t>
        </is>
      </c>
      <c r="K67" s="2" t="inlineStr"/>
      <c r="L67" s="2" t="inlineStr">
        <is>
          <t>as_reported</t>
        </is>
      </c>
      <c r="M67" s="2" t="inlineStr">
        <is>
          <t>direct_exclusive</t>
        </is>
      </c>
      <c r="N67" s="2" t="n">
        <v>90</v>
      </c>
      <c r="O67" s="2" t="inlineStr">
        <is>
          <t>normalized_exact_then_regex</t>
        </is>
      </c>
      <c r="P67" s="3" t="inlineStr">
        <is>
          <t>extract</t>
        </is>
      </c>
      <c r="Q67" s="2" t="inlineStr">
        <is>
          <t>currency_amount</t>
        </is>
      </c>
      <c r="R67" s="2" t="inlineStr">
        <is>
          <t>period_end</t>
        </is>
      </c>
      <c r="S67" s="2" t="inlineStr">
        <is>
          <t>allowed_with_provenance</t>
        </is>
      </c>
      <c r="T67" s="2" t="b">
        <v>0</v>
      </c>
      <c r="U67" s="2" t="b">
        <v>0</v>
      </c>
      <c r="V67" s="2" t="inlineStr"/>
      <c r="W67" s="2" t="inlineStr"/>
      <c r="X67" s="2" t="inlineStr">
        <is>
          <t>Decompose only from explicit face or note evidence; never fabricate a split.</t>
        </is>
      </c>
      <c r="Y67" s="2" t="inlineStr">
        <is>
          <t>Aggregate only mutually exclusive facts with identical period, scope, currency and unit.</t>
        </is>
      </c>
      <c r="Z67" s="2" t="inlineStr">
        <is>
          <t>Bind only to Balance Sheet / bs_nca.</t>
        </is>
      </c>
      <c r="AA67" s="2" t="inlineStr"/>
      <c r="AB67" s="2" t="b">
        <v>1</v>
      </c>
      <c r="AC67" s="2" t="inlineStr"/>
      <c r="AD67" s="2" t="inlineStr">
        <is>
          <t>Exact field from Balance Sheet!A52; value cell B52.</t>
        </is>
      </c>
      <c r="AE67" s="2" t="inlineStr">
        <is>
          <t>Notes may support direct extraction or decomposition with provenance. Formula outputs must be derived only from template dependencies.</t>
        </is>
      </c>
      <c r="AF67" s="2" t="inlineStr"/>
      <c r="AG67" s="2" t="inlineStr">
        <is>
          <t>[]</t>
        </is>
      </c>
      <c r="AH67" s="2" t="inlineStr">
        <is>
          <t>Entrusted loan receivables- third parties(LTP)</t>
        </is>
      </c>
      <c r="AI67" s="2" t="inlineStr"/>
      <c r="AJ67" s="2" t="inlineStr">
        <is>
          <t>{"template_sheet": "Balance Sheet", "template_row": 52, "template_cell": "B52", "template_value_or_formula": 34, "calculation_type": "reported_input", "dependencies": [], "source_template": "Copy of Output_CSV Template.xlsx"}</t>
        </is>
      </c>
    </row>
    <row r="68">
      <c r="A68" s="2" t="inlineStr">
        <is>
          <t>bs_nca__wealth_management_products_ltp_from_receivables</t>
        </is>
      </c>
      <c r="B68" s="2" t="inlineStr">
        <is>
          <t>Wealth management products(LTP) (from Receivables)</t>
        </is>
      </c>
      <c r="C68" s="2" t="inlineStr">
        <is>
          <t>bs_nca</t>
        </is>
      </c>
      <c r="D68" s="2" t="inlineStr">
        <is>
          <t>Extract the reported value for 'Wealth management products(LTP) (from Receivables)' from the stated section. Do not calculate or replace it from other rows, because the revised template does not designate this field as formula-driven.</t>
        </is>
      </c>
      <c r="E68" s="2" t="inlineStr">
        <is>
          <t>Wealth management products(LTP) (from Receivables)</t>
        </is>
      </c>
      <c r="F68" s="2" t="inlineStr">
        <is>
          <t>Wealth management products(LTP) (from Receivables)</t>
        </is>
      </c>
      <c r="G68" s="2" t="inlineStr">
        <is>
          <t>^Wealth\s+management\s+products\(LTP\)\s+\(from\s+Receivables\)$</t>
        </is>
      </c>
      <c r="H68" s="2" t="inlineStr"/>
      <c r="I68" s="2" t="inlineStr">
        <is>
          <t>Amounts or disclosures explicitly reported for Wealth management products(LTP) (from Receivables) in Balance Sheet / bs_nca.</t>
        </is>
      </c>
      <c r="J68" s="2" t="inlineStr">
        <is>
          <t>Do not substitute another section, period, entity scope, currency or unit; do not double count a parent and its children.</t>
        </is>
      </c>
      <c r="K68" s="2" t="inlineStr"/>
      <c r="L68" s="2" t="inlineStr">
        <is>
          <t>as_reported</t>
        </is>
      </c>
      <c r="M68" s="2" t="inlineStr">
        <is>
          <t>direct_exclusive</t>
        </is>
      </c>
      <c r="N68" s="2" t="n">
        <v>90</v>
      </c>
      <c r="O68" s="2" t="inlineStr">
        <is>
          <t>normalized_exact_then_regex</t>
        </is>
      </c>
      <c r="P68" s="3" t="inlineStr">
        <is>
          <t>extract</t>
        </is>
      </c>
      <c r="Q68" s="2" t="inlineStr">
        <is>
          <t>currency_amount</t>
        </is>
      </c>
      <c r="R68" s="2" t="inlineStr">
        <is>
          <t>period_end</t>
        </is>
      </c>
      <c r="S68" s="2" t="inlineStr">
        <is>
          <t>allowed_with_provenance</t>
        </is>
      </c>
      <c r="T68" s="2" t="b">
        <v>0</v>
      </c>
      <c r="U68" s="2" t="b">
        <v>0</v>
      </c>
      <c r="V68" s="2" t="inlineStr"/>
      <c r="W68" s="2" t="inlineStr"/>
      <c r="X68" s="2" t="inlineStr">
        <is>
          <t>Decompose only from explicit face or note evidence; never fabricate a split.</t>
        </is>
      </c>
      <c r="Y68" s="2" t="inlineStr">
        <is>
          <t>Aggregate only mutually exclusive facts with identical period, scope, currency and unit.</t>
        </is>
      </c>
      <c r="Z68" s="2" t="inlineStr">
        <is>
          <t>Bind only to Balance Sheet / bs_nca.</t>
        </is>
      </c>
      <c r="AA68" s="2" t="inlineStr"/>
      <c r="AB68" s="2" t="b">
        <v>1</v>
      </c>
      <c r="AC68" s="2" t="inlineStr"/>
      <c r="AD68" s="2" t="inlineStr">
        <is>
          <t>Exact field from Balance Sheet!A53; value cell B53.</t>
        </is>
      </c>
      <c r="AE68" s="2" t="inlineStr">
        <is>
          <t>Notes may support direct extraction or decomposition with provenance. Formula outputs must be derived only from template dependencies.</t>
        </is>
      </c>
      <c r="AF68" s="2" t="inlineStr"/>
      <c r="AG68" s="2" t="inlineStr">
        <is>
          <t>[]</t>
        </is>
      </c>
      <c r="AH68" s="2" t="inlineStr">
        <is>
          <t>Wealth management products(LTP) (from Receivables)</t>
        </is>
      </c>
      <c r="AI68" s="2" t="inlineStr"/>
      <c r="AJ68" s="2" t="inlineStr">
        <is>
          <t>{"template_sheet": "Balance Sheet", "template_row": 53, "template_cell": "B53", "template_value_or_formula": 51, "calculation_type": "reported_input", "dependencies": [], "source_template": "Copy of Output_CSV Template.xlsx"}</t>
        </is>
      </c>
    </row>
    <row r="69">
      <c r="A69" s="2" t="inlineStr">
        <is>
          <t>bs_nca__reverse_repo_ltp</t>
        </is>
      </c>
      <c r="B69" s="2" t="inlineStr">
        <is>
          <t>Reverse repo(LTP)</t>
        </is>
      </c>
      <c r="C69" s="2" t="inlineStr">
        <is>
          <t>bs_nca</t>
        </is>
      </c>
      <c r="D69" s="2" t="inlineStr">
        <is>
          <t>Extract the reported value for 'Reverse repo(LTP)' from the stated section. Do not calculate or replace it from other rows, because the revised template does not designate this field as formula-driven.</t>
        </is>
      </c>
      <c r="E69" s="2" t="inlineStr">
        <is>
          <t>Reverse repo(LTP)</t>
        </is>
      </c>
      <c r="F69" s="2" t="inlineStr">
        <is>
          <t>Reverse repo(LTP)</t>
        </is>
      </c>
      <c r="G69" s="2" t="inlineStr">
        <is>
          <t>^Reverse\s+repo\(LTP\)$</t>
        </is>
      </c>
      <c r="H69" s="2" t="inlineStr"/>
      <c r="I69" s="2" t="inlineStr">
        <is>
          <t>Amounts or disclosures explicitly reported for Reverse repo(LTP) in Balance Sheet / bs_nca.</t>
        </is>
      </c>
      <c r="J69" s="2" t="inlineStr">
        <is>
          <t>Do not substitute another section, period, entity scope, currency or unit; do not double count a parent and its children.</t>
        </is>
      </c>
      <c r="K69" s="2" t="inlineStr"/>
      <c r="L69" s="2" t="inlineStr">
        <is>
          <t>as_reported</t>
        </is>
      </c>
      <c r="M69" s="2" t="inlineStr">
        <is>
          <t>direct_exclusive</t>
        </is>
      </c>
      <c r="N69" s="2" t="n">
        <v>90</v>
      </c>
      <c r="O69" s="2" t="inlineStr">
        <is>
          <t>normalized_exact_then_regex</t>
        </is>
      </c>
      <c r="P69" s="3" t="inlineStr">
        <is>
          <t>extract</t>
        </is>
      </c>
      <c r="Q69" s="2" t="inlineStr">
        <is>
          <t>currency_amount</t>
        </is>
      </c>
      <c r="R69" s="2" t="inlineStr">
        <is>
          <t>period_end</t>
        </is>
      </c>
      <c r="S69" s="2" t="inlineStr">
        <is>
          <t>allowed_with_provenance</t>
        </is>
      </c>
      <c r="T69" s="2" t="b">
        <v>0</v>
      </c>
      <c r="U69" s="2" t="b">
        <v>0</v>
      </c>
      <c r="V69" s="2" t="inlineStr"/>
      <c r="W69" s="2" t="inlineStr"/>
      <c r="X69" s="2" t="inlineStr">
        <is>
          <t>Decompose only from explicit face or note evidence; never fabricate a split.</t>
        </is>
      </c>
      <c r="Y69" s="2" t="inlineStr">
        <is>
          <t>Aggregate only mutually exclusive facts with identical period, scope, currency and unit.</t>
        </is>
      </c>
      <c r="Z69" s="2" t="inlineStr">
        <is>
          <t>Bind only to Balance Sheet / bs_nca.</t>
        </is>
      </c>
      <c r="AA69" s="2" t="inlineStr"/>
      <c r="AB69" s="2" t="b">
        <v>1</v>
      </c>
      <c r="AC69" s="2" t="inlineStr"/>
      <c r="AD69" s="2" t="inlineStr">
        <is>
          <t>Exact field from Balance Sheet!A54; value cell B54.</t>
        </is>
      </c>
      <c r="AE69" s="2" t="inlineStr">
        <is>
          <t>Notes may support direct extraction or decomposition with provenance. Formula outputs must be derived only from template dependencies.</t>
        </is>
      </c>
      <c r="AF69" s="2" t="inlineStr"/>
      <c r="AG69" s="2" t="inlineStr">
        <is>
          <t>[]</t>
        </is>
      </c>
      <c r="AH69" s="2" t="inlineStr">
        <is>
          <t>Reverse repo(LTP)</t>
        </is>
      </c>
      <c r="AI69" s="2" t="inlineStr"/>
      <c r="AJ69" s="2" t="inlineStr">
        <is>
          <t>{"template_sheet": "Balance Sheet", "template_row": 54, "template_cell": "B54", "template_value_or_formula": 25, "calculation_type": "reported_input", "dependencies": [], "source_template": "Copy of Output_CSV Template.xlsx"}</t>
        </is>
      </c>
    </row>
    <row r="70">
      <c r="A70" s="2" t="inlineStr">
        <is>
          <t>bs_nca__other_receivables_ltp</t>
        </is>
      </c>
      <c r="B70" s="2" t="inlineStr">
        <is>
          <t>Other Receivables(LTP)</t>
        </is>
      </c>
      <c r="C70" s="2" t="inlineStr">
        <is>
          <t>bs_nca</t>
        </is>
      </c>
      <c r="D70" s="2" t="inlineStr">
        <is>
          <t>Extract the reported value for 'Other Receivables(LTP)' from the stated section. Do not calculate or replace it from other rows, because the revised template does not designate this field as formula-driven.</t>
        </is>
      </c>
      <c r="E70" s="2" t="inlineStr">
        <is>
          <t>Other Receivables(LTP)</t>
        </is>
      </c>
      <c r="F70" s="2" t="inlineStr">
        <is>
          <t>Other Receivables(LTP)</t>
        </is>
      </c>
      <c r="G70" s="2" t="inlineStr">
        <is>
          <t>^Other\s+Receivables\(LTP\)$</t>
        </is>
      </c>
      <c r="H70" s="2" t="inlineStr"/>
      <c r="I70" s="2" t="inlineStr">
        <is>
          <t>Amounts or disclosures explicitly reported for Other Receivables(LTP) in Balance Sheet / bs_nca.</t>
        </is>
      </c>
      <c r="J70" s="2" t="inlineStr">
        <is>
          <t>Do not substitute another section, period, entity scope, currency or unit; do not double count a parent and its children.</t>
        </is>
      </c>
      <c r="K70" s="2" t="inlineStr"/>
      <c r="L70" s="2" t="inlineStr">
        <is>
          <t>as_reported</t>
        </is>
      </c>
      <c r="M70" s="2" t="inlineStr">
        <is>
          <t>direct_exclusive</t>
        </is>
      </c>
      <c r="N70" s="2" t="n">
        <v>90</v>
      </c>
      <c r="O70" s="2" t="inlineStr">
        <is>
          <t>normalized_exact_then_regex</t>
        </is>
      </c>
      <c r="P70" s="3" t="inlineStr">
        <is>
          <t>extract</t>
        </is>
      </c>
      <c r="Q70" s="2" t="inlineStr">
        <is>
          <t>currency_amount</t>
        </is>
      </c>
      <c r="R70" s="2" t="inlineStr">
        <is>
          <t>period_end</t>
        </is>
      </c>
      <c r="S70" s="2" t="inlineStr">
        <is>
          <t>allowed_with_provenance</t>
        </is>
      </c>
      <c r="T70" s="2" t="b">
        <v>0</v>
      </c>
      <c r="U70" s="2" t="b">
        <v>0</v>
      </c>
      <c r="V70" s="2" t="inlineStr"/>
      <c r="W70" s="2" t="inlineStr"/>
      <c r="X70" s="2" t="inlineStr">
        <is>
          <t>Decompose only from explicit face or note evidence; never fabricate a split.</t>
        </is>
      </c>
      <c r="Y70" s="2" t="inlineStr">
        <is>
          <t>Aggregate only mutually exclusive facts with identical period, scope, currency and unit.</t>
        </is>
      </c>
      <c r="Z70" s="2" t="inlineStr">
        <is>
          <t>Bind only to Balance Sheet / bs_nca.</t>
        </is>
      </c>
      <c r="AA70" s="2" t="inlineStr"/>
      <c r="AB70" s="2" t="b">
        <v>1</v>
      </c>
      <c r="AC70" s="2" t="inlineStr"/>
      <c r="AD70" s="2" t="inlineStr">
        <is>
          <t>Exact field from Balance Sheet!A55; value cell B55.</t>
        </is>
      </c>
      <c r="AE70" s="2" t="inlineStr">
        <is>
          <t>Notes may support direct extraction or decomposition with provenance. Formula outputs must be derived only from template dependencies.</t>
        </is>
      </c>
      <c r="AF70" s="2" t="inlineStr">
        <is>
          <t>{"mode": "no_balancing_plug", "negative_result": "review"}</t>
        </is>
      </c>
      <c r="AG70" s="2" t="inlineStr">
        <is>
          <t>[]</t>
        </is>
      </c>
      <c r="AH70" s="2" t="inlineStr">
        <is>
          <t>Other Receivables(LTP)</t>
        </is>
      </c>
      <c r="AI70" s="2" t="inlineStr"/>
      <c r="AJ70" s="2" t="inlineStr">
        <is>
          <t>{"template_sheet": "Balance Sheet", "template_row": 55, "template_cell": "B55", "template_value_or_formula": 42, "calculation_type": "reported_input", "dependencies": [], "source_template": "Copy of Output_CSV Template.xlsx"}</t>
        </is>
      </c>
    </row>
    <row r="71">
      <c r="A71" s="2" t="inlineStr">
        <is>
          <t>bs_nca__prepaid_land_lease_payments_ltp</t>
        </is>
      </c>
      <c r="B71" s="2" t="inlineStr">
        <is>
          <t>Prepaid land lease payments(LTP)</t>
        </is>
      </c>
      <c r="C71" s="2" t="inlineStr">
        <is>
          <t>bs_nca</t>
        </is>
      </c>
      <c r="D71" s="2" t="inlineStr">
        <is>
          <t>Extract the reported value for 'Prepaid land lease payments(LTP)' from the stated section. Do not calculate or replace it from other rows, because the revised template does not designate this field as formula-driven.</t>
        </is>
      </c>
      <c r="E71" s="2" t="inlineStr">
        <is>
          <t>Prepaid land lease payments(LTP)</t>
        </is>
      </c>
      <c r="F71" s="2" t="inlineStr">
        <is>
          <t>Prepaid land lease payments(LTP)</t>
        </is>
      </c>
      <c r="G71" s="2" t="inlineStr">
        <is>
          <t>^Prepaid\s+land\s+lease\s+payments\(LTP\)$</t>
        </is>
      </c>
      <c r="H71" s="2" t="inlineStr"/>
      <c r="I71" s="2" t="inlineStr">
        <is>
          <t>Amounts or disclosures explicitly reported for Prepaid land lease payments(LTP) in Balance Sheet / bs_nca.</t>
        </is>
      </c>
      <c r="J71" s="2" t="inlineStr">
        <is>
          <t>Do not substitute another section, period, entity scope, currency or unit; do not double count a parent and its children.</t>
        </is>
      </c>
      <c r="K71" s="2" t="inlineStr"/>
      <c r="L71" s="2" t="inlineStr">
        <is>
          <t>as_reported</t>
        </is>
      </c>
      <c r="M71" s="2" t="inlineStr">
        <is>
          <t>direct_exclusive</t>
        </is>
      </c>
      <c r="N71" s="2" t="n">
        <v>90</v>
      </c>
      <c r="O71" s="2" t="inlineStr">
        <is>
          <t>normalized_exact_then_regex</t>
        </is>
      </c>
      <c r="P71" s="3" t="inlineStr">
        <is>
          <t>extract</t>
        </is>
      </c>
      <c r="Q71" s="2" t="inlineStr">
        <is>
          <t>currency_amount</t>
        </is>
      </c>
      <c r="R71" s="2" t="inlineStr">
        <is>
          <t>period_end</t>
        </is>
      </c>
      <c r="S71" s="2" t="inlineStr">
        <is>
          <t>allowed_with_provenance</t>
        </is>
      </c>
      <c r="T71" s="2" t="b">
        <v>0</v>
      </c>
      <c r="U71" s="2" t="b">
        <v>0</v>
      </c>
      <c r="V71" s="2" t="inlineStr"/>
      <c r="W71" s="2" t="inlineStr"/>
      <c r="X71" s="2" t="inlineStr">
        <is>
          <t>Decompose only from explicit face or note evidence; never fabricate a split.</t>
        </is>
      </c>
      <c r="Y71" s="2" t="inlineStr">
        <is>
          <t>Aggregate only mutually exclusive facts with identical period, scope, currency and unit.</t>
        </is>
      </c>
      <c r="Z71" s="2" t="inlineStr">
        <is>
          <t>Bind only to Balance Sheet / bs_nca.</t>
        </is>
      </c>
      <c r="AA71" s="2" t="inlineStr"/>
      <c r="AB71" s="2" t="b">
        <v>1</v>
      </c>
      <c r="AC71" s="2" t="inlineStr"/>
      <c r="AD71" s="2" t="inlineStr">
        <is>
          <t>Exact field from Balance Sheet!A56; value cell B56.</t>
        </is>
      </c>
      <c r="AE71" s="2" t="inlineStr">
        <is>
          <t>Notes may support direct extraction or decomposition with provenance. Formula outputs must be derived only from template dependencies.</t>
        </is>
      </c>
      <c r="AF71" s="2" t="inlineStr"/>
      <c r="AG71" s="2" t="inlineStr">
        <is>
          <t>[]</t>
        </is>
      </c>
      <c r="AH71" s="2" t="inlineStr">
        <is>
          <t>Prepaid land lease payments(LTP)</t>
        </is>
      </c>
      <c r="AI71" s="2" t="inlineStr"/>
      <c r="AJ71" s="2" t="inlineStr">
        <is>
          <t>{"template_sheet": "Balance Sheet", "template_row": 56, "template_cell": "B56", "template_value_or_formula": 16, "calculation_type": "reported_input", "dependencies": [], "source_template": "Copy of Output_CSV Template.xlsx"}</t>
        </is>
      </c>
    </row>
    <row r="72">
      <c r="A72" s="2" t="inlineStr">
        <is>
          <t>bs_nca__prepayments_ltp</t>
        </is>
      </c>
      <c r="B72" s="2" t="inlineStr">
        <is>
          <t>Prepayments(LTP)</t>
        </is>
      </c>
      <c r="C72" s="2" t="inlineStr">
        <is>
          <t>bs_nca</t>
        </is>
      </c>
      <c r="D72" s="2" t="inlineStr">
        <is>
          <t>Extract the reported value for 'Prepayments(LTP)' from the stated section. Do not calculate or replace it from other rows, because the revised template does not designate this field as formula-driven.</t>
        </is>
      </c>
      <c r="E72" s="2" t="inlineStr">
        <is>
          <t>Prepayments(LTP)</t>
        </is>
      </c>
      <c r="F72" s="2" t="inlineStr">
        <is>
          <t>Prepayments(LTP)</t>
        </is>
      </c>
      <c r="G72" s="2" t="inlineStr">
        <is>
          <t>^Prepayments\(LTP\)$</t>
        </is>
      </c>
      <c r="H72" s="2" t="inlineStr"/>
      <c r="I72" s="2" t="inlineStr">
        <is>
          <t>Amounts or disclosures explicitly reported for Prepayments(LTP) in Balance Sheet / bs_nca.</t>
        </is>
      </c>
      <c r="J72" s="2" t="inlineStr">
        <is>
          <t>Do not substitute another section, period, entity scope, currency or unit; do not double count a parent and its children.</t>
        </is>
      </c>
      <c r="K72" s="2" t="inlineStr"/>
      <c r="L72" s="2" t="inlineStr">
        <is>
          <t>as_reported</t>
        </is>
      </c>
      <c r="M72" s="2" t="inlineStr">
        <is>
          <t>direct_exclusive</t>
        </is>
      </c>
      <c r="N72" s="2" t="n">
        <v>90</v>
      </c>
      <c r="O72" s="2" t="inlineStr">
        <is>
          <t>normalized_exact_then_regex</t>
        </is>
      </c>
      <c r="P72" s="3" t="inlineStr">
        <is>
          <t>extract</t>
        </is>
      </c>
      <c r="Q72" s="2" t="inlineStr">
        <is>
          <t>currency_amount</t>
        </is>
      </c>
      <c r="R72" s="2" t="inlineStr">
        <is>
          <t>period_end</t>
        </is>
      </c>
      <c r="S72" s="2" t="inlineStr">
        <is>
          <t>allowed_with_provenance</t>
        </is>
      </c>
      <c r="T72" s="2" t="b">
        <v>0</v>
      </c>
      <c r="U72" s="2" t="b">
        <v>0</v>
      </c>
      <c r="V72" s="2" t="inlineStr"/>
      <c r="W72" s="2" t="inlineStr"/>
      <c r="X72" s="2" t="inlineStr">
        <is>
          <t>Decompose only from explicit face or note evidence; never fabricate a split.</t>
        </is>
      </c>
      <c r="Y72" s="2" t="inlineStr">
        <is>
          <t>Aggregate only mutually exclusive facts with identical period, scope, currency and unit.</t>
        </is>
      </c>
      <c r="Z72" s="2" t="inlineStr">
        <is>
          <t>Bind only to Balance Sheet / bs_nca.</t>
        </is>
      </c>
      <c r="AA72" s="2" t="inlineStr"/>
      <c r="AB72" s="2" t="b">
        <v>1</v>
      </c>
      <c r="AC72" s="2" t="inlineStr"/>
      <c r="AD72" s="2" t="inlineStr">
        <is>
          <t>Exact field from Balance Sheet!A57; value cell B57.</t>
        </is>
      </c>
      <c r="AE72" s="2" t="inlineStr">
        <is>
          <t>Notes may support direct extraction or decomposition with provenance. Formula outputs must be derived only from template dependencies.</t>
        </is>
      </c>
      <c r="AF72" s="2" t="inlineStr"/>
      <c r="AG72" s="2" t="inlineStr">
        <is>
          <t>[]</t>
        </is>
      </c>
      <c r="AH72" s="2" t="inlineStr">
        <is>
          <t>Prepayments(LTP)</t>
        </is>
      </c>
      <c r="AI72" s="2" t="inlineStr"/>
      <c r="AJ72" s="2" t="inlineStr">
        <is>
          <t>{"template_sheet": "Balance Sheet", "template_row": 57, "template_cell": "B57", "template_value_or_formula": 33, "calculation_type": "reported_input", "dependencies": [], "source_template": "Copy of Output_CSV Template.xlsx"}</t>
        </is>
      </c>
    </row>
    <row r="73">
      <c r="A73" s="2" t="inlineStr">
        <is>
          <t>bs_nca__restricted_cash</t>
        </is>
      </c>
      <c r="B73" s="2" t="inlineStr">
        <is>
          <t>Restricted Cash</t>
        </is>
      </c>
      <c r="C73" s="2" t="inlineStr">
        <is>
          <t>bs_nca</t>
        </is>
      </c>
      <c r="D73" s="2" t="inlineStr">
        <is>
          <t>Extract the reported value for 'Restricted Cash' from the stated section. Do not calculate or replace it from other rows, because the revised template does not designate this field as formula-driven.</t>
        </is>
      </c>
      <c r="E73" s="2" t="inlineStr">
        <is>
          <t>Restricted Cash</t>
        </is>
      </c>
      <c r="F73" s="2" t="inlineStr">
        <is>
          <t>Restricted Cash</t>
        </is>
      </c>
      <c r="G73" s="2" t="inlineStr">
        <is>
          <t>^Restricted\s+Cash$</t>
        </is>
      </c>
      <c r="H73" s="2" t="inlineStr"/>
      <c r="I73" s="2" t="inlineStr">
        <is>
          <t>Amounts or disclosures explicitly reported for Restricted Cash in Balance Sheet / bs_nca.</t>
        </is>
      </c>
      <c r="J73" s="2" t="inlineStr">
        <is>
          <t>Do not substitute another section, period, entity scope, currency or unit; do not double count a parent and its children.</t>
        </is>
      </c>
      <c r="K73" s="2" t="inlineStr"/>
      <c r="L73" s="2" t="inlineStr">
        <is>
          <t>as_reported</t>
        </is>
      </c>
      <c r="M73" s="2" t="inlineStr">
        <is>
          <t>direct_exclusive</t>
        </is>
      </c>
      <c r="N73" s="2" t="n">
        <v>90</v>
      </c>
      <c r="O73" s="2" t="inlineStr">
        <is>
          <t>normalized_exact_then_regex</t>
        </is>
      </c>
      <c r="P73" s="3" t="inlineStr">
        <is>
          <t>extract</t>
        </is>
      </c>
      <c r="Q73" s="2" t="inlineStr">
        <is>
          <t>currency_amount</t>
        </is>
      </c>
      <c r="R73" s="2" t="inlineStr">
        <is>
          <t>period_end</t>
        </is>
      </c>
      <c r="S73" s="2" t="inlineStr">
        <is>
          <t>allowed_with_provenance</t>
        </is>
      </c>
      <c r="T73" s="2" t="b">
        <v>0</v>
      </c>
      <c r="U73" s="2" t="b">
        <v>0</v>
      </c>
      <c r="V73" s="2" t="inlineStr"/>
      <c r="W73" s="2" t="inlineStr"/>
      <c r="X73" s="2" t="inlineStr">
        <is>
          <t>Decompose only from explicit face or note evidence; never fabricate a split.</t>
        </is>
      </c>
      <c r="Y73" s="2" t="inlineStr">
        <is>
          <t>Aggregate only mutually exclusive facts with identical period, scope, currency and unit.</t>
        </is>
      </c>
      <c r="Z73" s="2" t="inlineStr">
        <is>
          <t>Bind only to Balance Sheet / bs_nca.</t>
        </is>
      </c>
      <c r="AA73" s="2" t="inlineStr"/>
      <c r="AB73" s="2" t="b">
        <v>1</v>
      </c>
      <c r="AC73" s="2" t="inlineStr"/>
      <c r="AD73" s="2" t="inlineStr">
        <is>
          <t>Exact field from Balance Sheet!A58; value cell B58.</t>
        </is>
      </c>
      <c r="AE73" s="2" t="inlineStr">
        <is>
          <t>Notes may support direct extraction or decomposition with provenance. Formula outputs must be derived only from template dependencies.</t>
        </is>
      </c>
      <c r="AF73" s="2" t="inlineStr"/>
      <c r="AG73" s="2" t="inlineStr">
        <is>
          <t>[]</t>
        </is>
      </c>
      <c r="AH73" s="2" t="inlineStr">
        <is>
          <t>Restricted Cash</t>
        </is>
      </c>
      <c r="AI73" s="2" t="inlineStr"/>
      <c r="AJ73" s="2" t="inlineStr">
        <is>
          <t>{"template_sheet": "Balance Sheet", "template_row": 58, "template_cell": "B58", "template_value_or_formula": 50, "calculation_type": "reported_input", "dependencies": [], "source_template": "Copy of Output_CSV Template.xlsx"}</t>
        </is>
      </c>
    </row>
    <row r="74">
      <c r="A74" s="2" t="inlineStr">
        <is>
          <t>bs_nca__total_non_current_assets</t>
        </is>
      </c>
      <c r="B74" s="2" t="inlineStr">
        <is>
          <t>Total Non-Current Assets</t>
        </is>
      </c>
      <c r="C74" s="2" t="inlineStr">
        <is>
          <t>bs_nca</t>
        </is>
      </c>
      <c r="D74" s="2" t="inlineStr">
        <is>
          <t>Calculated target using the exact formula retained in the supplied template: ={bs_nca__net_fixed_assets}+{bs_nca__net_intangibles}+SUM({bs_nca__investment_property_net}:{bs_nca__restricted_cash})</t>
        </is>
      </c>
      <c r="E74" s="2" t="inlineStr">
        <is>
          <t>Total Non-Current Assets</t>
        </is>
      </c>
      <c r="F74" s="2" t="inlineStr">
        <is>
          <t>Total Non-Current Assets</t>
        </is>
      </c>
      <c r="G74" s="2" t="inlineStr">
        <is>
          <t>^Total\s+Non[\-–—]?Current\s+Assets$</t>
        </is>
      </c>
      <c r="H74" s="2" t="inlineStr"/>
      <c r="I74" s="2" t="inlineStr">
        <is>
          <t>Amounts or disclosures explicitly reported for Total Non-Current Assets in Balance Sheet / bs_nca.</t>
        </is>
      </c>
      <c r="J74" s="2" t="inlineStr">
        <is>
          <t>Do not substitute another section, period, entity scope, currency or unit; do not double count a parent and its children.</t>
        </is>
      </c>
      <c r="K74" s="2" t="inlineStr"/>
      <c r="L74" s="2" t="inlineStr">
        <is>
          <t>as_reported</t>
        </is>
      </c>
      <c r="M74" s="2" t="inlineStr">
        <is>
          <t>derived_total</t>
        </is>
      </c>
      <c r="N74" s="2" t="n">
        <v>100</v>
      </c>
      <c r="O74" s="2" t="inlineStr">
        <is>
          <t>disabled</t>
        </is>
      </c>
      <c r="P74" s="4" t="inlineStr">
        <is>
          <t>derive</t>
        </is>
      </c>
      <c r="Q74" s="2" t="inlineStr">
        <is>
          <t>currency_amount</t>
        </is>
      </c>
      <c r="R74" s="2" t="inlineStr">
        <is>
          <t>period_end</t>
        </is>
      </c>
      <c r="S74" s="2" t="inlineStr">
        <is>
          <t>allowed_with_provenance</t>
        </is>
      </c>
      <c r="T74" s="2" t="b">
        <v>0</v>
      </c>
      <c r="U74" s="2" t="b">
        <v>1</v>
      </c>
      <c r="V74" s="2" t="inlineStr">
        <is>
          <t>bs_nca__net_fixed_assets | bs_nca__net_intangibles | bs_nca__investment_property_net | bs_nca__restricted_cash</t>
        </is>
      </c>
      <c r="W74" s="2">
        <f>{bs_nca__net_fixed_assets}+{bs_nca__net_intangibles}+SUM({bs_nca__investment_property_net}:{bs_nca__restricted_cash})</f>
        <v/>
      </c>
      <c r="X74" s="2" t="inlineStr">
        <is>
          <t>Use only dependencies stated in the formula; never fabricate missing components.</t>
        </is>
      </c>
      <c r="Y74" s="2" t="inlineStr">
        <is>
          <t>Calculate only after every dependency is populated and validated.</t>
        </is>
      </c>
      <c r="Z74" s="2" t="inlineStr">
        <is>
          <t>Bind only to Balance Sheet / bs_nca.</t>
        </is>
      </c>
      <c r="AA74" s="2" t="inlineStr"/>
      <c r="AB74" s="2" t="b">
        <v>0</v>
      </c>
      <c r="AC74" s="2" t="inlineStr">
        <is>
          <t>bs_nca__net_fixed_assets | bs_nca__net_intangibles | bs_nca__investment_property_net | bs_nca__restricted_cash</t>
        </is>
      </c>
      <c r="AD74" s="2" t="inlineStr">
        <is>
          <t>Exact field from Balance Sheet!A59; value cell B59.</t>
        </is>
      </c>
      <c r="AE74" s="2" t="inlineStr">
        <is>
          <t>Notes may support direct extraction or decomposition with provenance. Formula outputs must be derived only from template dependencies.</t>
        </is>
      </c>
      <c r="AF74" s="2" t="inlineStr"/>
      <c r="AG74" s="2" t="inlineStr">
        <is>
          <t>[]</t>
        </is>
      </c>
      <c r="AH74" s="2" t="inlineStr">
        <is>
          <t>Total Non-Current Assets</t>
        </is>
      </c>
      <c r="AI74" s="2" t="inlineStr"/>
      <c r="AJ74" s="2" t="inlineStr">
        <is>
          <t>{"template_sheet": "Balance Sheet", "template_row": 59, "template_cell": "B59", "template_value_or_formula": "=B16+B26+SUM(B27:B58)", "calculation_type": "formula", "dependencies": ["bs_nca__net_fixed_assets", "bs_nca__net_intangibles", "bs_nca__investment_property_net", "bs_nca__restricted_cash"], "source_template": "Copy of Output_CSV Template.xlsx"}</t>
        </is>
      </c>
    </row>
    <row r="75">
      <c r="A75" s="2" t="inlineStr">
        <is>
          <t>bs_ca__operating_lease_receivables</t>
        </is>
      </c>
      <c r="B75" s="2" t="inlineStr">
        <is>
          <t>Operating Lease Receivables</t>
        </is>
      </c>
      <c r="C75" s="2" t="inlineStr">
        <is>
          <t>bs_ca</t>
        </is>
      </c>
      <c r="D75" s="2" t="inlineStr">
        <is>
          <t>Extract the reported value for 'Operating Lease Receivables' from the stated section. Do not calculate or replace it from other rows, because the revised template does not designate this field as formula-driven.</t>
        </is>
      </c>
      <c r="E75" s="2" t="inlineStr">
        <is>
          <t>Operating Lease Receivables</t>
        </is>
      </c>
      <c r="F75" s="2" t="inlineStr">
        <is>
          <t>Operating Lease Receivables</t>
        </is>
      </c>
      <c r="G75" s="2" t="inlineStr">
        <is>
          <t>^Operating\s+Lease\s+Receivables$</t>
        </is>
      </c>
      <c r="H75" s="2" t="inlineStr"/>
      <c r="I75" s="2" t="inlineStr">
        <is>
          <t>Amounts or disclosures explicitly reported for Operating Lease Receivables in Balance Sheet / bs_ca.</t>
        </is>
      </c>
      <c r="J75" s="2" t="inlineStr">
        <is>
          <t>Do not substitute another section, period, entity scope, currency or unit; do not double count a parent and its children.</t>
        </is>
      </c>
      <c r="K75" s="2" t="inlineStr"/>
      <c r="L75" s="2" t="inlineStr">
        <is>
          <t>as_reported</t>
        </is>
      </c>
      <c r="M75" s="2" t="inlineStr">
        <is>
          <t>direct_exclusive</t>
        </is>
      </c>
      <c r="N75" s="2" t="n">
        <v>90</v>
      </c>
      <c r="O75" s="2" t="inlineStr">
        <is>
          <t>normalized_exact_then_regex</t>
        </is>
      </c>
      <c r="P75" s="3" t="inlineStr">
        <is>
          <t>extract</t>
        </is>
      </c>
      <c r="Q75" s="2" t="inlineStr">
        <is>
          <t>currency_amount</t>
        </is>
      </c>
      <c r="R75" s="2" t="inlineStr">
        <is>
          <t>period_end</t>
        </is>
      </c>
      <c r="S75" s="2" t="inlineStr">
        <is>
          <t>allowed_with_provenance</t>
        </is>
      </c>
      <c r="T75" s="2" t="b">
        <v>0</v>
      </c>
      <c r="U75" s="2" t="b">
        <v>0</v>
      </c>
      <c r="V75" s="2" t="inlineStr"/>
      <c r="W75" s="2" t="inlineStr"/>
      <c r="X75" s="2" t="inlineStr">
        <is>
          <t>Decompose only from explicit face or note evidence; never fabricate a split.</t>
        </is>
      </c>
      <c r="Y75" s="2" t="inlineStr">
        <is>
          <t>Aggregate only mutually exclusive facts with identical period, scope, currency and unit.</t>
        </is>
      </c>
      <c r="Z75" s="2" t="inlineStr">
        <is>
          <t>Bind only to Balance Sheet / bs_ca.</t>
        </is>
      </c>
      <c r="AA75" s="2" t="inlineStr"/>
      <c r="AB75" s="2" t="b">
        <v>1</v>
      </c>
      <c r="AC75" s="2" t="inlineStr"/>
      <c r="AD75" s="2" t="inlineStr">
        <is>
          <t>Exact field from Balance Sheet!A61; value cell B61.</t>
        </is>
      </c>
      <c r="AE75" s="2" t="inlineStr">
        <is>
          <t>Notes may support direct extraction or decomposition with provenance. Formula outputs must be derived only from template dependencies.</t>
        </is>
      </c>
      <c r="AF75" s="2" t="inlineStr"/>
      <c r="AG75" s="2" t="inlineStr">
        <is>
          <t>[]</t>
        </is>
      </c>
      <c r="AH75" s="2" t="inlineStr">
        <is>
          <t>Operating Lease Receivables</t>
        </is>
      </c>
      <c r="AI75" s="2" t="inlineStr"/>
      <c r="AJ75" s="2" t="inlineStr">
        <is>
          <t>{"template_sheet": "Balance Sheet", "template_row": 61, "template_cell": "B61", "template_value_or_formula": 15, "calculation_type": "reported_input", "dependencies": [], "source_template": "Copy of Output_CSV Template.xlsx"}</t>
        </is>
      </c>
    </row>
    <row r="76">
      <c r="A76" s="2" t="inlineStr">
        <is>
          <t>bs_ca__raw_materials</t>
        </is>
      </c>
      <c r="B76" s="2" t="inlineStr">
        <is>
          <t>Raw materials</t>
        </is>
      </c>
      <c r="C76" s="2" t="inlineStr">
        <is>
          <t>bs_ca</t>
        </is>
      </c>
      <c r="D76" s="2" t="inlineStr">
        <is>
          <t>Extract the reported value for 'Raw materials' from the stated section. Do not calculate or replace it from other rows, because the revised template does not designate this field as formula-driven.</t>
        </is>
      </c>
      <c r="E76" s="2" t="inlineStr">
        <is>
          <t>Raw materials</t>
        </is>
      </c>
      <c r="F76" s="2" t="inlineStr">
        <is>
          <t>Raw materials</t>
        </is>
      </c>
      <c r="G76" s="2" t="inlineStr">
        <is>
          <t>^Raw\s+materials$</t>
        </is>
      </c>
      <c r="H76" s="2" t="inlineStr"/>
      <c r="I76" s="2" t="inlineStr">
        <is>
          <t>Amounts or disclosures explicitly reported for Raw materials in Balance Sheet / bs_ca.</t>
        </is>
      </c>
      <c r="J76" s="2" t="inlineStr">
        <is>
          <t>Do not substitute another section, period, entity scope, currency or unit; do not double count a parent and its children.</t>
        </is>
      </c>
      <c r="K76" s="2" t="inlineStr"/>
      <c r="L76" s="2" t="inlineStr">
        <is>
          <t>as_reported</t>
        </is>
      </c>
      <c r="M76" s="2" t="inlineStr">
        <is>
          <t>direct_exclusive</t>
        </is>
      </c>
      <c r="N76" s="2" t="n">
        <v>90</v>
      </c>
      <c r="O76" s="2" t="inlineStr">
        <is>
          <t>normalized_exact_then_regex</t>
        </is>
      </c>
      <c r="P76" s="3" t="inlineStr">
        <is>
          <t>extract</t>
        </is>
      </c>
      <c r="Q76" s="2" t="inlineStr">
        <is>
          <t>currency_amount</t>
        </is>
      </c>
      <c r="R76" s="2" t="inlineStr">
        <is>
          <t>period_end</t>
        </is>
      </c>
      <c r="S76" s="2" t="inlineStr">
        <is>
          <t>allowed_with_provenance</t>
        </is>
      </c>
      <c r="T76" s="2" t="b">
        <v>0</v>
      </c>
      <c r="U76" s="2" t="b">
        <v>0</v>
      </c>
      <c r="V76" s="2" t="inlineStr"/>
      <c r="W76" s="2" t="inlineStr"/>
      <c r="X76" s="2" t="inlineStr">
        <is>
          <t>Decompose only from explicit face or note evidence; never fabricate a split.</t>
        </is>
      </c>
      <c r="Y76" s="2" t="inlineStr">
        <is>
          <t>Aggregate only mutually exclusive facts with identical period, scope, currency and unit.</t>
        </is>
      </c>
      <c r="Z76" s="2" t="inlineStr">
        <is>
          <t>Bind only to Balance Sheet / bs_ca.</t>
        </is>
      </c>
      <c r="AA76" s="2" t="inlineStr"/>
      <c r="AB76" s="2" t="b">
        <v>1</v>
      </c>
      <c r="AC76" s="2" t="inlineStr"/>
      <c r="AD76" s="2" t="inlineStr">
        <is>
          <t>Exact field from Balance Sheet!A62; value cell B62.</t>
        </is>
      </c>
      <c r="AE76" s="2" t="inlineStr">
        <is>
          <t>Notes may support direct extraction or decomposition with provenance. Formula outputs must be derived only from template dependencies.</t>
        </is>
      </c>
      <c r="AF76" s="2" t="inlineStr"/>
      <c r="AG76" s="2" t="inlineStr">
        <is>
          <t>[]</t>
        </is>
      </c>
      <c r="AH76" s="2" t="inlineStr">
        <is>
          <t>Raw materials</t>
        </is>
      </c>
      <c r="AI76" s="2" t="inlineStr"/>
      <c r="AJ76" s="2" t="inlineStr">
        <is>
          <t>{"template_sheet": "Balance Sheet", "template_row": 62, "template_cell": "B62", "template_value_or_formula": 32, "calculation_type": "reported_input", "dependencies": [], "source_template": "Copy of Output_CSV Template.xlsx"}</t>
        </is>
      </c>
    </row>
    <row r="77">
      <c r="A77" s="2" t="inlineStr">
        <is>
          <t>bs_ca__wip</t>
        </is>
      </c>
      <c r="B77" s="2" t="inlineStr">
        <is>
          <t>WIP</t>
        </is>
      </c>
      <c r="C77" s="2" t="inlineStr">
        <is>
          <t>bs_ca</t>
        </is>
      </c>
      <c r="D77" s="2" t="inlineStr">
        <is>
          <t>Extract the reported value for 'WIP' from the stated section. Do not calculate or replace it from other rows, because the revised template does not designate this field as formula-driven.</t>
        </is>
      </c>
      <c r="E77" s="2" t="inlineStr">
        <is>
          <t>WIP</t>
        </is>
      </c>
      <c r="F77" s="2" t="inlineStr">
        <is>
          <t>WIP</t>
        </is>
      </c>
      <c r="G77" s="2" t="inlineStr">
        <is>
          <t>^WIP$</t>
        </is>
      </c>
      <c r="H77" s="2" t="inlineStr"/>
      <c r="I77" s="2" t="inlineStr">
        <is>
          <t>Amounts or disclosures explicitly reported for WIP in Balance Sheet / bs_ca.</t>
        </is>
      </c>
      <c r="J77" s="2" t="inlineStr">
        <is>
          <t>Do not substitute another section, period, entity scope, currency or unit; do not double count a parent and its children.</t>
        </is>
      </c>
      <c r="K77" s="2" t="inlineStr"/>
      <c r="L77" s="2" t="inlineStr">
        <is>
          <t>as_reported</t>
        </is>
      </c>
      <c r="M77" s="2" t="inlineStr">
        <is>
          <t>direct_exclusive</t>
        </is>
      </c>
      <c r="N77" s="2" t="n">
        <v>90</v>
      </c>
      <c r="O77" s="2" t="inlineStr">
        <is>
          <t>normalized_exact_then_regex</t>
        </is>
      </c>
      <c r="P77" s="3" t="inlineStr">
        <is>
          <t>extract</t>
        </is>
      </c>
      <c r="Q77" s="2" t="inlineStr">
        <is>
          <t>currency_amount</t>
        </is>
      </c>
      <c r="R77" s="2" t="inlineStr">
        <is>
          <t>period_end</t>
        </is>
      </c>
      <c r="S77" s="2" t="inlineStr">
        <is>
          <t>allowed_with_provenance</t>
        </is>
      </c>
      <c r="T77" s="2" t="b">
        <v>0</v>
      </c>
      <c r="U77" s="2" t="b">
        <v>0</v>
      </c>
      <c r="V77" s="2" t="inlineStr"/>
      <c r="W77" s="2" t="inlineStr"/>
      <c r="X77" s="2" t="inlineStr">
        <is>
          <t>Decompose only from explicit face or note evidence; never fabricate a split.</t>
        </is>
      </c>
      <c r="Y77" s="2" t="inlineStr">
        <is>
          <t>Aggregate only mutually exclusive facts with identical period, scope, currency and unit.</t>
        </is>
      </c>
      <c r="Z77" s="2" t="inlineStr">
        <is>
          <t>Bind only to Balance Sheet / bs_ca.</t>
        </is>
      </c>
      <c r="AA77" s="2" t="inlineStr"/>
      <c r="AB77" s="2" t="b">
        <v>1</v>
      </c>
      <c r="AC77" s="2" t="inlineStr"/>
      <c r="AD77" s="2" t="inlineStr">
        <is>
          <t>Exact field from Balance Sheet!A63; value cell B63.</t>
        </is>
      </c>
      <c r="AE77" s="2" t="inlineStr">
        <is>
          <t>Notes may support direct extraction or decomposition with provenance. Formula outputs must be derived only from template dependencies.</t>
        </is>
      </c>
      <c r="AF77" s="2" t="inlineStr"/>
      <c r="AG77" s="2" t="inlineStr">
        <is>
          <t>[]</t>
        </is>
      </c>
      <c r="AH77" s="2" t="inlineStr">
        <is>
          <t>WIP</t>
        </is>
      </c>
      <c r="AI77" s="2" t="inlineStr"/>
      <c r="AJ77" s="2" t="inlineStr">
        <is>
          <t>{"template_sheet": "Balance Sheet", "template_row": 63, "template_cell": "B63", "template_value_or_formula": 49, "calculation_type": "reported_input", "dependencies": [], "source_template": "Copy of Output_CSV Template.xlsx"}</t>
        </is>
      </c>
    </row>
    <row r="78">
      <c r="A78" s="2" t="inlineStr">
        <is>
          <t>bs_ca__finished_goods</t>
        </is>
      </c>
      <c r="B78" s="2" t="inlineStr">
        <is>
          <t>Finished goods</t>
        </is>
      </c>
      <c r="C78" s="2" t="inlineStr">
        <is>
          <t>bs_ca</t>
        </is>
      </c>
      <c r="D78" s="2" t="inlineStr">
        <is>
          <t>Extract the reported value for 'Finished goods' from the stated section. Do not calculate or replace it from other rows, because the revised template does not designate this field as formula-driven.</t>
        </is>
      </c>
      <c r="E78" s="2" t="inlineStr">
        <is>
          <t>Finished goods</t>
        </is>
      </c>
      <c r="F78" s="2" t="inlineStr">
        <is>
          <t>Finished goods</t>
        </is>
      </c>
      <c r="G78" s="2" t="inlineStr">
        <is>
          <t>^Finished\s+goods$</t>
        </is>
      </c>
      <c r="H78" s="2" t="inlineStr"/>
      <c r="I78" s="2" t="inlineStr">
        <is>
          <t>Amounts or disclosures explicitly reported for Finished goods in Balance Sheet / bs_ca.</t>
        </is>
      </c>
      <c r="J78" s="2" t="inlineStr">
        <is>
          <t>Do not substitute another section, period, entity scope, currency or unit; do not double count a parent and its children.</t>
        </is>
      </c>
      <c r="K78" s="2" t="inlineStr"/>
      <c r="L78" s="2" t="inlineStr">
        <is>
          <t>as_reported</t>
        </is>
      </c>
      <c r="M78" s="2" t="inlineStr">
        <is>
          <t>direct_exclusive</t>
        </is>
      </c>
      <c r="N78" s="2" t="n">
        <v>90</v>
      </c>
      <c r="O78" s="2" t="inlineStr">
        <is>
          <t>normalized_exact_then_regex</t>
        </is>
      </c>
      <c r="P78" s="3" t="inlineStr">
        <is>
          <t>extract</t>
        </is>
      </c>
      <c r="Q78" s="2" t="inlineStr">
        <is>
          <t>currency_amount</t>
        </is>
      </c>
      <c r="R78" s="2" t="inlineStr">
        <is>
          <t>period_end</t>
        </is>
      </c>
      <c r="S78" s="2" t="inlineStr">
        <is>
          <t>allowed_with_provenance</t>
        </is>
      </c>
      <c r="T78" s="2" t="b">
        <v>0</v>
      </c>
      <c r="U78" s="2" t="b">
        <v>0</v>
      </c>
      <c r="V78" s="2" t="inlineStr"/>
      <c r="W78" s="2" t="inlineStr"/>
      <c r="X78" s="2" t="inlineStr">
        <is>
          <t>Decompose only from explicit face or note evidence; never fabricate a split.</t>
        </is>
      </c>
      <c r="Y78" s="2" t="inlineStr">
        <is>
          <t>Aggregate only mutually exclusive facts with identical period, scope, currency and unit.</t>
        </is>
      </c>
      <c r="Z78" s="2" t="inlineStr">
        <is>
          <t>Bind only to Balance Sheet / bs_ca.</t>
        </is>
      </c>
      <c r="AA78" s="2" t="inlineStr"/>
      <c r="AB78" s="2" t="b">
        <v>1</v>
      </c>
      <c r="AC78" s="2" t="inlineStr"/>
      <c r="AD78" s="2" t="inlineStr">
        <is>
          <t>Exact field from Balance Sheet!A64; value cell B64.</t>
        </is>
      </c>
      <c r="AE78" s="2" t="inlineStr">
        <is>
          <t>Notes may support direct extraction or decomposition with provenance. Formula outputs must be derived only from template dependencies.</t>
        </is>
      </c>
      <c r="AF78" s="2" t="inlineStr"/>
      <c r="AG78" s="2" t="inlineStr">
        <is>
          <t>[]</t>
        </is>
      </c>
      <c r="AH78" s="2" t="inlineStr">
        <is>
          <t>Finished goods</t>
        </is>
      </c>
      <c r="AI78" s="2" t="inlineStr"/>
      <c r="AJ78" s="2" t="inlineStr">
        <is>
          <t>{"template_sheet": "Balance Sheet", "template_row": 64, "template_cell": "B64", "template_value_or_formula": 23, "calculation_type": "reported_input", "dependencies": [], "source_template": "Copy of Output_CSV Template.xlsx"}</t>
        </is>
      </c>
    </row>
    <row r="79">
      <c r="A79" s="2" t="inlineStr">
        <is>
          <t>bs_ca__inventories</t>
        </is>
      </c>
      <c r="B79" s="2" t="inlineStr">
        <is>
          <t>Inventories</t>
        </is>
      </c>
      <c r="C79" s="2" t="inlineStr">
        <is>
          <t>bs_ca</t>
        </is>
      </c>
      <c r="D79" s="2" t="inlineStr">
        <is>
          <t>Calculated target using the exact formula retained in the supplied template: =SUM({bs_ca__raw_materials}:{bs_ca__finished_goods})</t>
        </is>
      </c>
      <c r="E79" s="2" t="inlineStr">
        <is>
          <t>Inventories</t>
        </is>
      </c>
      <c r="F79" s="2" t="inlineStr">
        <is>
          <t>Inventories</t>
        </is>
      </c>
      <c r="G79" s="2" t="inlineStr">
        <is>
          <t>^Inventories$</t>
        </is>
      </c>
      <c r="H79" s="2" t="inlineStr"/>
      <c r="I79" s="2" t="inlineStr">
        <is>
          <t>Amounts or disclosures explicitly reported for Inventories in Balance Sheet / bs_ca.</t>
        </is>
      </c>
      <c r="J79" s="2" t="inlineStr">
        <is>
          <t>Do not substitute another section, period, entity scope, currency or unit; do not double count a parent and its children.</t>
        </is>
      </c>
      <c r="K79" s="2" t="inlineStr"/>
      <c r="L79" s="2" t="inlineStr">
        <is>
          <t>as_reported</t>
        </is>
      </c>
      <c r="M79" s="2" t="inlineStr">
        <is>
          <t>derived_total</t>
        </is>
      </c>
      <c r="N79" s="2" t="n">
        <v>100</v>
      </c>
      <c r="O79" s="2" t="inlineStr">
        <is>
          <t>disabled</t>
        </is>
      </c>
      <c r="P79" s="4" t="inlineStr">
        <is>
          <t>derive</t>
        </is>
      </c>
      <c r="Q79" s="2" t="inlineStr">
        <is>
          <t>currency_amount</t>
        </is>
      </c>
      <c r="R79" s="2" t="inlineStr">
        <is>
          <t>period_end</t>
        </is>
      </c>
      <c r="S79" s="2" t="inlineStr">
        <is>
          <t>allowed_with_provenance</t>
        </is>
      </c>
      <c r="T79" s="2" t="b">
        <v>0</v>
      </c>
      <c r="U79" s="2" t="b">
        <v>1</v>
      </c>
      <c r="V79" s="2" t="inlineStr">
        <is>
          <t>bs_ca__raw_materials | bs_ca__finished_goods</t>
        </is>
      </c>
      <c r="W79" s="2">
        <f>SUM({bs_ca__raw_materials}:{bs_ca__finished_goods})</f>
        <v/>
      </c>
      <c r="X79" s="2" t="inlineStr">
        <is>
          <t>Use only dependencies stated in the formula; never fabricate missing components.</t>
        </is>
      </c>
      <c r="Y79" s="2" t="inlineStr">
        <is>
          <t>Calculate only after every dependency is populated and validated.</t>
        </is>
      </c>
      <c r="Z79" s="2" t="inlineStr">
        <is>
          <t>Bind only to Balance Sheet / bs_ca.</t>
        </is>
      </c>
      <c r="AA79" s="2" t="inlineStr"/>
      <c r="AB79" s="2" t="b">
        <v>0</v>
      </c>
      <c r="AC79" s="2" t="inlineStr">
        <is>
          <t>bs_ca__raw_materials | bs_ca__finished_goods</t>
        </is>
      </c>
      <c r="AD79" s="2" t="inlineStr">
        <is>
          <t>Exact field from Balance Sheet!A65; value cell B65.</t>
        </is>
      </c>
      <c r="AE79" s="2" t="inlineStr">
        <is>
          <t>Notes may support direct extraction or decomposition with provenance. Formula outputs must be derived only from template dependencies.</t>
        </is>
      </c>
      <c r="AF79" s="2" t="inlineStr"/>
      <c r="AG79" s="2" t="inlineStr">
        <is>
          <t>[]</t>
        </is>
      </c>
      <c r="AH79" s="2" t="inlineStr">
        <is>
          <t>Inventories</t>
        </is>
      </c>
      <c r="AI79" s="2" t="inlineStr"/>
      <c r="AJ79" s="2" t="inlineStr">
        <is>
          <t>{"template_sheet": "Balance Sheet", "template_row": 65, "template_cell": "B65", "template_value_or_formula": "=SUM(B62:B64)", "calculation_type": "formula", "dependencies": ["bs_ca__raw_materials", "bs_ca__finished_goods"], "source_template": "Copy of Output_CSV Template.xlsx"}</t>
        </is>
      </c>
    </row>
    <row r="80">
      <c r="A80" s="2" t="inlineStr">
        <is>
          <t>bs_ca__due_from_jvs_and_partnerships</t>
        </is>
      </c>
      <c r="B80" s="2" t="inlineStr">
        <is>
          <t>Due from JVs &amp; Partnerships</t>
        </is>
      </c>
      <c r="C80" s="2" t="inlineStr">
        <is>
          <t>bs_ca</t>
        </is>
      </c>
      <c r="D80" s="2" t="inlineStr">
        <is>
          <t>Extract the reported value for 'Due from JVs &amp; Partnerships' from the stated section. Do not calculate or replace it from other rows, because the revised template does not designate this field as formula-driven.</t>
        </is>
      </c>
      <c r="E80" s="2" t="inlineStr">
        <is>
          <t>Due from JVs &amp; Partnerships</t>
        </is>
      </c>
      <c r="F80" s="2" t="inlineStr">
        <is>
          <t>Due from JVs &amp; Partnerships</t>
        </is>
      </c>
      <c r="G80" s="2" t="inlineStr">
        <is>
          <t>^Due\s+from\s+JVs\s+\&amp;\s+Partnerships$</t>
        </is>
      </c>
      <c r="H80" s="2" t="inlineStr"/>
      <c r="I80" s="2" t="inlineStr">
        <is>
          <t>Amounts or disclosures explicitly reported for Due from JVs &amp; Partnerships in Balance Sheet / bs_ca.</t>
        </is>
      </c>
      <c r="J80" s="2" t="inlineStr">
        <is>
          <t>Do not substitute another section, period, entity scope, currency or unit; do not double count a parent and its children.</t>
        </is>
      </c>
      <c r="K80" s="2" t="inlineStr"/>
      <c r="L80" s="2" t="inlineStr">
        <is>
          <t>as_reported</t>
        </is>
      </c>
      <c r="M80" s="2" t="inlineStr">
        <is>
          <t>direct_exclusive</t>
        </is>
      </c>
      <c r="N80" s="2" t="n">
        <v>90</v>
      </c>
      <c r="O80" s="2" t="inlineStr">
        <is>
          <t>normalized_exact_then_regex</t>
        </is>
      </c>
      <c r="P80" s="3" t="inlineStr">
        <is>
          <t>extract</t>
        </is>
      </c>
      <c r="Q80" s="2" t="inlineStr">
        <is>
          <t>currency_amount</t>
        </is>
      </c>
      <c r="R80" s="2" t="inlineStr">
        <is>
          <t>period_end</t>
        </is>
      </c>
      <c r="S80" s="2" t="inlineStr">
        <is>
          <t>allowed_with_provenance</t>
        </is>
      </c>
      <c r="T80" s="2" t="b">
        <v>0</v>
      </c>
      <c r="U80" s="2" t="b">
        <v>0</v>
      </c>
      <c r="V80" s="2" t="inlineStr"/>
      <c r="W80" s="2" t="inlineStr"/>
      <c r="X80" s="2" t="inlineStr">
        <is>
          <t>Decompose only from explicit face or note evidence; never fabricate a split.</t>
        </is>
      </c>
      <c r="Y80" s="2" t="inlineStr">
        <is>
          <t>Aggregate only mutually exclusive facts with identical period, scope, currency and unit.</t>
        </is>
      </c>
      <c r="Z80" s="2" t="inlineStr">
        <is>
          <t>Bind only to Balance Sheet / bs_ca.</t>
        </is>
      </c>
      <c r="AA80" s="2" t="inlineStr"/>
      <c r="AB80" s="2" t="b">
        <v>1</v>
      </c>
      <c r="AC80" s="2" t="inlineStr"/>
      <c r="AD80" s="2" t="inlineStr">
        <is>
          <t>Exact field from Balance Sheet!A66; value cell B66.</t>
        </is>
      </c>
      <c r="AE80" s="2" t="inlineStr">
        <is>
          <t>Notes may support direct extraction or decomposition with provenance. Formula outputs must be derived only from template dependencies.</t>
        </is>
      </c>
      <c r="AF80" s="2" t="inlineStr"/>
      <c r="AG80" s="2" t="inlineStr">
        <is>
          <t>[]</t>
        </is>
      </c>
      <c r="AH80" s="2" t="inlineStr">
        <is>
          <t>Due from JVs &amp; Partnerships</t>
        </is>
      </c>
      <c r="AI80" s="2" t="inlineStr"/>
      <c r="AJ80" s="2" t="inlineStr">
        <is>
          <t>{"template_sheet": "Balance Sheet", "template_row": 66, "template_cell": "B66", "template_value_or_formula": 14, "calculation_type": "reported_input", "dependencies": [], "source_template": "Copy of Output_CSV Template.xlsx"}</t>
        </is>
      </c>
    </row>
    <row r="81">
      <c r="A81" s="2" t="inlineStr">
        <is>
          <t>bs_ca__entrusted_loan_receivables_related_parties_cp</t>
        </is>
      </c>
      <c r="B81" s="2" t="inlineStr">
        <is>
          <t>Entrusted loan receivables- related parties(CP)</t>
        </is>
      </c>
      <c r="C81" s="2" t="inlineStr">
        <is>
          <t>bs_ca</t>
        </is>
      </c>
      <c r="D81" s="2" t="inlineStr">
        <is>
          <t>Extract the reported value for 'Entrusted loan receivables- related parties(CP)' from the stated section. Do not calculate or replace it from other rows, because the revised template does not designate this field as formula-driven.</t>
        </is>
      </c>
      <c r="E81" s="2" t="inlineStr">
        <is>
          <t>Entrusted loan receivables- related parties(CP)</t>
        </is>
      </c>
      <c r="F81" s="2" t="inlineStr">
        <is>
          <t>Entrusted loan receivables- related parties(CP)</t>
        </is>
      </c>
      <c r="G81" s="2" t="inlineStr">
        <is>
          <t>^Entrusted\s+loan\s+receivables[\-–—]?\s+related\s+parties\(CP\)$</t>
        </is>
      </c>
      <c r="H81" s="2" t="inlineStr"/>
      <c r="I81" s="2" t="inlineStr">
        <is>
          <t>Amounts or disclosures explicitly reported for Entrusted loan receivables- related parties(CP) in Balance Sheet / bs_ca.</t>
        </is>
      </c>
      <c r="J81" s="2" t="inlineStr">
        <is>
          <t>Do not substitute another section, period, entity scope, currency or unit; do not double count a parent and its children.</t>
        </is>
      </c>
      <c r="K81" s="2" t="inlineStr"/>
      <c r="L81" s="2" t="inlineStr">
        <is>
          <t>as_reported</t>
        </is>
      </c>
      <c r="M81" s="2" t="inlineStr">
        <is>
          <t>direct_exclusive</t>
        </is>
      </c>
      <c r="N81" s="2" t="n">
        <v>90</v>
      </c>
      <c r="O81" s="2" t="inlineStr">
        <is>
          <t>normalized_exact_then_regex</t>
        </is>
      </c>
      <c r="P81" s="3" t="inlineStr">
        <is>
          <t>extract</t>
        </is>
      </c>
      <c r="Q81" s="2" t="inlineStr">
        <is>
          <t>currency_amount</t>
        </is>
      </c>
      <c r="R81" s="2" t="inlineStr">
        <is>
          <t>period_end</t>
        </is>
      </c>
      <c r="S81" s="2" t="inlineStr">
        <is>
          <t>allowed_with_provenance</t>
        </is>
      </c>
      <c r="T81" s="2" t="b">
        <v>0</v>
      </c>
      <c r="U81" s="2" t="b">
        <v>0</v>
      </c>
      <c r="V81" s="2" t="inlineStr"/>
      <c r="W81" s="2" t="inlineStr"/>
      <c r="X81" s="2" t="inlineStr">
        <is>
          <t>Decompose only from explicit face or note evidence; never fabricate a split.</t>
        </is>
      </c>
      <c r="Y81" s="2" t="inlineStr">
        <is>
          <t>Aggregate only mutually exclusive facts with identical period, scope, currency and unit.</t>
        </is>
      </c>
      <c r="Z81" s="2" t="inlineStr">
        <is>
          <t>Bind only to Balance Sheet / bs_ca.</t>
        </is>
      </c>
      <c r="AA81" s="2" t="inlineStr"/>
      <c r="AB81" s="2" t="b">
        <v>1</v>
      </c>
      <c r="AC81" s="2" t="inlineStr"/>
      <c r="AD81" s="2" t="inlineStr">
        <is>
          <t>Exact field from Balance Sheet!A67; value cell B67.</t>
        </is>
      </c>
      <c r="AE81" s="2" t="inlineStr">
        <is>
          <t>Notes may support direct extraction or decomposition with provenance. Formula outputs must be derived only from template dependencies.</t>
        </is>
      </c>
      <c r="AF81" s="2" t="inlineStr"/>
      <c r="AG81" s="2" t="inlineStr">
        <is>
          <t>[]</t>
        </is>
      </c>
      <c r="AH81" s="2" t="inlineStr">
        <is>
          <t>Entrusted loan receivables- related parties(CP)</t>
        </is>
      </c>
      <c r="AI81" s="2" t="inlineStr"/>
      <c r="AJ81" s="2" t="inlineStr">
        <is>
          <t>{"template_sheet": "Balance Sheet", "template_row": 67, "template_cell": "B67", "template_value_or_formula": 31, "calculation_type": "reported_input", "dependencies": [], "source_template": "Copy of Output_CSV Template.xlsx"}</t>
        </is>
      </c>
    </row>
    <row r="82">
      <c r="A82" s="2" t="inlineStr">
        <is>
          <t>bs_ca__due_from_related_parties_cp</t>
        </is>
      </c>
      <c r="B82" s="2" t="inlineStr">
        <is>
          <t>Due from Related Parties(CP)</t>
        </is>
      </c>
      <c r="C82" s="2" t="inlineStr">
        <is>
          <t>bs_ca</t>
        </is>
      </c>
      <c r="D82" s="2" t="inlineStr">
        <is>
          <t>Extract the reported value for 'Due from Related Parties(CP)' from the stated section. Do not calculate or replace it from other rows, because the revised template does not designate this field as formula-driven.</t>
        </is>
      </c>
      <c r="E82" s="2" t="inlineStr">
        <is>
          <t>Due from Related Parties(CP)</t>
        </is>
      </c>
      <c r="F82" s="2" t="inlineStr">
        <is>
          <t>Due from Related Parties(CP)</t>
        </is>
      </c>
      <c r="G82" s="2" t="inlineStr">
        <is>
          <t>^Due\s+from\s+Related\s+Parties\(CP\)$</t>
        </is>
      </c>
      <c r="H82" s="2" t="inlineStr"/>
      <c r="I82" s="2" t="inlineStr">
        <is>
          <t>Amounts or disclosures explicitly reported for Due from Related Parties(CP) in Balance Sheet / bs_ca.</t>
        </is>
      </c>
      <c r="J82" s="2" t="inlineStr">
        <is>
          <t>Do not substitute another section, period, entity scope, currency or unit; do not double count a parent and its children.</t>
        </is>
      </c>
      <c r="K82" s="2" t="inlineStr"/>
      <c r="L82" s="2" t="inlineStr">
        <is>
          <t>as_reported</t>
        </is>
      </c>
      <c r="M82" s="2" t="inlineStr">
        <is>
          <t>direct_exclusive</t>
        </is>
      </c>
      <c r="N82" s="2" t="n">
        <v>90</v>
      </c>
      <c r="O82" s="2" t="inlineStr">
        <is>
          <t>normalized_exact_then_regex</t>
        </is>
      </c>
      <c r="P82" s="3" t="inlineStr">
        <is>
          <t>extract</t>
        </is>
      </c>
      <c r="Q82" s="2" t="inlineStr">
        <is>
          <t>currency_amount</t>
        </is>
      </c>
      <c r="R82" s="2" t="inlineStr">
        <is>
          <t>period_end</t>
        </is>
      </c>
      <c r="S82" s="2" t="inlineStr">
        <is>
          <t>allowed_with_provenance</t>
        </is>
      </c>
      <c r="T82" s="2" t="b">
        <v>0</v>
      </c>
      <c r="U82" s="2" t="b">
        <v>0</v>
      </c>
      <c r="V82" s="2" t="inlineStr"/>
      <c r="W82" s="2" t="inlineStr"/>
      <c r="X82" s="2" t="inlineStr">
        <is>
          <t>Decompose only from explicit face or note evidence; never fabricate a split.</t>
        </is>
      </c>
      <c r="Y82" s="2" t="inlineStr">
        <is>
          <t>Aggregate only mutually exclusive facts with identical period, scope, currency and unit.</t>
        </is>
      </c>
      <c r="Z82" s="2" t="inlineStr">
        <is>
          <t>Bind only to Balance Sheet / bs_ca.</t>
        </is>
      </c>
      <c r="AA82" s="2" t="inlineStr"/>
      <c r="AB82" s="2" t="b">
        <v>1</v>
      </c>
      <c r="AC82" s="2" t="inlineStr"/>
      <c r="AD82" s="2" t="inlineStr">
        <is>
          <t>Exact field from Balance Sheet!A68; value cell B68.</t>
        </is>
      </c>
      <c r="AE82" s="2" t="inlineStr">
        <is>
          <t>Notes may support direct extraction or decomposition with provenance. Formula outputs must be derived only from template dependencies.</t>
        </is>
      </c>
      <c r="AF82" s="2" t="inlineStr"/>
      <c r="AG82" s="2" t="inlineStr">
        <is>
          <t>[]</t>
        </is>
      </c>
      <c r="AH82" s="2" t="inlineStr">
        <is>
          <t>Due from Related Parties(CP)</t>
        </is>
      </c>
      <c r="AI82" s="2" t="inlineStr"/>
      <c r="AJ82" s="2" t="inlineStr">
        <is>
          <t>{"template_sheet": "Balance Sheet", "template_row": 68, "template_cell": "B68", "template_value_or_formula": 48, "calculation_type": "reported_input", "dependencies": [], "source_template": "Copy of Output_CSV Template.xlsx"}</t>
        </is>
      </c>
    </row>
    <row r="83">
      <c r="A83" s="2" t="inlineStr">
        <is>
          <t>bs_ca__entrusted_loan_receivables_shareholders_cp</t>
        </is>
      </c>
      <c r="B83" s="2" t="inlineStr">
        <is>
          <t>Entrusted loan receivables- shareholders(CP)</t>
        </is>
      </c>
      <c r="C83" s="2" t="inlineStr">
        <is>
          <t>bs_ca</t>
        </is>
      </c>
      <c r="D83" s="2" t="inlineStr">
        <is>
          <t>Extract the reported value for 'Entrusted loan receivables- shareholders(CP)' from the stated section. Do not calculate or replace it from other rows, because the revised template does not designate this field as formula-driven.</t>
        </is>
      </c>
      <c r="E83" s="2" t="inlineStr">
        <is>
          <t>Entrusted loan receivables- shareholders(CP)</t>
        </is>
      </c>
      <c r="F83" s="2" t="inlineStr">
        <is>
          <t>Entrusted loan receivables- shareholders(CP)</t>
        </is>
      </c>
      <c r="G83" s="2" t="inlineStr">
        <is>
          <t>^Entrusted\s+loan\s+receivables[\-–—]?\s+shareholders\(CP\)$</t>
        </is>
      </c>
      <c r="H83" s="2" t="inlineStr"/>
      <c r="I83" s="2" t="inlineStr">
        <is>
          <t>Amounts or disclosures explicitly reported for Entrusted loan receivables- shareholders(CP) in Balance Sheet / bs_ca.</t>
        </is>
      </c>
      <c r="J83" s="2" t="inlineStr">
        <is>
          <t>Do not substitute another section, period, entity scope, currency or unit; do not double count a parent and its children.</t>
        </is>
      </c>
      <c r="K83" s="2" t="inlineStr"/>
      <c r="L83" s="2" t="inlineStr">
        <is>
          <t>as_reported</t>
        </is>
      </c>
      <c r="M83" s="2" t="inlineStr">
        <is>
          <t>direct_exclusive</t>
        </is>
      </c>
      <c r="N83" s="2" t="n">
        <v>90</v>
      </c>
      <c r="O83" s="2" t="inlineStr">
        <is>
          <t>normalized_exact_then_regex</t>
        </is>
      </c>
      <c r="P83" s="3" t="inlineStr">
        <is>
          <t>extract</t>
        </is>
      </c>
      <c r="Q83" s="2" t="inlineStr">
        <is>
          <t>currency_amount</t>
        </is>
      </c>
      <c r="R83" s="2" t="inlineStr">
        <is>
          <t>period_end</t>
        </is>
      </c>
      <c r="S83" s="2" t="inlineStr">
        <is>
          <t>allowed_with_provenance</t>
        </is>
      </c>
      <c r="T83" s="2" t="b">
        <v>0</v>
      </c>
      <c r="U83" s="2" t="b">
        <v>0</v>
      </c>
      <c r="V83" s="2" t="inlineStr"/>
      <c r="W83" s="2" t="inlineStr"/>
      <c r="X83" s="2" t="inlineStr">
        <is>
          <t>Decompose only from explicit face or note evidence; never fabricate a split.</t>
        </is>
      </c>
      <c r="Y83" s="2" t="inlineStr">
        <is>
          <t>Aggregate only mutually exclusive facts with identical period, scope, currency and unit.</t>
        </is>
      </c>
      <c r="Z83" s="2" t="inlineStr">
        <is>
          <t>Bind only to Balance Sheet / bs_ca.</t>
        </is>
      </c>
      <c r="AA83" s="2" t="inlineStr"/>
      <c r="AB83" s="2" t="b">
        <v>1</v>
      </c>
      <c r="AC83" s="2" t="inlineStr"/>
      <c r="AD83" s="2" t="inlineStr">
        <is>
          <t>Exact field from Balance Sheet!A69; value cell B69.</t>
        </is>
      </c>
      <c r="AE83" s="2" t="inlineStr">
        <is>
          <t>Notes may support direct extraction or decomposition with provenance. Formula outputs must be derived only from template dependencies.</t>
        </is>
      </c>
      <c r="AF83" s="2" t="inlineStr"/>
      <c r="AG83" s="2" t="inlineStr">
        <is>
          <t>[]</t>
        </is>
      </c>
      <c r="AH83" s="2" t="inlineStr">
        <is>
          <t>Entrusted loan receivables- shareholders(CP)</t>
        </is>
      </c>
      <c r="AI83" s="2" t="inlineStr"/>
      <c r="AJ83" s="2" t="inlineStr">
        <is>
          <t>{"template_sheet": "Balance Sheet", "template_row": 69, "template_cell": "B69", "template_value_or_formula": 22, "calculation_type": "reported_input", "dependencies": [], "source_template": "Copy of Output_CSV Template.xlsx"}</t>
        </is>
      </c>
    </row>
    <row r="84">
      <c r="A84" s="2" t="inlineStr">
        <is>
          <t>bs_ca__due_from_sholder_cp</t>
        </is>
      </c>
      <c r="B84" s="2" t="inlineStr">
        <is>
          <t>Due from S'holder(CP)</t>
        </is>
      </c>
      <c r="C84" s="2" t="inlineStr">
        <is>
          <t>bs_ca</t>
        </is>
      </c>
      <c r="D84" s="2" t="inlineStr">
        <is>
          <t>Extract the reported value for 'Due from S'holder(CP)' from the stated section. Do not calculate or replace it from other rows, because the revised template does not designate this field as formula-driven.</t>
        </is>
      </c>
      <c r="E84" s="2" t="inlineStr">
        <is>
          <t>Due from S'holder(CP)</t>
        </is>
      </c>
      <c r="F84" s="2" t="inlineStr">
        <is>
          <t>Due from S'holder(CP)</t>
        </is>
      </c>
      <c r="G84" s="2" t="inlineStr">
        <is>
          <t>^Due\s+from\s+S'holder\(CP\)$</t>
        </is>
      </c>
      <c r="H84" s="2" t="inlineStr"/>
      <c r="I84" s="2" t="inlineStr">
        <is>
          <t>Amounts or disclosures explicitly reported for Due from S'holder(CP) in Balance Sheet / bs_ca.</t>
        </is>
      </c>
      <c r="J84" s="2" t="inlineStr">
        <is>
          <t>Do not substitute another section, period, entity scope, currency or unit; do not double count a parent and its children.</t>
        </is>
      </c>
      <c r="K84" s="2" t="inlineStr"/>
      <c r="L84" s="2" t="inlineStr">
        <is>
          <t>as_reported</t>
        </is>
      </c>
      <c r="M84" s="2" t="inlineStr">
        <is>
          <t>direct_exclusive</t>
        </is>
      </c>
      <c r="N84" s="2" t="n">
        <v>90</v>
      </c>
      <c r="O84" s="2" t="inlineStr">
        <is>
          <t>normalized_exact_then_regex</t>
        </is>
      </c>
      <c r="P84" s="3" t="inlineStr">
        <is>
          <t>extract</t>
        </is>
      </c>
      <c r="Q84" s="2" t="inlineStr">
        <is>
          <t>currency_amount</t>
        </is>
      </c>
      <c r="R84" s="2" t="inlineStr">
        <is>
          <t>period_end</t>
        </is>
      </c>
      <c r="S84" s="2" t="inlineStr">
        <is>
          <t>allowed_with_provenance</t>
        </is>
      </c>
      <c r="T84" s="2" t="b">
        <v>0</v>
      </c>
      <c r="U84" s="2" t="b">
        <v>0</v>
      </c>
      <c r="V84" s="2" t="inlineStr"/>
      <c r="W84" s="2" t="inlineStr"/>
      <c r="X84" s="2" t="inlineStr">
        <is>
          <t>Decompose only from explicit face or note evidence; never fabricate a split.</t>
        </is>
      </c>
      <c r="Y84" s="2" t="inlineStr">
        <is>
          <t>Aggregate only mutually exclusive facts with identical period, scope, currency and unit.</t>
        </is>
      </c>
      <c r="Z84" s="2" t="inlineStr">
        <is>
          <t>Bind only to Balance Sheet / bs_ca.</t>
        </is>
      </c>
      <c r="AA84" s="2" t="inlineStr"/>
      <c r="AB84" s="2" t="b">
        <v>1</v>
      </c>
      <c r="AC84" s="2" t="inlineStr"/>
      <c r="AD84" s="2" t="inlineStr">
        <is>
          <t>Exact field from Balance Sheet!A70; value cell B70.</t>
        </is>
      </c>
      <c r="AE84" s="2" t="inlineStr">
        <is>
          <t>Notes may support direct extraction or decomposition with provenance. Formula outputs must be derived only from template dependencies.</t>
        </is>
      </c>
      <c r="AF84" s="2" t="inlineStr"/>
      <c r="AG84" s="2" t="inlineStr">
        <is>
          <t>[]</t>
        </is>
      </c>
      <c r="AH84" s="2" t="inlineStr">
        <is>
          <t>Due from S'holder(CP)</t>
        </is>
      </c>
      <c r="AI84" s="2" t="inlineStr"/>
      <c r="AJ84" s="2" t="inlineStr">
        <is>
          <t>{"template_sheet": "Balance Sheet", "template_row": 70, "template_cell": "B70", "template_value_or_formula": 39, "calculation_type": "reported_input", "dependencies": [], "source_template": "Copy of Output_CSV Template.xlsx"}</t>
        </is>
      </c>
    </row>
    <row r="85">
      <c r="A85" s="2" t="inlineStr">
        <is>
          <t>bs_ca__short_term_securities</t>
        </is>
      </c>
      <c r="B85" s="2" t="inlineStr">
        <is>
          <t>Short Term Securities</t>
        </is>
      </c>
      <c r="C85" s="2" t="inlineStr">
        <is>
          <t>bs_ca</t>
        </is>
      </c>
      <c r="D85" s="2" t="inlineStr">
        <is>
          <t>Extract the reported value for 'Short Term Securities' from the stated section. Do not calculate or replace it from other rows, because the revised template does not designate this field as formula-driven.</t>
        </is>
      </c>
      <c r="E85" s="2" t="inlineStr">
        <is>
          <t>Short Term Securities</t>
        </is>
      </c>
      <c r="F85" s="2" t="inlineStr">
        <is>
          <t>Short Term Securities</t>
        </is>
      </c>
      <c r="G85" s="2" t="inlineStr">
        <is>
          <t>^Short\s+Term\s+Securities$</t>
        </is>
      </c>
      <c r="H85" s="2" t="inlineStr"/>
      <c r="I85" s="2" t="inlineStr">
        <is>
          <t>Amounts or disclosures explicitly reported for Short Term Securities in Balance Sheet / bs_ca.</t>
        </is>
      </c>
      <c r="J85" s="2" t="inlineStr">
        <is>
          <t>Do not substitute another section, period, entity scope, currency or unit; do not double count a parent and its children.</t>
        </is>
      </c>
      <c r="K85" s="2" t="inlineStr"/>
      <c r="L85" s="2" t="inlineStr">
        <is>
          <t>as_reported</t>
        </is>
      </c>
      <c r="M85" s="2" t="inlineStr">
        <is>
          <t>direct_exclusive</t>
        </is>
      </c>
      <c r="N85" s="2" t="n">
        <v>90</v>
      </c>
      <c r="O85" s="2" t="inlineStr">
        <is>
          <t>normalized_exact_then_regex</t>
        </is>
      </c>
      <c r="P85" s="3" t="inlineStr">
        <is>
          <t>extract</t>
        </is>
      </c>
      <c r="Q85" s="2" t="inlineStr">
        <is>
          <t>currency_amount</t>
        </is>
      </c>
      <c r="R85" s="2" t="inlineStr">
        <is>
          <t>period_end</t>
        </is>
      </c>
      <c r="S85" s="2" t="inlineStr">
        <is>
          <t>allowed_with_provenance</t>
        </is>
      </c>
      <c r="T85" s="2" t="b">
        <v>0</v>
      </c>
      <c r="U85" s="2" t="b">
        <v>0</v>
      </c>
      <c r="V85" s="2" t="inlineStr"/>
      <c r="W85" s="2" t="inlineStr"/>
      <c r="X85" s="2" t="inlineStr">
        <is>
          <t>Decompose only from explicit face or note evidence; never fabricate a split.</t>
        </is>
      </c>
      <c r="Y85" s="2" t="inlineStr">
        <is>
          <t>Aggregate only mutually exclusive facts with identical period, scope, currency and unit.</t>
        </is>
      </c>
      <c r="Z85" s="2" t="inlineStr">
        <is>
          <t>Bind only to Balance Sheet / bs_ca.</t>
        </is>
      </c>
      <c r="AA85" s="2" t="inlineStr"/>
      <c r="AB85" s="2" t="b">
        <v>1</v>
      </c>
      <c r="AC85" s="2" t="inlineStr"/>
      <c r="AD85" s="2" t="inlineStr">
        <is>
          <t>Exact field from Balance Sheet!A71; value cell B71.</t>
        </is>
      </c>
      <c r="AE85" s="2" t="inlineStr">
        <is>
          <t>Notes may support direct extraction or decomposition with provenance. Formula outputs must be derived only from template dependencies.</t>
        </is>
      </c>
      <c r="AF85" s="2" t="inlineStr"/>
      <c r="AG85" s="2" t="inlineStr">
        <is>
          <t>[]</t>
        </is>
      </c>
      <c r="AH85" s="2" t="inlineStr">
        <is>
          <t>Short Term Securities</t>
        </is>
      </c>
      <c r="AI85" s="2" t="inlineStr"/>
      <c r="AJ85" s="2" t="inlineStr">
        <is>
          <t>{"template_sheet": "Balance Sheet", "template_row": 71, "template_cell": "B71", "template_value_or_formula": 13, "calculation_type": "reported_input", "dependencies": [], "source_template": "Copy of Output_CSV Template.xlsx"}</t>
        </is>
      </c>
    </row>
    <row r="86">
      <c r="A86" s="2" t="inlineStr">
        <is>
          <t>bs_ca__wealth_management_products_cp_from_secur_and_fincl</t>
        </is>
      </c>
      <c r="B86" s="2" t="inlineStr">
        <is>
          <t>Wealth management products(CP) (from Secur&amp;Fincl)</t>
        </is>
      </c>
      <c r="C86" s="2" t="inlineStr">
        <is>
          <t>bs_ca</t>
        </is>
      </c>
      <c r="D86" s="2" t="inlineStr">
        <is>
          <t>Extract the reported value for 'Wealth management products(CP) (from Secur&amp;Fincl)' from the stated section. Do not calculate or replace it from other rows, because the revised template does not designate this field as formula-driven.</t>
        </is>
      </c>
      <c r="E86" s="2" t="inlineStr">
        <is>
          <t>Wealth management products(CP) (from Secur&amp;Fincl)</t>
        </is>
      </c>
      <c r="F86" s="2" t="inlineStr">
        <is>
          <t>Wealth management products(CP) (from Secur&amp;Fincl)</t>
        </is>
      </c>
      <c r="G86" s="2" t="inlineStr">
        <is>
          <t>^Wealth\s+management\s+products\(CP\)\s+\(from\s+Secur\&amp;Fincl\)$</t>
        </is>
      </c>
      <c r="H86" s="2" t="inlineStr"/>
      <c r="I86" s="2" t="inlineStr">
        <is>
          <t>Amounts or disclosures explicitly reported for Wealth management products(CP) (from Secur&amp;Fincl) in Balance Sheet / bs_ca.</t>
        </is>
      </c>
      <c r="J86" s="2" t="inlineStr">
        <is>
          <t>Do not substitute another section, period, entity scope, currency or unit; do not double count a parent and its children.</t>
        </is>
      </c>
      <c r="K86" s="2" t="inlineStr"/>
      <c r="L86" s="2" t="inlineStr">
        <is>
          <t>as_reported</t>
        </is>
      </c>
      <c r="M86" s="2" t="inlineStr">
        <is>
          <t>direct_exclusive</t>
        </is>
      </c>
      <c r="N86" s="2" t="n">
        <v>90</v>
      </c>
      <c r="O86" s="2" t="inlineStr">
        <is>
          <t>normalized_exact_then_regex</t>
        </is>
      </c>
      <c r="P86" s="3" t="inlineStr">
        <is>
          <t>extract</t>
        </is>
      </c>
      <c r="Q86" s="2" t="inlineStr">
        <is>
          <t>currency_amount</t>
        </is>
      </c>
      <c r="R86" s="2" t="inlineStr">
        <is>
          <t>period_end</t>
        </is>
      </c>
      <c r="S86" s="2" t="inlineStr">
        <is>
          <t>allowed_with_provenance</t>
        </is>
      </c>
      <c r="T86" s="2" t="b">
        <v>0</v>
      </c>
      <c r="U86" s="2" t="b">
        <v>0</v>
      </c>
      <c r="V86" s="2" t="inlineStr"/>
      <c r="W86" s="2" t="inlineStr"/>
      <c r="X86" s="2" t="inlineStr">
        <is>
          <t>Decompose only from explicit face or note evidence; never fabricate a split.</t>
        </is>
      </c>
      <c r="Y86" s="2" t="inlineStr">
        <is>
          <t>Aggregate only mutually exclusive facts with identical period, scope, currency and unit.</t>
        </is>
      </c>
      <c r="Z86" s="2" t="inlineStr">
        <is>
          <t>Bind only to Balance Sheet / bs_ca.</t>
        </is>
      </c>
      <c r="AA86" s="2" t="inlineStr"/>
      <c r="AB86" s="2" t="b">
        <v>1</v>
      </c>
      <c r="AC86" s="2" t="inlineStr"/>
      <c r="AD86" s="2" t="inlineStr">
        <is>
          <t>Exact field from Balance Sheet!A72; value cell B72.</t>
        </is>
      </c>
      <c r="AE86" s="2" t="inlineStr">
        <is>
          <t>Notes may support direct extraction or decomposition with provenance. Formula outputs must be derived only from template dependencies.</t>
        </is>
      </c>
      <c r="AF86" s="2" t="inlineStr"/>
      <c r="AG86" s="2" t="inlineStr">
        <is>
          <t>[]</t>
        </is>
      </c>
      <c r="AH86" s="2" t="inlineStr">
        <is>
          <t>Wealth management products(CP) (from Secur&amp;Fincl)</t>
        </is>
      </c>
      <c r="AI86" s="2" t="inlineStr"/>
      <c r="AJ86" s="2" t="inlineStr">
        <is>
          <t>{"template_sheet": "Balance Sheet", "template_row": 72, "template_cell": "B72", "template_value_or_formula": 30, "calculation_type": "reported_input", "dependencies": [], "source_template": "Copy of Output_CSV Template.xlsx"}</t>
        </is>
      </c>
    </row>
    <row r="87">
      <c r="A87" s="2" t="inlineStr">
        <is>
          <t>bs_ca__secur_and_other_fincl_assets_cp</t>
        </is>
      </c>
      <c r="B87" s="2" t="inlineStr">
        <is>
          <t>Secur &amp; Other Fincl Assets(CP)</t>
        </is>
      </c>
      <c r="C87" s="2" t="inlineStr">
        <is>
          <t>bs_ca</t>
        </is>
      </c>
      <c r="D87" s="2" t="inlineStr">
        <is>
          <t>Extract the reported value for 'Secur &amp; Other Fincl Assets(CP)' from the stated section. Do not calculate or replace it from other rows, because the revised template does not designate this field as formula-driven.</t>
        </is>
      </c>
      <c r="E87" s="2" t="inlineStr">
        <is>
          <t>Secur &amp; Other Fincl Assets(CP)</t>
        </is>
      </c>
      <c r="F87" s="2" t="inlineStr">
        <is>
          <t>Secur &amp; Other Fincl Assets(CP)</t>
        </is>
      </c>
      <c r="G87" s="2" t="inlineStr">
        <is>
          <t>^Secur\s+\&amp;\s+Other\s+Fincl\s+Assets\(CP\)$</t>
        </is>
      </c>
      <c r="H87" s="2" t="inlineStr"/>
      <c r="I87" s="2" t="inlineStr">
        <is>
          <t>Amounts or disclosures explicitly reported for Secur &amp; Other Fincl Assets(CP) in Balance Sheet / bs_ca.</t>
        </is>
      </c>
      <c r="J87" s="2" t="inlineStr">
        <is>
          <t>Do not substitute another section, period, entity scope, currency or unit; do not double count a parent and its children.</t>
        </is>
      </c>
      <c r="K87" s="2" t="inlineStr"/>
      <c r="L87" s="2" t="inlineStr">
        <is>
          <t>as_reported</t>
        </is>
      </c>
      <c r="M87" s="2" t="inlineStr">
        <is>
          <t>direct_exclusive</t>
        </is>
      </c>
      <c r="N87" s="2" t="n">
        <v>90</v>
      </c>
      <c r="O87" s="2" t="inlineStr">
        <is>
          <t>normalized_exact_then_regex</t>
        </is>
      </c>
      <c r="P87" s="3" t="inlineStr">
        <is>
          <t>extract</t>
        </is>
      </c>
      <c r="Q87" s="2" t="inlineStr">
        <is>
          <t>currency_amount</t>
        </is>
      </c>
      <c r="R87" s="2" t="inlineStr">
        <is>
          <t>period_end</t>
        </is>
      </c>
      <c r="S87" s="2" t="inlineStr">
        <is>
          <t>allowed_with_provenance</t>
        </is>
      </c>
      <c r="T87" s="2" t="b">
        <v>0</v>
      </c>
      <c r="U87" s="2" t="b">
        <v>0</v>
      </c>
      <c r="V87" s="2" t="inlineStr"/>
      <c r="W87" s="2" t="inlineStr"/>
      <c r="X87" s="2" t="inlineStr">
        <is>
          <t>Decompose only from explicit face or note evidence; never fabricate a split.</t>
        </is>
      </c>
      <c r="Y87" s="2" t="inlineStr">
        <is>
          <t>Aggregate only mutually exclusive facts with identical period, scope, currency and unit.</t>
        </is>
      </c>
      <c r="Z87" s="2" t="inlineStr">
        <is>
          <t>Bind only to Balance Sheet / bs_ca.</t>
        </is>
      </c>
      <c r="AA87" s="2" t="inlineStr"/>
      <c r="AB87" s="2" t="b">
        <v>1</v>
      </c>
      <c r="AC87" s="2" t="inlineStr"/>
      <c r="AD87" s="2" t="inlineStr">
        <is>
          <t>Exact field from Balance Sheet!A73; value cell B73.</t>
        </is>
      </c>
      <c r="AE87" s="2" t="inlineStr">
        <is>
          <t>Notes may support direct extraction or decomposition with provenance. Formula outputs must be derived only from template dependencies.</t>
        </is>
      </c>
      <c r="AF87" s="2" t="inlineStr"/>
      <c r="AG87" s="2" t="inlineStr">
        <is>
          <t>[]</t>
        </is>
      </c>
      <c r="AH87" s="2" t="inlineStr">
        <is>
          <t>Secur &amp; Other Fincl Assets(CP)</t>
        </is>
      </c>
      <c r="AI87" s="2" t="inlineStr"/>
      <c r="AJ87" s="2" t="inlineStr">
        <is>
          <t>{"template_sheet": "Balance Sheet", "template_row": 73, "template_cell": "B73", "template_value_or_formula": 47, "calculation_type": "reported_input", "dependencies": [], "source_template": "Copy of Output_CSV Template.xlsx"}</t>
        </is>
      </c>
    </row>
    <row r="88">
      <c r="A88" s="2" t="inlineStr">
        <is>
          <t>bs_ca__futures_ca</t>
        </is>
      </c>
      <c r="B88" s="2" t="inlineStr">
        <is>
          <t>Futures(CA)</t>
        </is>
      </c>
      <c r="C88" s="2" t="inlineStr">
        <is>
          <t>bs_ca</t>
        </is>
      </c>
      <c r="D88" s="2" t="inlineStr">
        <is>
          <t>Extract the reported value for 'Futures(CA)' from the stated section. Do not calculate or replace it from other rows, because the revised template does not designate this field as formula-driven.</t>
        </is>
      </c>
      <c r="E88" s="2" t="inlineStr">
        <is>
          <t>Futures(CA)</t>
        </is>
      </c>
      <c r="F88" s="2" t="inlineStr">
        <is>
          <t>Futures(CA)</t>
        </is>
      </c>
      <c r="G88" s="2" t="inlineStr">
        <is>
          <t>^Futures\(CA\)$</t>
        </is>
      </c>
      <c r="H88" s="2" t="inlineStr"/>
      <c r="I88" s="2" t="inlineStr">
        <is>
          <t>Amounts or disclosures explicitly reported for Futures(CA) in Balance Sheet / bs_ca.</t>
        </is>
      </c>
      <c r="J88" s="2" t="inlineStr">
        <is>
          <t>Do not substitute another section, period, entity scope, currency or unit; do not double count a parent and its children.</t>
        </is>
      </c>
      <c r="K88" s="2" t="inlineStr"/>
      <c r="L88" s="2" t="inlineStr">
        <is>
          <t>as_reported</t>
        </is>
      </c>
      <c r="M88" s="2" t="inlineStr">
        <is>
          <t>direct_exclusive</t>
        </is>
      </c>
      <c r="N88" s="2" t="n">
        <v>90</v>
      </c>
      <c r="O88" s="2" t="inlineStr">
        <is>
          <t>normalized_exact_then_regex</t>
        </is>
      </c>
      <c r="P88" s="3" t="inlineStr">
        <is>
          <t>extract</t>
        </is>
      </c>
      <c r="Q88" s="2" t="inlineStr">
        <is>
          <t>currency_amount</t>
        </is>
      </c>
      <c r="R88" s="2" t="inlineStr">
        <is>
          <t>period_end</t>
        </is>
      </c>
      <c r="S88" s="2" t="inlineStr">
        <is>
          <t>allowed_with_provenance</t>
        </is>
      </c>
      <c r="T88" s="2" t="b">
        <v>0</v>
      </c>
      <c r="U88" s="2" t="b">
        <v>0</v>
      </c>
      <c r="V88" s="2" t="inlineStr"/>
      <c r="W88" s="2" t="inlineStr"/>
      <c r="X88" s="2" t="inlineStr">
        <is>
          <t>Decompose only from explicit face or note evidence; never fabricate a split.</t>
        </is>
      </c>
      <c r="Y88" s="2" t="inlineStr">
        <is>
          <t>Aggregate only mutually exclusive facts with identical period, scope, currency and unit.</t>
        </is>
      </c>
      <c r="Z88" s="2" t="inlineStr">
        <is>
          <t>Bind only to Balance Sheet / bs_ca.</t>
        </is>
      </c>
      <c r="AA88" s="2" t="inlineStr"/>
      <c r="AB88" s="2" t="b">
        <v>1</v>
      </c>
      <c r="AC88" s="2" t="inlineStr"/>
      <c r="AD88" s="2" t="inlineStr">
        <is>
          <t>Exact field from Balance Sheet!A74; value cell B74.</t>
        </is>
      </c>
      <c r="AE88" s="2" t="inlineStr">
        <is>
          <t>Notes may support direct extraction or decomposition with provenance. Formula outputs must be derived only from template dependencies.</t>
        </is>
      </c>
      <c r="AF88" s="2" t="inlineStr"/>
      <c r="AG88" s="2" t="inlineStr">
        <is>
          <t>[]</t>
        </is>
      </c>
      <c r="AH88" s="2" t="inlineStr">
        <is>
          <t>Futures(CA)</t>
        </is>
      </c>
      <c r="AI88" s="2" t="inlineStr"/>
      <c r="AJ88" s="2" t="inlineStr">
        <is>
          <t>{"template_sheet": "Balance Sheet", "template_row": 74, "template_cell": "B74", "template_value_or_formula": 21, "calculation_type": "reported_input", "dependencies": [], "source_template": "Copy of Output_CSV Template.xlsx"}</t>
        </is>
      </c>
    </row>
    <row r="89">
      <c r="A89" s="2" t="inlineStr">
        <is>
          <t>bs_ca__options_ca</t>
        </is>
      </c>
      <c r="B89" s="2" t="inlineStr">
        <is>
          <t>Options(CA)</t>
        </is>
      </c>
      <c r="C89" s="2" t="inlineStr">
        <is>
          <t>bs_ca</t>
        </is>
      </c>
      <c r="D89" s="2" t="inlineStr">
        <is>
          <t>Extract the reported value for 'Options(CA)' from the stated section. Do not calculate or replace it from other rows, because the revised template does not designate this field as formula-driven.</t>
        </is>
      </c>
      <c r="E89" s="2" t="inlineStr">
        <is>
          <t>Options(CA)</t>
        </is>
      </c>
      <c r="F89" s="2" t="inlineStr">
        <is>
          <t>Options(CA)</t>
        </is>
      </c>
      <c r="G89" s="2" t="inlineStr">
        <is>
          <t>^Options\(CA\)$</t>
        </is>
      </c>
      <c r="H89" s="2" t="inlineStr"/>
      <c r="I89" s="2" t="inlineStr">
        <is>
          <t>Amounts or disclosures explicitly reported for Options(CA) in Balance Sheet / bs_ca.</t>
        </is>
      </c>
      <c r="J89" s="2" t="inlineStr">
        <is>
          <t>Do not substitute another section, period, entity scope, currency or unit; do not double count a parent and its children.</t>
        </is>
      </c>
      <c r="K89" s="2" t="inlineStr"/>
      <c r="L89" s="2" t="inlineStr">
        <is>
          <t>as_reported</t>
        </is>
      </c>
      <c r="M89" s="2" t="inlineStr">
        <is>
          <t>direct_exclusive</t>
        </is>
      </c>
      <c r="N89" s="2" t="n">
        <v>90</v>
      </c>
      <c r="O89" s="2" t="inlineStr">
        <is>
          <t>normalized_exact_then_regex</t>
        </is>
      </c>
      <c r="P89" s="3" t="inlineStr">
        <is>
          <t>extract</t>
        </is>
      </c>
      <c r="Q89" s="2" t="inlineStr">
        <is>
          <t>currency_amount</t>
        </is>
      </c>
      <c r="R89" s="2" t="inlineStr">
        <is>
          <t>period_end</t>
        </is>
      </c>
      <c r="S89" s="2" t="inlineStr">
        <is>
          <t>allowed_with_provenance</t>
        </is>
      </c>
      <c r="T89" s="2" t="b">
        <v>0</v>
      </c>
      <c r="U89" s="2" t="b">
        <v>0</v>
      </c>
      <c r="V89" s="2" t="inlineStr"/>
      <c r="W89" s="2" t="inlineStr"/>
      <c r="X89" s="2" t="inlineStr">
        <is>
          <t>Decompose only from explicit face or note evidence; never fabricate a split.</t>
        </is>
      </c>
      <c r="Y89" s="2" t="inlineStr">
        <is>
          <t>Aggregate only mutually exclusive facts with identical period, scope, currency and unit.</t>
        </is>
      </c>
      <c r="Z89" s="2" t="inlineStr">
        <is>
          <t>Bind only to Balance Sheet / bs_ca.</t>
        </is>
      </c>
      <c r="AA89" s="2" t="inlineStr"/>
      <c r="AB89" s="2" t="b">
        <v>1</v>
      </c>
      <c r="AC89" s="2" t="inlineStr"/>
      <c r="AD89" s="2" t="inlineStr">
        <is>
          <t>Exact field from Balance Sheet!A75; value cell B75.</t>
        </is>
      </c>
      <c r="AE89" s="2" t="inlineStr">
        <is>
          <t>Notes may support direct extraction or decomposition with provenance. Formula outputs must be derived only from template dependencies.</t>
        </is>
      </c>
      <c r="AF89" s="2" t="inlineStr"/>
      <c r="AG89" s="2" t="inlineStr">
        <is>
          <t>[]</t>
        </is>
      </c>
      <c r="AH89" s="2" t="inlineStr">
        <is>
          <t>Options(CA)</t>
        </is>
      </c>
      <c r="AI89" s="2" t="inlineStr"/>
      <c r="AJ89" s="2" t="inlineStr">
        <is>
          <t>{"template_sheet": "Balance Sheet", "template_row": 75, "template_cell": "B75", "template_value_or_formula": 38, "calculation_type": "reported_input", "dependencies": [], "source_template": "Copy of Output_CSV Template.xlsx"}</t>
        </is>
      </c>
    </row>
    <row r="90">
      <c r="A90" s="2" t="inlineStr">
        <is>
          <t>bs_ca__forwards_ca</t>
        </is>
      </c>
      <c r="B90" s="2" t="inlineStr">
        <is>
          <t>Forwards(CA)</t>
        </is>
      </c>
      <c r="C90" s="2" t="inlineStr">
        <is>
          <t>bs_ca</t>
        </is>
      </c>
      <c r="D90" s="2" t="inlineStr">
        <is>
          <t>Extract the reported value for 'Forwards(CA)' from the stated section. Do not calculate or replace it from other rows, because the revised template does not designate this field as formula-driven.</t>
        </is>
      </c>
      <c r="E90" s="2" t="inlineStr">
        <is>
          <t>Forwards(CA)</t>
        </is>
      </c>
      <c r="F90" s="2" t="inlineStr">
        <is>
          <t>Forwards(CA)</t>
        </is>
      </c>
      <c r="G90" s="2" t="inlineStr">
        <is>
          <t>^Forwards\(CA\)$</t>
        </is>
      </c>
      <c r="H90" s="2" t="inlineStr"/>
      <c r="I90" s="2" t="inlineStr">
        <is>
          <t>Amounts or disclosures explicitly reported for Forwards(CA) in Balance Sheet / bs_ca.</t>
        </is>
      </c>
      <c r="J90" s="2" t="inlineStr">
        <is>
          <t>Do not substitute another section, period, entity scope, currency or unit; do not double count a parent and its children.</t>
        </is>
      </c>
      <c r="K90" s="2" t="inlineStr"/>
      <c r="L90" s="2" t="inlineStr">
        <is>
          <t>as_reported</t>
        </is>
      </c>
      <c r="M90" s="2" t="inlineStr">
        <is>
          <t>direct_exclusive</t>
        </is>
      </c>
      <c r="N90" s="2" t="n">
        <v>90</v>
      </c>
      <c r="O90" s="2" t="inlineStr">
        <is>
          <t>normalized_exact_then_regex</t>
        </is>
      </c>
      <c r="P90" s="3" t="inlineStr">
        <is>
          <t>extract</t>
        </is>
      </c>
      <c r="Q90" s="2" t="inlineStr">
        <is>
          <t>currency_amount</t>
        </is>
      </c>
      <c r="R90" s="2" t="inlineStr">
        <is>
          <t>period_end</t>
        </is>
      </c>
      <c r="S90" s="2" t="inlineStr">
        <is>
          <t>allowed_with_provenance</t>
        </is>
      </c>
      <c r="T90" s="2" t="b">
        <v>0</v>
      </c>
      <c r="U90" s="2" t="b">
        <v>0</v>
      </c>
      <c r="V90" s="2" t="inlineStr"/>
      <c r="W90" s="2" t="inlineStr"/>
      <c r="X90" s="2" t="inlineStr">
        <is>
          <t>Decompose only from explicit face or note evidence; never fabricate a split.</t>
        </is>
      </c>
      <c r="Y90" s="2" t="inlineStr">
        <is>
          <t>Aggregate only mutually exclusive facts with identical period, scope, currency and unit.</t>
        </is>
      </c>
      <c r="Z90" s="2" t="inlineStr">
        <is>
          <t>Bind only to Balance Sheet / bs_ca.</t>
        </is>
      </c>
      <c r="AA90" s="2" t="inlineStr"/>
      <c r="AB90" s="2" t="b">
        <v>1</v>
      </c>
      <c r="AC90" s="2" t="inlineStr"/>
      <c r="AD90" s="2" t="inlineStr">
        <is>
          <t>Exact field from Balance Sheet!A76; value cell B76.</t>
        </is>
      </c>
      <c r="AE90" s="2" t="inlineStr">
        <is>
          <t>Notes may support direct extraction or decomposition with provenance. Formula outputs must be derived only from template dependencies.</t>
        </is>
      </c>
      <c r="AF90" s="2" t="inlineStr"/>
      <c r="AG90" s="2" t="inlineStr">
        <is>
          <t>[]</t>
        </is>
      </c>
      <c r="AH90" s="2" t="inlineStr">
        <is>
          <t>Forwards(CA)</t>
        </is>
      </c>
      <c r="AI90" s="2" t="inlineStr"/>
      <c r="AJ90" s="2" t="inlineStr">
        <is>
          <t>{"template_sheet": "Balance Sheet", "template_row": 76, "template_cell": "B76", "template_value_or_formula": 12, "calculation_type": "reported_input", "dependencies": [], "source_template": "Copy of Output_CSV Template.xlsx"}</t>
        </is>
      </c>
    </row>
    <row r="91">
      <c r="A91" s="2" t="inlineStr">
        <is>
          <t>bs_ca__commodities_ca</t>
        </is>
      </c>
      <c r="B91" s="2" t="inlineStr">
        <is>
          <t>Commodities(CA)</t>
        </is>
      </c>
      <c r="C91" s="2" t="inlineStr">
        <is>
          <t>bs_ca</t>
        </is>
      </c>
      <c r="D91" s="2" t="inlineStr">
        <is>
          <t>Extract the reported value for 'Commodities(CA)' from the stated section. Do not calculate or replace it from other rows, because the revised template does not designate this field as formula-driven.</t>
        </is>
      </c>
      <c r="E91" s="2" t="inlineStr">
        <is>
          <t>Commodities(CA)</t>
        </is>
      </c>
      <c r="F91" s="2" t="inlineStr">
        <is>
          <t>Commodities(CA)</t>
        </is>
      </c>
      <c r="G91" s="2" t="inlineStr">
        <is>
          <t>^Commodities\(CA\)$</t>
        </is>
      </c>
      <c r="H91" s="2" t="inlineStr"/>
      <c r="I91" s="2" t="inlineStr">
        <is>
          <t>Amounts or disclosures explicitly reported for Commodities(CA) in Balance Sheet / bs_ca.</t>
        </is>
      </c>
      <c r="J91" s="2" t="inlineStr">
        <is>
          <t>Do not substitute another section, period, entity scope, currency or unit; do not double count a parent and its children.</t>
        </is>
      </c>
      <c r="K91" s="2" t="inlineStr"/>
      <c r="L91" s="2" t="inlineStr">
        <is>
          <t>as_reported</t>
        </is>
      </c>
      <c r="M91" s="2" t="inlineStr">
        <is>
          <t>direct_exclusive</t>
        </is>
      </c>
      <c r="N91" s="2" t="n">
        <v>90</v>
      </c>
      <c r="O91" s="2" t="inlineStr">
        <is>
          <t>normalized_exact_then_regex</t>
        </is>
      </c>
      <c r="P91" s="3" t="inlineStr">
        <is>
          <t>extract</t>
        </is>
      </c>
      <c r="Q91" s="2" t="inlineStr">
        <is>
          <t>currency_amount</t>
        </is>
      </c>
      <c r="R91" s="2" t="inlineStr">
        <is>
          <t>period_end</t>
        </is>
      </c>
      <c r="S91" s="2" t="inlineStr">
        <is>
          <t>allowed_with_provenance</t>
        </is>
      </c>
      <c r="T91" s="2" t="b">
        <v>0</v>
      </c>
      <c r="U91" s="2" t="b">
        <v>0</v>
      </c>
      <c r="V91" s="2" t="inlineStr"/>
      <c r="W91" s="2" t="inlineStr"/>
      <c r="X91" s="2" t="inlineStr">
        <is>
          <t>Decompose only from explicit face or note evidence; never fabricate a split.</t>
        </is>
      </c>
      <c r="Y91" s="2" t="inlineStr">
        <is>
          <t>Aggregate only mutually exclusive facts with identical period, scope, currency and unit.</t>
        </is>
      </c>
      <c r="Z91" s="2" t="inlineStr">
        <is>
          <t>Bind only to Balance Sheet / bs_ca.</t>
        </is>
      </c>
      <c r="AA91" s="2" t="inlineStr"/>
      <c r="AB91" s="2" t="b">
        <v>1</v>
      </c>
      <c r="AC91" s="2" t="inlineStr"/>
      <c r="AD91" s="2" t="inlineStr">
        <is>
          <t>Exact field from Balance Sheet!A77; value cell B77.</t>
        </is>
      </c>
      <c r="AE91" s="2" t="inlineStr">
        <is>
          <t>Notes may support direct extraction or decomposition with provenance. Formula outputs must be derived only from template dependencies.</t>
        </is>
      </c>
      <c r="AF91" s="2" t="inlineStr"/>
      <c r="AG91" s="2" t="inlineStr">
        <is>
          <t>[]</t>
        </is>
      </c>
      <c r="AH91" s="2" t="inlineStr">
        <is>
          <t>Commodities(CA)</t>
        </is>
      </c>
      <c r="AI91" s="2" t="inlineStr"/>
      <c r="AJ91" s="2" t="inlineStr">
        <is>
          <t>{"template_sheet": "Balance Sheet", "template_row": 77, "template_cell": "B77", "template_value_or_formula": 29, "calculation_type": "reported_input", "dependencies": [], "source_template": "Copy of Output_CSV Template.xlsx"}</t>
        </is>
      </c>
    </row>
    <row r="92">
      <c r="A92" s="2" t="inlineStr">
        <is>
          <t>bs_ca__swaps_ca</t>
        </is>
      </c>
      <c r="B92" s="2" t="inlineStr">
        <is>
          <t>Swaps(CA)</t>
        </is>
      </c>
      <c r="C92" s="2" t="inlineStr">
        <is>
          <t>bs_ca</t>
        </is>
      </c>
      <c r="D92" s="2" t="inlineStr">
        <is>
          <t>Extract the reported value for 'Swaps(CA)' from the stated section. Do not calculate or replace it from other rows, because the revised template does not designate this field as formula-driven.</t>
        </is>
      </c>
      <c r="E92" s="2" t="inlineStr">
        <is>
          <t>Swaps(CA)</t>
        </is>
      </c>
      <c r="F92" s="2" t="inlineStr">
        <is>
          <t>Swaps(CA)</t>
        </is>
      </c>
      <c r="G92" s="2" t="inlineStr">
        <is>
          <t>^Swaps\(CA\)$</t>
        </is>
      </c>
      <c r="H92" s="2" t="inlineStr"/>
      <c r="I92" s="2" t="inlineStr">
        <is>
          <t>Amounts or disclosures explicitly reported for Swaps(CA) in Balance Sheet / bs_ca.</t>
        </is>
      </c>
      <c r="J92" s="2" t="inlineStr">
        <is>
          <t>Do not substitute another section, period, entity scope, currency or unit; do not double count a parent and its children.</t>
        </is>
      </c>
      <c r="K92" s="2" t="inlineStr"/>
      <c r="L92" s="2" t="inlineStr">
        <is>
          <t>as_reported</t>
        </is>
      </c>
      <c r="M92" s="2" t="inlineStr">
        <is>
          <t>direct_exclusive</t>
        </is>
      </c>
      <c r="N92" s="2" t="n">
        <v>90</v>
      </c>
      <c r="O92" s="2" t="inlineStr">
        <is>
          <t>normalized_exact_then_regex</t>
        </is>
      </c>
      <c r="P92" s="3" t="inlineStr">
        <is>
          <t>extract</t>
        </is>
      </c>
      <c r="Q92" s="2" t="inlineStr">
        <is>
          <t>currency_amount</t>
        </is>
      </c>
      <c r="R92" s="2" t="inlineStr">
        <is>
          <t>period_end</t>
        </is>
      </c>
      <c r="S92" s="2" t="inlineStr">
        <is>
          <t>allowed_with_provenance</t>
        </is>
      </c>
      <c r="T92" s="2" t="b">
        <v>0</v>
      </c>
      <c r="U92" s="2" t="b">
        <v>0</v>
      </c>
      <c r="V92" s="2" t="inlineStr"/>
      <c r="W92" s="2" t="inlineStr"/>
      <c r="X92" s="2" t="inlineStr">
        <is>
          <t>Decompose only from explicit face or note evidence; never fabricate a split.</t>
        </is>
      </c>
      <c r="Y92" s="2" t="inlineStr">
        <is>
          <t>Aggregate only mutually exclusive facts with identical period, scope, currency and unit.</t>
        </is>
      </c>
      <c r="Z92" s="2" t="inlineStr">
        <is>
          <t>Bind only to Balance Sheet / bs_ca.</t>
        </is>
      </c>
      <c r="AA92" s="2" t="inlineStr"/>
      <c r="AB92" s="2" t="b">
        <v>1</v>
      </c>
      <c r="AC92" s="2" t="inlineStr"/>
      <c r="AD92" s="2" t="inlineStr">
        <is>
          <t>Exact field from Balance Sheet!A78; value cell B78.</t>
        </is>
      </c>
      <c r="AE92" s="2" t="inlineStr">
        <is>
          <t>Notes may support direct extraction or decomposition with provenance. Formula outputs must be derived only from template dependencies.</t>
        </is>
      </c>
      <c r="AF92" s="2" t="inlineStr"/>
      <c r="AG92" s="2" t="inlineStr">
        <is>
          <t>[]</t>
        </is>
      </c>
      <c r="AH92" s="2" t="inlineStr">
        <is>
          <t>Swaps(CA)</t>
        </is>
      </c>
      <c r="AI92" s="2" t="inlineStr"/>
      <c r="AJ92" s="2" t="inlineStr">
        <is>
          <t>{"template_sheet": "Balance Sheet", "template_row": 78, "template_cell": "B78", "template_value_or_formula": 46, "calculation_type": "reported_input", "dependencies": [], "source_template": "Copy of Output_CSV Template.xlsx"}</t>
        </is>
      </c>
    </row>
    <row r="93">
      <c r="A93" s="2" t="inlineStr">
        <is>
          <t>bs_ca__deriv_and_hedg_assets_cp</t>
        </is>
      </c>
      <c r="B93" s="2" t="inlineStr">
        <is>
          <t>Deriv &amp; Hedg Assets(CP)</t>
        </is>
      </c>
      <c r="C93" s="2" t="inlineStr">
        <is>
          <t>bs_ca</t>
        </is>
      </c>
      <c r="D93" s="2" t="inlineStr">
        <is>
          <t>Extract the reported value for 'Deriv &amp; Hedg Assets(CP)' from the stated section. Do not calculate or replace it from other rows, because the revised template does not designate this field as formula-driven.</t>
        </is>
      </c>
      <c r="E93" s="2" t="inlineStr">
        <is>
          <t>Deriv &amp; Hedg Assets(CP)</t>
        </is>
      </c>
      <c r="F93" s="2" t="inlineStr">
        <is>
          <t>Deriv &amp; Hedg Assets(CP)</t>
        </is>
      </c>
      <c r="G93" s="2" t="inlineStr">
        <is>
          <t>^Deriv\s+\&amp;\s+Hedg\s+Assets\(CP\)$</t>
        </is>
      </c>
      <c r="H93" s="2" t="inlineStr"/>
      <c r="I93" s="2" t="inlineStr">
        <is>
          <t>Amounts or disclosures explicitly reported for Deriv &amp; Hedg Assets(CP) in Balance Sheet / bs_ca.</t>
        </is>
      </c>
      <c r="J93" s="2" t="inlineStr">
        <is>
          <t>Do not substitute another section, period, entity scope, currency or unit; do not double count a parent and its children.</t>
        </is>
      </c>
      <c r="K93" s="2" t="inlineStr"/>
      <c r="L93" s="2" t="inlineStr">
        <is>
          <t>as_reported</t>
        </is>
      </c>
      <c r="M93" s="2" t="inlineStr">
        <is>
          <t>direct_exclusive</t>
        </is>
      </c>
      <c r="N93" s="2" t="n">
        <v>90</v>
      </c>
      <c r="O93" s="2" t="inlineStr">
        <is>
          <t>normalized_exact_then_regex</t>
        </is>
      </c>
      <c r="P93" s="3" t="inlineStr">
        <is>
          <t>extract</t>
        </is>
      </c>
      <c r="Q93" s="2" t="inlineStr">
        <is>
          <t>currency_amount</t>
        </is>
      </c>
      <c r="R93" s="2" t="inlineStr">
        <is>
          <t>period_end</t>
        </is>
      </c>
      <c r="S93" s="2" t="inlineStr">
        <is>
          <t>allowed_with_provenance</t>
        </is>
      </c>
      <c r="T93" s="2" t="b">
        <v>0</v>
      </c>
      <c r="U93" s="2" t="b">
        <v>0</v>
      </c>
      <c r="V93" s="2" t="inlineStr"/>
      <c r="W93" s="2" t="inlineStr"/>
      <c r="X93" s="2" t="inlineStr">
        <is>
          <t>Decompose only from explicit face or note evidence; never fabricate a split.</t>
        </is>
      </c>
      <c r="Y93" s="2" t="inlineStr">
        <is>
          <t>Aggregate only mutually exclusive facts with identical period, scope, currency and unit.</t>
        </is>
      </c>
      <c r="Z93" s="2" t="inlineStr">
        <is>
          <t>Bind only to Balance Sheet / bs_ca.</t>
        </is>
      </c>
      <c r="AA93" s="2" t="inlineStr"/>
      <c r="AB93" s="2" t="b">
        <v>1</v>
      </c>
      <c r="AC93" s="2" t="inlineStr"/>
      <c r="AD93" s="2" t="inlineStr">
        <is>
          <t>Exact field from Balance Sheet!A79; value cell B79.</t>
        </is>
      </c>
      <c r="AE93" s="2" t="inlineStr">
        <is>
          <t>Notes may support direct extraction or decomposition with provenance. Formula outputs must be derived only from template dependencies.</t>
        </is>
      </c>
      <c r="AF93" s="2" t="inlineStr"/>
      <c r="AG93" s="2" t="inlineStr">
        <is>
          <t>[]</t>
        </is>
      </c>
      <c r="AH93" s="2" t="inlineStr">
        <is>
          <t>Deriv &amp; Hedg Assets(CP)</t>
        </is>
      </c>
      <c r="AI93" s="2" t="inlineStr"/>
      <c r="AJ93" s="2" t="inlineStr">
        <is>
          <t>{"template_sheet": "Balance Sheet", "template_row": 79, "template_cell": "B79", "template_value_or_formula": 20, "calculation_type": "reported_input", "dependencies": [], "source_template": "Copy of Output_CSV Template.xlsx"}</t>
        </is>
      </c>
    </row>
    <row r="94">
      <c r="A94" s="2" t="inlineStr">
        <is>
          <t>bs_ca__assets_plgd_under_securitization</t>
        </is>
      </c>
      <c r="B94" s="2" t="inlineStr">
        <is>
          <t>Assets Plgd Under Securitization</t>
        </is>
      </c>
      <c r="C94" s="2" t="inlineStr">
        <is>
          <t>bs_ca</t>
        </is>
      </c>
      <c r="D94" s="2" t="inlineStr">
        <is>
          <t>Extract the reported value for 'Assets Plgd Under Securitization' from the stated section. Do not calculate or replace it from other rows, because the revised template does not designate this field as formula-driven.</t>
        </is>
      </c>
      <c r="E94" s="2" t="inlineStr">
        <is>
          <t>Assets Plgd Under Securitization</t>
        </is>
      </c>
      <c r="F94" s="2" t="inlineStr">
        <is>
          <t>Assets Plgd Under Securitization</t>
        </is>
      </c>
      <c r="G94" s="2" t="inlineStr">
        <is>
          <t>^Assets\s+Plgd\s+Under\s+Securitization$</t>
        </is>
      </c>
      <c r="H94" s="2" t="inlineStr"/>
      <c r="I94" s="2" t="inlineStr">
        <is>
          <t>Amounts or disclosures explicitly reported for Assets Plgd Under Securitization in Balance Sheet / bs_ca.</t>
        </is>
      </c>
      <c r="J94" s="2" t="inlineStr">
        <is>
          <t>Do not substitute another section, period, entity scope, currency or unit; do not double count a parent and its children.</t>
        </is>
      </c>
      <c r="K94" s="2" t="inlineStr"/>
      <c r="L94" s="2" t="inlineStr">
        <is>
          <t>as_reported</t>
        </is>
      </c>
      <c r="M94" s="2" t="inlineStr">
        <is>
          <t>direct_exclusive</t>
        </is>
      </c>
      <c r="N94" s="2" t="n">
        <v>90</v>
      </c>
      <c r="O94" s="2" t="inlineStr">
        <is>
          <t>normalized_exact_then_regex</t>
        </is>
      </c>
      <c r="P94" s="3" t="inlineStr">
        <is>
          <t>extract</t>
        </is>
      </c>
      <c r="Q94" s="2" t="inlineStr">
        <is>
          <t>currency_amount</t>
        </is>
      </c>
      <c r="R94" s="2" t="inlineStr">
        <is>
          <t>period_end</t>
        </is>
      </c>
      <c r="S94" s="2" t="inlineStr">
        <is>
          <t>allowed_with_provenance</t>
        </is>
      </c>
      <c r="T94" s="2" t="b">
        <v>0</v>
      </c>
      <c r="U94" s="2" t="b">
        <v>0</v>
      </c>
      <c r="V94" s="2" t="inlineStr"/>
      <c r="W94" s="2" t="inlineStr"/>
      <c r="X94" s="2" t="inlineStr">
        <is>
          <t>Decompose only from explicit face or note evidence; never fabricate a split.</t>
        </is>
      </c>
      <c r="Y94" s="2" t="inlineStr">
        <is>
          <t>Aggregate only mutually exclusive facts with identical period, scope, currency and unit.</t>
        </is>
      </c>
      <c r="Z94" s="2" t="inlineStr">
        <is>
          <t>Bind only to Balance Sheet / bs_ca.</t>
        </is>
      </c>
      <c r="AA94" s="2" t="inlineStr"/>
      <c r="AB94" s="2" t="b">
        <v>1</v>
      </c>
      <c r="AC94" s="2" t="inlineStr"/>
      <c r="AD94" s="2" t="inlineStr">
        <is>
          <t>Exact field from Balance Sheet!A80; value cell B80.</t>
        </is>
      </c>
      <c r="AE94" s="2" t="inlineStr">
        <is>
          <t>Notes may support direct extraction or decomposition with provenance. Formula outputs must be derived only from template dependencies.</t>
        </is>
      </c>
      <c r="AF94" s="2" t="inlineStr"/>
      <c r="AG94" s="2" t="inlineStr">
        <is>
          <t>[]</t>
        </is>
      </c>
      <c r="AH94" s="2" t="inlineStr">
        <is>
          <t>Assets Plgd Under Securitization</t>
        </is>
      </c>
      <c r="AI94" s="2" t="inlineStr"/>
      <c r="AJ94" s="2" t="inlineStr">
        <is>
          <t>{"template_sheet": "Balance Sheet", "template_row": 80, "template_cell": "B80", "template_value_or_formula": 37, "calculation_type": "reported_input", "dependencies": [], "source_template": "Copy of Output_CSV Template.xlsx"}</t>
        </is>
      </c>
    </row>
    <row r="95">
      <c r="A95" s="2" t="inlineStr">
        <is>
          <t>bs_ca__current_tax_receivables</t>
        </is>
      </c>
      <c r="B95" s="2" t="inlineStr">
        <is>
          <t>Current Tax Receivables</t>
        </is>
      </c>
      <c r="C95" s="2" t="inlineStr">
        <is>
          <t>bs_ca</t>
        </is>
      </c>
      <c r="D95" s="2" t="inlineStr">
        <is>
          <t>Extract the reported value for 'Current Tax Receivables' from the stated section. Do not calculate or replace it from other rows, because the revised template does not designate this field as formula-driven.</t>
        </is>
      </c>
      <c r="E95" s="2" t="inlineStr">
        <is>
          <t>Current Tax Receivables</t>
        </is>
      </c>
      <c r="F95" s="2" t="inlineStr">
        <is>
          <t>Current Tax Receivables</t>
        </is>
      </c>
      <c r="G95" s="2" t="inlineStr">
        <is>
          <t>^Current\s+Tax\s+Receivables$</t>
        </is>
      </c>
      <c r="H95" s="2" t="inlineStr"/>
      <c r="I95" s="2" t="inlineStr">
        <is>
          <t>Amounts or disclosures explicitly reported for Current Tax Receivables in Balance Sheet / bs_ca.</t>
        </is>
      </c>
      <c r="J95" s="2" t="inlineStr">
        <is>
          <t>Do not substitute another section, period, entity scope, currency or unit; do not double count a parent and its children.</t>
        </is>
      </c>
      <c r="K95" s="2" t="inlineStr"/>
      <c r="L95" s="2" t="inlineStr">
        <is>
          <t>as_reported</t>
        </is>
      </c>
      <c r="M95" s="2" t="inlineStr">
        <is>
          <t>direct_exclusive</t>
        </is>
      </c>
      <c r="N95" s="2" t="n">
        <v>90</v>
      </c>
      <c r="O95" s="2" t="inlineStr">
        <is>
          <t>normalized_exact_then_regex</t>
        </is>
      </c>
      <c r="P95" s="3" t="inlineStr">
        <is>
          <t>extract</t>
        </is>
      </c>
      <c r="Q95" s="2" t="inlineStr">
        <is>
          <t>currency_amount</t>
        </is>
      </c>
      <c r="R95" s="2" t="inlineStr">
        <is>
          <t>period_end</t>
        </is>
      </c>
      <c r="S95" s="2" t="inlineStr">
        <is>
          <t>allowed_with_provenance</t>
        </is>
      </c>
      <c r="T95" s="2" t="b">
        <v>0</v>
      </c>
      <c r="U95" s="2" t="b">
        <v>0</v>
      </c>
      <c r="V95" s="2" t="inlineStr"/>
      <c r="W95" s="2" t="inlineStr"/>
      <c r="X95" s="2" t="inlineStr">
        <is>
          <t>Decompose only from explicit face or note evidence; never fabricate a split.</t>
        </is>
      </c>
      <c r="Y95" s="2" t="inlineStr">
        <is>
          <t>Aggregate only mutually exclusive facts with identical period, scope, currency and unit.</t>
        </is>
      </c>
      <c r="Z95" s="2" t="inlineStr">
        <is>
          <t>Bind only to Balance Sheet / bs_ca.</t>
        </is>
      </c>
      <c r="AA95" s="2" t="inlineStr"/>
      <c r="AB95" s="2" t="b">
        <v>1</v>
      </c>
      <c r="AC95" s="2" t="inlineStr"/>
      <c r="AD95" s="2" t="inlineStr">
        <is>
          <t>Exact field from Balance Sheet!A81; value cell B81.</t>
        </is>
      </c>
      <c r="AE95" s="2" t="inlineStr">
        <is>
          <t>Notes may support direct extraction or decomposition with provenance. Formula outputs must be derived only from template dependencies.</t>
        </is>
      </c>
      <c r="AF95" s="2" t="inlineStr"/>
      <c r="AG95" s="2" t="inlineStr">
        <is>
          <t>[]</t>
        </is>
      </c>
      <c r="AH95" s="2" t="inlineStr">
        <is>
          <t>Current Tax Receivables</t>
        </is>
      </c>
      <c r="AI95" s="2" t="inlineStr"/>
      <c r="AJ95" s="2" t="inlineStr">
        <is>
          <t>{"template_sheet": "Balance Sheet", "template_row": 81, "template_cell": "B81", "template_value_or_formula": 11, "calculation_type": "reported_input", "dependencies": [], "source_template": "Copy of Output_CSV Template.xlsx"}</t>
        </is>
      </c>
    </row>
    <row r="96">
      <c r="A96" s="2" t="inlineStr">
        <is>
          <t>bs_ca__prepaid_land_lease_payments_cp</t>
        </is>
      </c>
      <c r="B96" s="2" t="inlineStr">
        <is>
          <t>Prepaid land lease payments(CP)</t>
        </is>
      </c>
      <c r="C96" s="2" t="inlineStr">
        <is>
          <t>bs_ca</t>
        </is>
      </c>
      <c r="D96" s="2" t="inlineStr">
        <is>
          <t>Extract the reported value for 'Prepaid land lease payments(CP)' from the stated section. Do not calculate or replace it from other rows, because the revised template does not designate this field as formula-driven.</t>
        </is>
      </c>
      <c r="E96" s="2" t="inlineStr">
        <is>
          <t>Prepaid land lease payments(CP)</t>
        </is>
      </c>
      <c r="F96" s="2" t="inlineStr">
        <is>
          <t>Prepaid land lease payments(CP)</t>
        </is>
      </c>
      <c r="G96" s="2" t="inlineStr">
        <is>
          <t>^Prepaid\s+land\s+lease\s+payments\(CP\)$</t>
        </is>
      </c>
      <c r="H96" s="2" t="inlineStr"/>
      <c r="I96" s="2" t="inlineStr">
        <is>
          <t>Amounts or disclosures explicitly reported for Prepaid land lease payments(CP) in Balance Sheet / bs_ca.</t>
        </is>
      </c>
      <c r="J96" s="2" t="inlineStr">
        <is>
          <t>Do not substitute another section, period, entity scope, currency or unit; do not double count a parent and its children.</t>
        </is>
      </c>
      <c r="K96" s="2" t="inlineStr"/>
      <c r="L96" s="2" t="inlineStr">
        <is>
          <t>as_reported</t>
        </is>
      </c>
      <c r="M96" s="2" t="inlineStr">
        <is>
          <t>direct_exclusive</t>
        </is>
      </c>
      <c r="N96" s="2" t="n">
        <v>90</v>
      </c>
      <c r="O96" s="2" t="inlineStr">
        <is>
          <t>normalized_exact_then_regex</t>
        </is>
      </c>
      <c r="P96" s="3" t="inlineStr">
        <is>
          <t>extract</t>
        </is>
      </c>
      <c r="Q96" s="2" t="inlineStr">
        <is>
          <t>currency_amount</t>
        </is>
      </c>
      <c r="R96" s="2" t="inlineStr">
        <is>
          <t>period_end</t>
        </is>
      </c>
      <c r="S96" s="2" t="inlineStr">
        <is>
          <t>allowed_with_provenance</t>
        </is>
      </c>
      <c r="T96" s="2" t="b">
        <v>0</v>
      </c>
      <c r="U96" s="2" t="b">
        <v>0</v>
      </c>
      <c r="V96" s="2" t="inlineStr"/>
      <c r="W96" s="2" t="inlineStr"/>
      <c r="X96" s="2" t="inlineStr">
        <is>
          <t>Decompose only from explicit face or note evidence; never fabricate a split.</t>
        </is>
      </c>
      <c r="Y96" s="2" t="inlineStr">
        <is>
          <t>Aggregate only mutually exclusive facts with identical period, scope, currency and unit.</t>
        </is>
      </c>
      <c r="Z96" s="2" t="inlineStr">
        <is>
          <t>Bind only to Balance Sheet / bs_ca.</t>
        </is>
      </c>
      <c r="AA96" s="2" t="inlineStr"/>
      <c r="AB96" s="2" t="b">
        <v>1</v>
      </c>
      <c r="AC96" s="2" t="inlineStr"/>
      <c r="AD96" s="2" t="inlineStr">
        <is>
          <t>Exact field from Balance Sheet!A82; value cell B82.</t>
        </is>
      </c>
      <c r="AE96" s="2" t="inlineStr">
        <is>
          <t>Notes may support direct extraction or decomposition with provenance. Formula outputs must be derived only from template dependencies.</t>
        </is>
      </c>
      <c r="AF96" s="2" t="inlineStr"/>
      <c r="AG96" s="2" t="inlineStr">
        <is>
          <t>[]</t>
        </is>
      </c>
      <c r="AH96" s="2" t="inlineStr">
        <is>
          <t>Prepaid land lease payments(CP)</t>
        </is>
      </c>
      <c r="AI96" s="2" t="inlineStr"/>
      <c r="AJ96" s="2" t="inlineStr">
        <is>
          <t>{"template_sheet": "Balance Sheet", "template_row": 82, "template_cell": "B82", "template_value_or_formula": 28, "calculation_type": "reported_input", "dependencies": [], "source_template": "Copy of Output_CSV Template.xlsx"}</t>
        </is>
      </c>
    </row>
    <row r="97">
      <c r="A97" s="2" t="inlineStr">
        <is>
          <t>bs_ca__prepayments_cp</t>
        </is>
      </c>
      <c r="B97" s="2" t="inlineStr">
        <is>
          <t>Prepayments(CP)</t>
        </is>
      </c>
      <c r="C97" s="2" t="inlineStr">
        <is>
          <t>bs_ca</t>
        </is>
      </c>
      <c r="D97" s="2" t="inlineStr">
        <is>
          <t>Extract the reported value for 'Prepayments(CP)' from the stated section. Do not calculate or replace it from other rows, because the revised template does not designate this field as formula-driven.</t>
        </is>
      </c>
      <c r="E97" s="2" t="inlineStr">
        <is>
          <t>Prepayments(CP)</t>
        </is>
      </c>
      <c r="F97" s="2" t="inlineStr">
        <is>
          <t>Prepayments(CP)</t>
        </is>
      </c>
      <c r="G97" s="2" t="inlineStr">
        <is>
          <t>^Prepayments\(CP\)$</t>
        </is>
      </c>
      <c r="H97" s="2" t="inlineStr"/>
      <c r="I97" s="2" t="inlineStr">
        <is>
          <t>Amounts or disclosures explicitly reported for Prepayments(CP) in Balance Sheet / bs_ca.</t>
        </is>
      </c>
      <c r="J97" s="2" t="inlineStr">
        <is>
          <t>Do not substitute another section, period, entity scope, currency or unit; do not double count a parent and its children.</t>
        </is>
      </c>
      <c r="K97" s="2" t="inlineStr"/>
      <c r="L97" s="2" t="inlineStr">
        <is>
          <t>as_reported</t>
        </is>
      </c>
      <c r="M97" s="2" t="inlineStr">
        <is>
          <t>direct_exclusive</t>
        </is>
      </c>
      <c r="N97" s="2" t="n">
        <v>90</v>
      </c>
      <c r="O97" s="2" t="inlineStr">
        <is>
          <t>normalized_exact_then_regex</t>
        </is>
      </c>
      <c r="P97" s="3" t="inlineStr">
        <is>
          <t>extract</t>
        </is>
      </c>
      <c r="Q97" s="2" t="inlineStr">
        <is>
          <t>currency_amount</t>
        </is>
      </c>
      <c r="R97" s="2" t="inlineStr">
        <is>
          <t>period_end</t>
        </is>
      </c>
      <c r="S97" s="2" t="inlineStr">
        <is>
          <t>allowed_with_provenance</t>
        </is>
      </c>
      <c r="T97" s="2" t="b">
        <v>0</v>
      </c>
      <c r="U97" s="2" t="b">
        <v>0</v>
      </c>
      <c r="V97" s="2" t="inlineStr"/>
      <c r="W97" s="2" t="inlineStr"/>
      <c r="X97" s="2" t="inlineStr">
        <is>
          <t>Decompose only from explicit face or note evidence; never fabricate a split.</t>
        </is>
      </c>
      <c r="Y97" s="2" t="inlineStr">
        <is>
          <t>Aggregate only mutually exclusive facts with identical period, scope, currency and unit.</t>
        </is>
      </c>
      <c r="Z97" s="2" t="inlineStr">
        <is>
          <t>Bind only to Balance Sheet / bs_ca.</t>
        </is>
      </c>
      <c r="AA97" s="2" t="inlineStr"/>
      <c r="AB97" s="2" t="b">
        <v>1</v>
      </c>
      <c r="AC97" s="2" t="inlineStr"/>
      <c r="AD97" s="2" t="inlineStr">
        <is>
          <t>Exact field from Balance Sheet!A83; value cell B83.</t>
        </is>
      </c>
      <c r="AE97" s="2" t="inlineStr">
        <is>
          <t>Notes may support direct extraction or decomposition with provenance. Formula outputs must be derived only from template dependencies.</t>
        </is>
      </c>
      <c r="AF97" s="2" t="inlineStr"/>
      <c r="AG97" s="2" t="inlineStr">
        <is>
          <t>[]</t>
        </is>
      </c>
      <c r="AH97" s="2" t="inlineStr">
        <is>
          <t>Prepayments(CP)</t>
        </is>
      </c>
      <c r="AI97" s="2" t="inlineStr"/>
      <c r="AJ97" s="2" t="inlineStr">
        <is>
          <t>{"template_sheet": "Balance Sheet", "template_row": 83, "template_cell": "B83", "template_value_or_formula": 45, "calculation_type": "reported_input", "dependencies": [], "source_template": "Copy of Output_CSV Template.xlsx"}</t>
        </is>
      </c>
    </row>
    <row r="98">
      <c r="A98" s="2" t="inlineStr">
        <is>
          <t>bs_ca__assets_related_to_disc_ops</t>
        </is>
      </c>
      <c r="B98" s="2" t="inlineStr">
        <is>
          <t>Assets Related to Disc Ops</t>
        </is>
      </c>
      <c r="C98" s="2" t="inlineStr">
        <is>
          <t>bs_ca</t>
        </is>
      </c>
      <c r="D98" s="2" t="inlineStr">
        <is>
          <t>Extract the reported value for 'Assets Related to Disc Ops' from the stated section. Do not calculate or replace it from other rows, because the revised template does not designate this field as formula-driven.</t>
        </is>
      </c>
      <c r="E98" s="2" t="inlineStr">
        <is>
          <t>Assets Related to Disc Ops</t>
        </is>
      </c>
      <c r="F98" s="2" t="inlineStr">
        <is>
          <t>Assets Related to Disc Ops</t>
        </is>
      </c>
      <c r="G98" s="2" t="inlineStr">
        <is>
          <t>^Assets\s+Related\s+to\s+Disc\s+Ops$</t>
        </is>
      </c>
      <c r="H98" s="2" t="inlineStr"/>
      <c r="I98" s="2" t="inlineStr">
        <is>
          <t>Amounts or disclosures explicitly reported for Assets Related to Disc Ops in Balance Sheet / bs_ca.</t>
        </is>
      </c>
      <c r="J98" s="2" t="inlineStr">
        <is>
          <t>Do not substitute another section, period, entity scope, currency or unit; do not double count a parent and its children.</t>
        </is>
      </c>
      <c r="K98" s="2" t="inlineStr"/>
      <c r="L98" s="2" t="inlineStr">
        <is>
          <t>as_reported</t>
        </is>
      </c>
      <c r="M98" s="2" t="inlineStr">
        <is>
          <t>direct_exclusive</t>
        </is>
      </c>
      <c r="N98" s="2" t="n">
        <v>90</v>
      </c>
      <c r="O98" s="2" t="inlineStr">
        <is>
          <t>normalized_exact_then_regex</t>
        </is>
      </c>
      <c r="P98" s="3" t="inlineStr">
        <is>
          <t>extract</t>
        </is>
      </c>
      <c r="Q98" s="2" t="inlineStr">
        <is>
          <t>currency_amount</t>
        </is>
      </c>
      <c r="R98" s="2" t="inlineStr">
        <is>
          <t>period_end</t>
        </is>
      </c>
      <c r="S98" s="2" t="inlineStr">
        <is>
          <t>allowed_with_provenance</t>
        </is>
      </c>
      <c r="T98" s="2" t="b">
        <v>0</v>
      </c>
      <c r="U98" s="2" t="b">
        <v>0</v>
      </c>
      <c r="V98" s="2" t="inlineStr"/>
      <c r="W98" s="2" t="inlineStr"/>
      <c r="X98" s="2" t="inlineStr">
        <is>
          <t>Decompose only from explicit face or note evidence; never fabricate a split.</t>
        </is>
      </c>
      <c r="Y98" s="2" t="inlineStr">
        <is>
          <t>Aggregate only mutually exclusive facts with identical period, scope, currency and unit.</t>
        </is>
      </c>
      <c r="Z98" s="2" t="inlineStr">
        <is>
          <t>Bind only to Balance Sheet / bs_ca.</t>
        </is>
      </c>
      <c r="AA98" s="2" t="inlineStr"/>
      <c r="AB98" s="2" t="b">
        <v>1</v>
      </c>
      <c r="AC98" s="2" t="inlineStr"/>
      <c r="AD98" s="2" t="inlineStr">
        <is>
          <t>Exact field from Balance Sheet!A84; value cell B84.</t>
        </is>
      </c>
      <c r="AE98" s="2" t="inlineStr">
        <is>
          <t>Notes may support direct extraction or decomposition with provenance. Formula outputs must be derived only from template dependencies.</t>
        </is>
      </c>
      <c r="AF98" s="2" t="inlineStr"/>
      <c r="AG98" s="2" t="inlineStr">
        <is>
          <t>[]</t>
        </is>
      </c>
      <c r="AH98" s="2" t="inlineStr">
        <is>
          <t>Assets Related to Disc Ops</t>
        </is>
      </c>
      <c r="AI98" s="2" t="inlineStr"/>
      <c r="AJ98" s="2" t="inlineStr">
        <is>
          <t>{"template_sheet": "Balance Sheet", "template_row": 84, "template_cell": "B84", "template_value_or_formula": 19, "calculation_type": "reported_input", "dependencies": [], "source_template": "Copy of Output_CSV Template.xlsx"}</t>
        </is>
      </c>
    </row>
    <row r="99">
      <c r="A99" s="2" t="inlineStr">
        <is>
          <t>bs_ca__pledged_deposits</t>
        </is>
      </c>
      <c r="B99" s="2" t="inlineStr">
        <is>
          <t>Pledged Deposits</t>
        </is>
      </c>
      <c r="C99" s="2" t="inlineStr">
        <is>
          <t>bs_ca</t>
        </is>
      </c>
      <c r="D99" s="2" t="inlineStr">
        <is>
          <t>Extract the reported value for 'Pledged Deposits' from the stated section. Do not calculate or replace it from other rows, because the revised template does not designate this field as formula-driven.</t>
        </is>
      </c>
      <c r="E99" s="2" t="inlineStr">
        <is>
          <t>Pledged Deposits</t>
        </is>
      </c>
      <c r="F99" s="2" t="inlineStr">
        <is>
          <t>Pledged Deposits</t>
        </is>
      </c>
      <c r="G99" s="2" t="inlineStr">
        <is>
          <t>^Pledged\s+Deposits$</t>
        </is>
      </c>
      <c r="H99" s="2" t="inlineStr"/>
      <c r="I99" s="2" t="inlineStr">
        <is>
          <t>Amounts or disclosures explicitly reported for Pledged Deposits in Balance Sheet / bs_ca.</t>
        </is>
      </c>
      <c r="J99" s="2" t="inlineStr">
        <is>
          <t>Do not substitute another section, period, entity scope, currency or unit; do not double count a parent and its children.</t>
        </is>
      </c>
      <c r="K99" s="2" t="inlineStr"/>
      <c r="L99" s="2" t="inlineStr">
        <is>
          <t>as_reported</t>
        </is>
      </c>
      <c r="M99" s="2" t="inlineStr">
        <is>
          <t>direct_exclusive</t>
        </is>
      </c>
      <c r="N99" s="2" t="n">
        <v>90</v>
      </c>
      <c r="O99" s="2" t="inlineStr">
        <is>
          <t>normalized_exact_then_regex</t>
        </is>
      </c>
      <c r="P99" s="3" t="inlineStr">
        <is>
          <t>extract</t>
        </is>
      </c>
      <c r="Q99" s="2" t="inlineStr">
        <is>
          <t>currency_amount</t>
        </is>
      </c>
      <c r="R99" s="2" t="inlineStr">
        <is>
          <t>period_end</t>
        </is>
      </c>
      <c r="S99" s="2" t="inlineStr">
        <is>
          <t>allowed_with_provenance</t>
        </is>
      </c>
      <c r="T99" s="2" t="b">
        <v>0</v>
      </c>
      <c r="U99" s="2" t="b">
        <v>0</v>
      </c>
      <c r="V99" s="2" t="inlineStr"/>
      <c r="W99" s="2" t="inlineStr"/>
      <c r="X99" s="2" t="inlineStr">
        <is>
          <t>Decompose only from explicit face or note evidence; never fabricate a split.</t>
        </is>
      </c>
      <c r="Y99" s="2" t="inlineStr">
        <is>
          <t>Aggregate only mutually exclusive facts with identical period, scope, currency and unit.</t>
        </is>
      </c>
      <c r="Z99" s="2" t="inlineStr">
        <is>
          <t>Bind only to Balance Sheet / bs_ca.</t>
        </is>
      </c>
      <c r="AA99" s="2" t="inlineStr"/>
      <c r="AB99" s="2" t="b">
        <v>1</v>
      </c>
      <c r="AC99" s="2" t="inlineStr"/>
      <c r="AD99" s="2" t="inlineStr">
        <is>
          <t>Exact field from Balance Sheet!A85; value cell B85.</t>
        </is>
      </c>
      <c r="AE99" s="2" t="inlineStr">
        <is>
          <t>Notes may support direct extraction or decomposition with provenance. Formula outputs must be derived only from template dependencies.</t>
        </is>
      </c>
      <c r="AF99" s="2" t="inlineStr"/>
      <c r="AG99" s="2" t="inlineStr">
        <is>
          <t>[]</t>
        </is>
      </c>
      <c r="AH99" s="2" t="inlineStr">
        <is>
          <t>Pledged Deposits</t>
        </is>
      </c>
      <c r="AI99" s="2" t="inlineStr"/>
      <c r="AJ99" s="2" t="inlineStr">
        <is>
          <t>{"template_sheet": "Balance Sheet", "template_row": 85, "template_cell": "B85", "template_value_or_formula": 36, "calculation_type": "reported_input", "dependencies": [], "source_template": "Copy of Output_CSV Template.xlsx"}</t>
        </is>
      </c>
    </row>
    <row r="100">
      <c r="A100" s="2" t="inlineStr">
        <is>
          <t>bs_ca__pledged_secur_and_other_fincl_assets_cp</t>
        </is>
      </c>
      <c r="B100" s="2" t="inlineStr">
        <is>
          <t>Pledged Secur &amp; Other Fincl Assets(CP)</t>
        </is>
      </c>
      <c r="C100" s="2" t="inlineStr">
        <is>
          <t>bs_ca</t>
        </is>
      </c>
      <c r="D100" s="2" t="inlineStr">
        <is>
          <t>Extract the reported value for 'Pledged Secur &amp; Other Fincl Assets(CP)' from the stated section. Do not calculate or replace it from other rows, because the revised template does not designate this field as formula-driven.</t>
        </is>
      </c>
      <c r="E100" s="2" t="inlineStr">
        <is>
          <t>Pledged Secur &amp; Other Fincl Assets(CP)</t>
        </is>
      </c>
      <c r="F100" s="2" t="inlineStr">
        <is>
          <t>Pledged Secur &amp; Other Fincl Assets(CP)</t>
        </is>
      </c>
      <c r="G100" s="2" t="inlineStr">
        <is>
          <t>^Pledged\s+Secur\s+\&amp;\s+Other\s+Fincl\s+Assets\(CP\)$</t>
        </is>
      </c>
      <c r="H100" s="2" t="inlineStr"/>
      <c r="I100" s="2" t="inlineStr">
        <is>
          <t>Amounts or disclosures explicitly reported for Pledged Secur &amp; Other Fincl Assets(CP) in Balance Sheet / bs_ca.</t>
        </is>
      </c>
      <c r="J100" s="2" t="inlineStr">
        <is>
          <t>Do not substitute another section, period, entity scope, currency or unit; do not double count a parent and its children.</t>
        </is>
      </c>
      <c r="K100" s="2" t="inlineStr"/>
      <c r="L100" s="2" t="inlineStr">
        <is>
          <t>as_reported</t>
        </is>
      </c>
      <c r="M100" s="2" t="inlineStr">
        <is>
          <t>direct_exclusive</t>
        </is>
      </c>
      <c r="N100" s="2" t="n">
        <v>90</v>
      </c>
      <c r="O100" s="2" t="inlineStr">
        <is>
          <t>normalized_exact_then_regex</t>
        </is>
      </c>
      <c r="P100" s="3" t="inlineStr">
        <is>
          <t>extract</t>
        </is>
      </c>
      <c r="Q100" s="2" t="inlineStr">
        <is>
          <t>currency_amount</t>
        </is>
      </c>
      <c r="R100" s="2" t="inlineStr">
        <is>
          <t>period_end</t>
        </is>
      </c>
      <c r="S100" s="2" t="inlineStr">
        <is>
          <t>allowed_with_provenance</t>
        </is>
      </c>
      <c r="T100" s="2" t="b">
        <v>0</v>
      </c>
      <c r="U100" s="2" t="b">
        <v>0</v>
      </c>
      <c r="V100" s="2" t="inlineStr"/>
      <c r="W100" s="2" t="inlineStr"/>
      <c r="X100" s="2" t="inlineStr">
        <is>
          <t>Decompose only from explicit face or note evidence; never fabricate a split.</t>
        </is>
      </c>
      <c r="Y100" s="2" t="inlineStr">
        <is>
          <t>Aggregate only mutually exclusive facts with identical period, scope, currency and unit.</t>
        </is>
      </c>
      <c r="Z100" s="2" t="inlineStr">
        <is>
          <t>Bind only to Balance Sheet / bs_ca.</t>
        </is>
      </c>
      <c r="AA100" s="2" t="inlineStr"/>
      <c r="AB100" s="2" t="b">
        <v>1</v>
      </c>
      <c r="AC100" s="2" t="inlineStr"/>
      <c r="AD100" s="2" t="inlineStr">
        <is>
          <t>Exact field from Balance Sheet!A86; value cell B86.</t>
        </is>
      </c>
      <c r="AE100" s="2" t="inlineStr">
        <is>
          <t>Notes may support direct extraction or decomposition with provenance. Formula outputs must be derived only from template dependencies.</t>
        </is>
      </c>
      <c r="AF100" s="2" t="inlineStr"/>
      <c r="AG100" s="2" t="inlineStr">
        <is>
          <t>[]</t>
        </is>
      </c>
      <c r="AH100" s="2" t="inlineStr">
        <is>
          <t>Pledged Secur &amp; Other Fincl Assets(CP)</t>
        </is>
      </c>
      <c r="AI100" s="2" t="inlineStr"/>
      <c r="AJ100" s="2" t="inlineStr">
        <is>
          <t>{"template_sheet": "Balance Sheet", "template_row": 86, "template_cell": "B86", "template_value_or_formula": 10, "calculation_type": "reported_input", "dependencies": [], "source_template": "Copy of Output_CSV Template.xlsx"}</t>
        </is>
      </c>
    </row>
    <row r="101">
      <c r="A101" s="2" t="inlineStr">
        <is>
          <t>bs_ca__wealth_management_products_cp_from_otherasset</t>
        </is>
      </c>
      <c r="B101" s="2" t="inlineStr">
        <is>
          <t>Wealth management products(CP) (from OtherAsset)</t>
        </is>
      </c>
      <c r="C101" s="2" t="inlineStr">
        <is>
          <t>bs_ca</t>
        </is>
      </c>
      <c r="D101" s="2" t="inlineStr">
        <is>
          <t>Extract the reported value for 'Wealth management products(CP) (from OtherAsset)' from the stated section. Do not calculate or replace it from other rows, because the revised template does not designate this field as formula-driven.</t>
        </is>
      </c>
      <c r="E101" s="2" t="inlineStr">
        <is>
          <t>Wealth management products(CP) (from OtherAsset)</t>
        </is>
      </c>
      <c r="F101" s="2" t="inlineStr">
        <is>
          <t>Wealth management products(CP) (from OtherAsset)</t>
        </is>
      </c>
      <c r="G101" s="2" t="inlineStr">
        <is>
          <t>^Wealth\s+management\s+products\(CP\)\s+\(from\s+OtherAsset\)$</t>
        </is>
      </c>
      <c r="H101" s="2" t="inlineStr"/>
      <c r="I101" s="2" t="inlineStr">
        <is>
          <t>Amounts or disclosures explicitly reported for Wealth management products(CP) (from OtherAsset) in Balance Sheet / bs_ca.</t>
        </is>
      </c>
      <c r="J101" s="2" t="inlineStr">
        <is>
          <t>Do not substitute another section, period, entity scope, currency or unit; do not double count a parent and its children.</t>
        </is>
      </c>
      <c r="K101" s="2" t="inlineStr"/>
      <c r="L101" s="2" t="inlineStr">
        <is>
          <t>as_reported</t>
        </is>
      </c>
      <c r="M101" s="2" t="inlineStr">
        <is>
          <t>direct_exclusive</t>
        </is>
      </c>
      <c r="N101" s="2" t="n">
        <v>90</v>
      </c>
      <c r="O101" s="2" t="inlineStr">
        <is>
          <t>normalized_exact_then_regex</t>
        </is>
      </c>
      <c r="P101" s="3" t="inlineStr">
        <is>
          <t>extract</t>
        </is>
      </c>
      <c r="Q101" s="2" t="inlineStr">
        <is>
          <t>currency_amount</t>
        </is>
      </c>
      <c r="R101" s="2" t="inlineStr">
        <is>
          <t>period_end</t>
        </is>
      </c>
      <c r="S101" s="2" t="inlineStr">
        <is>
          <t>allowed_with_provenance</t>
        </is>
      </c>
      <c r="T101" s="2" t="b">
        <v>0</v>
      </c>
      <c r="U101" s="2" t="b">
        <v>0</v>
      </c>
      <c r="V101" s="2" t="inlineStr"/>
      <c r="W101" s="2" t="inlineStr"/>
      <c r="X101" s="2" t="inlineStr">
        <is>
          <t>Decompose only from explicit face or note evidence; never fabricate a split.</t>
        </is>
      </c>
      <c r="Y101" s="2" t="inlineStr">
        <is>
          <t>Aggregate only mutually exclusive facts with identical period, scope, currency and unit.</t>
        </is>
      </c>
      <c r="Z101" s="2" t="inlineStr">
        <is>
          <t>Bind only to Balance Sheet / bs_ca.</t>
        </is>
      </c>
      <c r="AA101" s="2" t="inlineStr"/>
      <c r="AB101" s="2" t="b">
        <v>1</v>
      </c>
      <c r="AC101" s="2" t="inlineStr"/>
      <c r="AD101" s="2" t="inlineStr">
        <is>
          <t>Exact field from Balance Sheet!A87; value cell B87.</t>
        </is>
      </c>
      <c r="AE101" s="2" t="inlineStr">
        <is>
          <t>Notes may support direct extraction or decomposition with provenance. Formula outputs must be derived only from template dependencies.</t>
        </is>
      </c>
      <c r="AF101" s="2" t="inlineStr"/>
      <c r="AG101" s="2" t="inlineStr">
        <is>
          <t>[]</t>
        </is>
      </c>
      <c r="AH101" s="2" t="inlineStr">
        <is>
          <t>Wealth management products(CP) (from OtherAsset)</t>
        </is>
      </c>
      <c r="AI101" s="2" t="inlineStr"/>
      <c r="AJ101" s="2" t="inlineStr">
        <is>
          <t>{"template_sheet": "Balance Sheet", "template_row": 87, "template_cell": "B87", "template_value_or_formula": 27, "calculation_type": "reported_input", "dependencies": [], "source_template": "Copy of Output_CSV Template.xlsx"}</t>
        </is>
      </c>
    </row>
    <row r="102">
      <c r="A102" s="2" t="inlineStr">
        <is>
          <t>bs_ca__segregated_account_ca</t>
        </is>
      </c>
      <c r="B102" s="2" t="inlineStr">
        <is>
          <t>Segregated Account(CA)</t>
        </is>
      </c>
      <c r="C102" s="2" t="inlineStr">
        <is>
          <t>bs_ca</t>
        </is>
      </c>
      <c r="D102" s="2" t="inlineStr">
        <is>
          <t>Extract the reported value for 'Segregated Account(CA)' from the stated section. Do not calculate or replace it from other rows, because the revised template does not designate this field as formula-driven.</t>
        </is>
      </c>
      <c r="E102" s="2" t="inlineStr">
        <is>
          <t>Segregated Account(CA)</t>
        </is>
      </c>
      <c r="F102" s="2" t="inlineStr">
        <is>
          <t>Segregated Account(CA)</t>
        </is>
      </c>
      <c r="G102" s="2" t="inlineStr">
        <is>
          <t>^Segregated\s+Account\(CA\)$</t>
        </is>
      </c>
      <c r="H102" s="2" t="inlineStr"/>
      <c r="I102" s="2" t="inlineStr">
        <is>
          <t>Amounts or disclosures explicitly reported for Segregated Account(CA) in Balance Sheet / bs_ca.</t>
        </is>
      </c>
      <c r="J102" s="2" t="inlineStr">
        <is>
          <t>Do not substitute another section, period, entity scope, currency or unit; do not double count a parent and its children.</t>
        </is>
      </c>
      <c r="K102" s="2" t="inlineStr"/>
      <c r="L102" s="2" t="inlineStr">
        <is>
          <t>as_reported</t>
        </is>
      </c>
      <c r="M102" s="2" t="inlineStr">
        <is>
          <t>direct_exclusive</t>
        </is>
      </c>
      <c r="N102" s="2" t="n">
        <v>90</v>
      </c>
      <c r="O102" s="2" t="inlineStr">
        <is>
          <t>normalized_exact_then_regex</t>
        </is>
      </c>
      <c r="P102" s="3" t="inlineStr">
        <is>
          <t>extract</t>
        </is>
      </c>
      <c r="Q102" s="2" t="inlineStr">
        <is>
          <t>currency_amount</t>
        </is>
      </c>
      <c r="R102" s="2" t="inlineStr">
        <is>
          <t>period_end</t>
        </is>
      </c>
      <c r="S102" s="2" t="inlineStr">
        <is>
          <t>allowed_with_provenance</t>
        </is>
      </c>
      <c r="T102" s="2" t="b">
        <v>0</v>
      </c>
      <c r="U102" s="2" t="b">
        <v>0</v>
      </c>
      <c r="V102" s="2" t="inlineStr"/>
      <c r="W102" s="2" t="inlineStr"/>
      <c r="X102" s="2" t="inlineStr">
        <is>
          <t>Decompose only from explicit face or note evidence; never fabricate a split.</t>
        </is>
      </c>
      <c r="Y102" s="2" t="inlineStr">
        <is>
          <t>Aggregate only mutually exclusive facts with identical period, scope, currency and unit.</t>
        </is>
      </c>
      <c r="Z102" s="2" t="inlineStr">
        <is>
          <t>Bind only to Balance Sheet / bs_ca.</t>
        </is>
      </c>
      <c r="AA102" s="2" t="inlineStr"/>
      <c r="AB102" s="2" t="b">
        <v>1</v>
      </c>
      <c r="AC102" s="2" t="inlineStr"/>
      <c r="AD102" s="2" t="inlineStr">
        <is>
          <t>Exact field from Balance Sheet!A88; value cell B88.</t>
        </is>
      </c>
      <c r="AE102" s="2" t="inlineStr">
        <is>
          <t>Notes may support direct extraction or decomposition with provenance. Formula outputs must be derived only from template dependencies.</t>
        </is>
      </c>
      <c r="AF102" s="2" t="inlineStr"/>
      <c r="AG102" s="2" t="inlineStr">
        <is>
          <t>[]</t>
        </is>
      </c>
      <c r="AH102" s="2" t="inlineStr">
        <is>
          <t>Segregated Account(CA)</t>
        </is>
      </c>
      <c r="AI102" s="2" t="inlineStr"/>
      <c r="AJ102" s="2" t="inlineStr">
        <is>
          <t>{"template_sheet": "Balance Sheet", "template_row": 88, "template_cell": "B88", "template_value_or_formula": 44, "calculation_type": "reported_input", "dependencies": [], "source_template": "Copy of Output_CSV Template.xlsx"}</t>
        </is>
      </c>
    </row>
    <row r="103">
      <c r="A103" s="2" t="inlineStr">
        <is>
          <t>bs_ca__suspense_account_ca</t>
        </is>
      </c>
      <c r="B103" s="2" t="inlineStr">
        <is>
          <t>Suspense Account(CA)</t>
        </is>
      </c>
      <c r="C103" s="2" t="inlineStr">
        <is>
          <t>bs_ca</t>
        </is>
      </c>
      <c r="D103" s="2" t="inlineStr">
        <is>
          <t>Extract the reported value for 'Suspense Account(CA)' from the stated section. Do not calculate or replace it from other rows, because the revised template does not designate this field as formula-driven.</t>
        </is>
      </c>
      <c r="E103" s="2" t="inlineStr">
        <is>
          <t>Suspense Account(CA)</t>
        </is>
      </c>
      <c r="F103" s="2" t="inlineStr">
        <is>
          <t>Suspense Account(CA)</t>
        </is>
      </c>
      <c r="G103" s="2" t="inlineStr">
        <is>
          <t>^Suspense\s+Account\(CA\)$</t>
        </is>
      </c>
      <c r="H103" s="2" t="inlineStr"/>
      <c r="I103" s="2" t="inlineStr">
        <is>
          <t>Amounts or disclosures explicitly reported for Suspense Account(CA) in Balance Sheet / bs_ca.</t>
        </is>
      </c>
      <c r="J103" s="2" t="inlineStr">
        <is>
          <t>Do not substitute another section, period, entity scope, currency or unit; do not double count a parent and its children.</t>
        </is>
      </c>
      <c r="K103" s="2" t="inlineStr"/>
      <c r="L103" s="2" t="inlineStr">
        <is>
          <t>as_reported</t>
        </is>
      </c>
      <c r="M103" s="2" t="inlineStr">
        <is>
          <t>direct_exclusive</t>
        </is>
      </c>
      <c r="N103" s="2" t="n">
        <v>90</v>
      </c>
      <c r="O103" s="2" t="inlineStr">
        <is>
          <t>normalized_exact_then_regex</t>
        </is>
      </c>
      <c r="P103" s="3" t="inlineStr">
        <is>
          <t>extract</t>
        </is>
      </c>
      <c r="Q103" s="2" t="inlineStr">
        <is>
          <t>currency_amount</t>
        </is>
      </c>
      <c r="R103" s="2" t="inlineStr">
        <is>
          <t>period_end</t>
        </is>
      </c>
      <c r="S103" s="2" t="inlineStr">
        <is>
          <t>allowed_with_provenance</t>
        </is>
      </c>
      <c r="T103" s="2" t="b">
        <v>0</v>
      </c>
      <c r="U103" s="2" t="b">
        <v>0</v>
      </c>
      <c r="V103" s="2" t="inlineStr"/>
      <c r="W103" s="2" t="inlineStr"/>
      <c r="X103" s="2" t="inlineStr">
        <is>
          <t>Decompose only from explicit face or note evidence; never fabricate a split.</t>
        </is>
      </c>
      <c r="Y103" s="2" t="inlineStr">
        <is>
          <t>Aggregate only mutually exclusive facts with identical period, scope, currency and unit.</t>
        </is>
      </c>
      <c r="Z103" s="2" t="inlineStr">
        <is>
          <t>Bind only to Balance Sheet / bs_ca.</t>
        </is>
      </c>
      <c r="AA103" s="2" t="inlineStr"/>
      <c r="AB103" s="2" t="b">
        <v>1</v>
      </c>
      <c r="AC103" s="2" t="inlineStr"/>
      <c r="AD103" s="2" t="inlineStr">
        <is>
          <t>Exact field from Balance Sheet!A89; value cell B89.</t>
        </is>
      </c>
      <c r="AE103" s="2" t="inlineStr">
        <is>
          <t>Notes may support direct extraction or decomposition with provenance. Formula outputs must be derived only from template dependencies.</t>
        </is>
      </c>
      <c r="AF103" s="2" t="inlineStr"/>
      <c r="AG103" s="2" t="inlineStr">
        <is>
          <t>[]</t>
        </is>
      </c>
      <c r="AH103" s="2" t="inlineStr">
        <is>
          <t>Suspense Account(CA)</t>
        </is>
      </c>
      <c r="AI103" s="2" t="inlineStr"/>
      <c r="AJ103" s="2" t="inlineStr">
        <is>
          <t>{"template_sheet": "Balance Sheet", "template_row": 89, "template_cell": "B89", "template_value_or_formula": 18, "calculation_type": "reported_input", "dependencies": [], "source_template": "Copy of Output_CSV Template.xlsx"}</t>
        </is>
      </c>
    </row>
    <row r="104">
      <c r="A104" s="2" t="inlineStr">
        <is>
          <t>bs_ca__other_current_assets</t>
        </is>
      </c>
      <c r="B104" s="2" t="inlineStr">
        <is>
          <t>Other Current Assets</t>
        </is>
      </c>
      <c r="C104" s="2" t="inlineStr">
        <is>
          <t>bs_ca</t>
        </is>
      </c>
      <c r="D104" s="2" t="inlineStr">
        <is>
          <t>Extract the reported value for 'Other Current Assets' from the stated section. Do not calculate or replace it from other rows, because the revised template does not designate this field as formula-driven.</t>
        </is>
      </c>
      <c r="E104" s="2" t="inlineStr">
        <is>
          <t>Other Current Assets</t>
        </is>
      </c>
      <c r="F104" s="2" t="inlineStr">
        <is>
          <t>Other Current Assets</t>
        </is>
      </c>
      <c r="G104" s="2" t="inlineStr">
        <is>
          <t>^Other\s+Current\s+Assets$</t>
        </is>
      </c>
      <c r="H104" s="2" t="inlineStr"/>
      <c r="I104" s="2" t="inlineStr">
        <is>
          <t>Amounts or disclosures explicitly reported for Other Current Assets in Balance Sheet / bs_ca.</t>
        </is>
      </c>
      <c r="J104" s="2" t="inlineStr">
        <is>
          <t>Do not substitute another section, period, entity scope, currency or unit; do not double count a parent and its children.</t>
        </is>
      </c>
      <c r="K104" s="2" t="inlineStr"/>
      <c r="L104" s="2" t="inlineStr">
        <is>
          <t>as_reported</t>
        </is>
      </c>
      <c r="M104" s="2" t="inlineStr">
        <is>
          <t>direct_exclusive</t>
        </is>
      </c>
      <c r="N104" s="2" t="n">
        <v>90</v>
      </c>
      <c r="O104" s="2" t="inlineStr">
        <is>
          <t>normalized_exact_then_regex</t>
        </is>
      </c>
      <c r="P104" s="3" t="inlineStr">
        <is>
          <t>extract</t>
        </is>
      </c>
      <c r="Q104" s="2" t="inlineStr">
        <is>
          <t>currency_amount</t>
        </is>
      </c>
      <c r="R104" s="2" t="inlineStr">
        <is>
          <t>period_end</t>
        </is>
      </c>
      <c r="S104" s="2" t="inlineStr">
        <is>
          <t>allowed_with_provenance</t>
        </is>
      </c>
      <c r="T104" s="2" t="b">
        <v>0</v>
      </c>
      <c r="U104" s="2" t="b">
        <v>0</v>
      </c>
      <c r="V104" s="2" t="inlineStr"/>
      <c r="W104" s="2" t="inlineStr"/>
      <c r="X104" s="2" t="inlineStr">
        <is>
          <t>Decompose only from explicit face or note evidence; never fabricate a split.</t>
        </is>
      </c>
      <c r="Y104" s="2" t="inlineStr">
        <is>
          <t>Aggregate only mutually exclusive facts with identical period, scope, currency and unit.</t>
        </is>
      </c>
      <c r="Z104" s="2" t="inlineStr">
        <is>
          <t>Bind only to Balance Sheet / bs_ca.</t>
        </is>
      </c>
      <c r="AA104" s="2" t="inlineStr"/>
      <c r="AB104" s="2" t="b">
        <v>1</v>
      </c>
      <c r="AC104" s="2" t="inlineStr"/>
      <c r="AD104" s="2" t="inlineStr">
        <is>
          <t>Exact field from Balance Sheet!A90; value cell B90.</t>
        </is>
      </c>
      <c r="AE104" s="2" t="inlineStr">
        <is>
          <t>Notes may support direct extraction or decomposition with provenance. Formula outputs must be derived only from template dependencies.</t>
        </is>
      </c>
      <c r="AF104" s="2" t="inlineStr">
        <is>
          <t>{"mode": "no_balancing_plug", "negative_result": "review"}</t>
        </is>
      </c>
      <c r="AG104" s="2" t="inlineStr">
        <is>
          <t>[]</t>
        </is>
      </c>
      <c r="AH104" s="2" t="inlineStr">
        <is>
          <t>Other Current Assets</t>
        </is>
      </c>
      <c r="AI104" s="2" t="inlineStr"/>
      <c r="AJ104" s="2" t="inlineStr">
        <is>
          <t>{"template_sheet": "Balance Sheet", "template_row": 90, "template_cell": "B90", "template_value_or_formula": 35, "calculation_type": "reported_input", "dependencies": [], "source_template": "Copy of Output_CSV Template.xlsx"}</t>
        </is>
      </c>
    </row>
    <row r="105">
      <c r="A105" s="2" t="inlineStr">
        <is>
          <t>bs_ca__trade_receivables_related_parties</t>
        </is>
      </c>
      <c r="B105" s="2" t="inlineStr">
        <is>
          <t>Trade receivables- related parties</t>
        </is>
      </c>
      <c r="C105" s="2" t="inlineStr">
        <is>
          <t>bs_ca</t>
        </is>
      </c>
      <c r="D105" s="2" t="inlineStr">
        <is>
          <t>Extract the reported value for 'Trade receivables- related parties' from the stated section. Do not calculate or replace it from other rows, because the revised template does not designate this field as formula-driven.</t>
        </is>
      </c>
      <c r="E105" s="2" t="inlineStr">
        <is>
          <t>Trade receivables- related parties</t>
        </is>
      </c>
      <c r="F105" s="2" t="inlineStr">
        <is>
          <t>Trade receivables- related parties</t>
        </is>
      </c>
      <c r="G105" s="2" t="inlineStr">
        <is>
          <t>^Trade\s+receivables[\-–—]?\s+related\s+parties$</t>
        </is>
      </c>
      <c r="H105" s="2" t="inlineStr"/>
      <c r="I105" s="2" t="inlineStr">
        <is>
          <t>Amounts or disclosures explicitly reported for Trade receivables- related parties in Balance Sheet / bs_ca.</t>
        </is>
      </c>
      <c r="J105" s="2" t="inlineStr">
        <is>
          <t>Do not substitute another section, period, entity scope, currency or unit; do not double count a parent and its children.</t>
        </is>
      </c>
      <c r="K105" s="2" t="inlineStr"/>
      <c r="L105" s="2" t="inlineStr">
        <is>
          <t>as_reported</t>
        </is>
      </c>
      <c r="M105" s="2" t="inlineStr">
        <is>
          <t>direct_exclusive</t>
        </is>
      </c>
      <c r="N105" s="2" t="n">
        <v>90</v>
      </c>
      <c r="O105" s="2" t="inlineStr">
        <is>
          <t>normalized_exact_then_regex</t>
        </is>
      </c>
      <c r="P105" s="3" t="inlineStr">
        <is>
          <t>extract</t>
        </is>
      </c>
      <c r="Q105" s="2" t="inlineStr">
        <is>
          <t>currency_amount</t>
        </is>
      </c>
      <c r="R105" s="2" t="inlineStr">
        <is>
          <t>period_end</t>
        </is>
      </c>
      <c r="S105" s="2" t="inlineStr">
        <is>
          <t>allowed_with_provenance</t>
        </is>
      </c>
      <c r="T105" s="2" t="b">
        <v>0</v>
      </c>
      <c r="U105" s="2" t="b">
        <v>0</v>
      </c>
      <c r="V105" s="2" t="inlineStr"/>
      <c r="W105" s="2" t="inlineStr"/>
      <c r="X105" s="2" t="inlineStr">
        <is>
          <t>Decompose only from explicit face or note evidence; never fabricate a split.</t>
        </is>
      </c>
      <c r="Y105" s="2" t="inlineStr">
        <is>
          <t>Aggregate only mutually exclusive facts with identical period, scope, currency and unit.</t>
        </is>
      </c>
      <c r="Z105" s="2" t="inlineStr">
        <is>
          <t>Bind only to Balance Sheet / bs_ca.</t>
        </is>
      </c>
      <c r="AA105" s="2" t="inlineStr"/>
      <c r="AB105" s="2" t="b">
        <v>1</v>
      </c>
      <c r="AC105" s="2" t="inlineStr"/>
      <c r="AD105" s="2" t="inlineStr">
        <is>
          <t>Exact field from Balance Sheet!A91; value cell B91.</t>
        </is>
      </c>
      <c r="AE105" s="2" t="inlineStr">
        <is>
          <t>Notes may support direct extraction or decomposition with provenance. Formula outputs must be derived only from template dependencies.</t>
        </is>
      </c>
      <c r="AF105" s="2" t="inlineStr"/>
      <c r="AG105" s="2" t="inlineStr">
        <is>
          <t>[]</t>
        </is>
      </c>
      <c r="AH105" s="2" t="inlineStr">
        <is>
          <t>Trade receivables- related parties</t>
        </is>
      </c>
      <c r="AI105" s="2" t="inlineStr"/>
      <c r="AJ105" s="2" t="inlineStr">
        <is>
          <t>{"template_sheet": "Balance Sheet", "template_row": 91, "template_cell": "B91", "template_value_or_formula": 52, "calculation_type": "reported_input", "dependencies": [], "source_template": "Copy of Output_CSV Template.xlsx"}</t>
        </is>
      </c>
    </row>
    <row r="106">
      <c r="A106" s="2" t="inlineStr">
        <is>
          <t>bs_ca__trade_and_other_receivables_related_parties</t>
        </is>
      </c>
      <c r="B106" s="2" t="inlineStr">
        <is>
          <t>Trade and other receivables- related parties</t>
        </is>
      </c>
      <c r="C106" s="2" t="inlineStr">
        <is>
          <t>bs_ca</t>
        </is>
      </c>
      <c r="D106" s="2" t="inlineStr">
        <is>
          <t>Extract the reported value for 'Trade and other receivables- related parties' from the stated section. Do not calculate or replace it from other rows, because the revised template does not designate this field as formula-driven.</t>
        </is>
      </c>
      <c r="E106" s="2" t="inlineStr">
        <is>
          <t>Trade and other receivables- related parties</t>
        </is>
      </c>
      <c r="F106" s="2" t="inlineStr">
        <is>
          <t>Trade and other receivables- related parties</t>
        </is>
      </c>
      <c r="G106" s="2" t="inlineStr">
        <is>
          <t>^Trade\s+and\s+other\s+receivables[\-–—]?\s+related\s+parties$</t>
        </is>
      </c>
      <c r="H106" s="2" t="inlineStr"/>
      <c r="I106" s="2" t="inlineStr">
        <is>
          <t>Amounts or disclosures explicitly reported for Trade and other receivables- related parties in Balance Sheet / bs_ca.</t>
        </is>
      </c>
      <c r="J106" s="2" t="inlineStr">
        <is>
          <t>Do not substitute another section, period, entity scope, currency or unit; do not double count a parent and its children.</t>
        </is>
      </c>
      <c r="K106" s="2" t="inlineStr"/>
      <c r="L106" s="2" t="inlineStr">
        <is>
          <t>as_reported</t>
        </is>
      </c>
      <c r="M106" s="2" t="inlineStr">
        <is>
          <t>direct_exclusive</t>
        </is>
      </c>
      <c r="N106" s="2" t="n">
        <v>90</v>
      </c>
      <c r="O106" s="2" t="inlineStr">
        <is>
          <t>normalized_exact_then_regex</t>
        </is>
      </c>
      <c r="P106" s="3" t="inlineStr">
        <is>
          <t>extract</t>
        </is>
      </c>
      <c r="Q106" s="2" t="inlineStr">
        <is>
          <t>currency_amount</t>
        </is>
      </c>
      <c r="R106" s="2" t="inlineStr">
        <is>
          <t>period_end</t>
        </is>
      </c>
      <c r="S106" s="2" t="inlineStr">
        <is>
          <t>allowed_with_provenance</t>
        </is>
      </c>
      <c r="T106" s="2" t="b">
        <v>0</v>
      </c>
      <c r="U106" s="2" t="b">
        <v>0</v>
      </c>
      <c r="V106" s="2" t="inlineStr"/>
      <c r="W106" s="2" t="inlineStr"/>
      <c r="X106" s="2" t="inlineStr">
        <is>
          <t>Decompose only from explicit face or note evidence; never fabricate a split.</t>
        </is>
      </c>
      <c r="Y106" s="2" t="inlineStr">
        <is>
          <t>Aggregate only mutually exclusive facts with identical period, scope, currency and unit.</t>
        </is>
      </c>
      <c r="Z106" s="2" t="inlineStr">
        <is>
          <t>Bind only to Balance Sheet / bs_ca.</t>
        </is>
      </c>
      <c r="AA106" s="2" t="inlineStr"/>
      <c r="AB106" s="2" t="b">
        <v>1</v>
      </c>
      <c r="AC106" s="2" t="inlineStr"/>
      <c r="AD106" s="2" t="inlineStr">
        <is>
          <t>Exact field from Balance Sheet!A92; value cell B92.</t>
        </is>
      </c>
      <c r="AE106" s="2" t="inlineStr">
        <is>
          <t>Notes may support direct extraction or decomposition with provenance. Formula outputs must be derived only from template dependencies.</t>
        </is>
      </c>
      <c r="AF106" s="2" t="inlineStr"/>
      <c r="AG106" s="2" t="inlineStr">
        <is>
          <t>[]</t>
        </is>
      </c>
      <c r="AH106" s="2" t="inlineStr">
        <is>
          <t>Trade and other receivables- related parties</t>
        </is>
      </c>
      <c r="AI106" s="2" t="inlineStr"/>
      <c r="AJ106" s="2" t="inlineStr">
        <is>
          <t>{"template_sheet": "Balance Sheet", "template_row": 92, "template_cell": "B92", "template_value_or_formula": 26, "calculation_type": "reported_input", "dependencies": [], "source_template": "Copy of Output_CSV Template.xlsx"}</t>
        </is>
      </c>
    </row>
    <row r="107">
      <c r="A107" s="2" t="inlineStr">
        <is>
          <t>bs_ca__trade_and_other_receivables</t>
        </is>
      </c>
      <c r="B107" s="2" t="inlineStr">
        <is>
          <t>Trade and other receivables</t>
        </is>
      </c>
      <c r="C107" s="2" t="inlineStr">
        <is>
          <t>bs_ca</t>
        </is>
      </c>
      <c r="D107" s="2" t="inlineStr">
        <is>
          <t>Extract the reported value for 'Trade and other receivables' from the stated section. Do not calculate or replace it from other rows, because the revised template does not designate this field as formula-driven.</t>
        </is>
      </c>
      <c r="E107" s="2" t="inlineStr">
        <is>
          <t>Trade and other receivables</t>
        </is>
      </c>
      <c r="F107" s="2" t="inlineStr">
        <is>
          <t>Trade and other receivables</t>
        </is>
      </c>
      <c r="G107" s="2" t="inlineStr">
        <is>
          <t>^Trade\s+and\s+other\s+receivables$</t>
        </is>
      </c>
      <c r="H107" s="2" t="inlineStr"/>
      <c r="I107" s="2" t="inlineStr">
        <is>
          <t>Amounts or disclosures explicitly reported for Trade and other receivables in Balance Sheet / bs_ca.</t>
        </is>
      </c>
      <c r="J107" s="2" t="inlineStr">
        <is>
          <t>Do not substitute another section, period, entity scope, currency or unit; do not double count a parent and its children.</t>
        </is>
      </c>
      <c r="K107" s="2" t="inlineStr"/>
      <c r="L107" s="2" t="inlineStr">
        <is>
          <t>as_reported</t>
        </is>
      </c>
      <c r="M107" s="2" t="inlineStr">
        <is>
          <t>direct_exclusive</t>
        </is>
      </c>
      <c r="N107" s="2" t="n">
        <v>90</v>
      </c>
      <c r="O107" s="2" t="inlineStr">
        <is>
          <t>normalized_exact_then_regex</t>
        </is>
      </c>
      <c r="P107" s="3" t="inlineStr">
        <is>
          <t>extract</t>
        </is>
      </c>
      <c r="Q107" s="2" t="inlineStr">
        <is>
          <t>currency_amount</t>
        </is>
      </c>
      <c r="R107" s="2" t="inlineStr">
        <is>
          <t>period_end</t>
        </is>
      </c>
      <c r="S107" s="2" t="inlineStr">
        <is>
          <t>allowed_with_provenance</t>
        </is>
      </c>
      <c r="T107" s="2" t="b">
        <v>0</v>
      </c>
      <c r="U107" s="2" t="b">
        <v>0</v>
      </c>
      <c r="V107" s="2" t="inlineStr"/>
      <c r="W107" s="2" t="inlineStr"/>
      <c r="X107" s="2" t="inlineStr">
        <is>
          <t>Decompose only from explicit face or note evidence; never fabricate a split.</t>
        </is>
      </c>
      <c r="Y107" s="2" t="inlineStr">
        <is>
          <t>Aggregate only mutually exclusive facts with identical period, scope, currency and unit.</t>
        </is>
      </c>
      <c r="Z107" s="2" t="inlineStr">
        <is>
          <t>Bind only to Balance Sheet / bs_ca.</t>
        </is>
      </c>
      <c r="AA107" s="2" t="inlineStr"/>
      <c r="AB107" s="2" t="b">
        <v>1</v>
      </c>
      <c r="AC107" s="2" t="inlineStr"/>
      <c r="AD107" s="2" t="inlineStr">
        <is>
          <t>Exact field from Balance Sheet!A93; value cell B93.</t>
        </is>
      </c>
      <c r="AE107" s="2" t="inlineStr">
        <is>
          <t>Notes may support direct extraction or decomposition with provenance. Formula outputs must be derived only from template dependencies.</t>
        </is>
      </c>
      <c r="AF107" s="2" t="inlineStr"/>
      <c r="AG107" s="2" t="inlineStr">
        <is>
          <t>[]</t>
        </is>
      </c>
      <c r="AH107" s="2" t="inlineStr">
        <is>
          <t>Trade and other receivables</t>
        </is>
      </c>
      <c r="AI107" s="2" t="inlineStr"/>
      <c r="AJ107" s="2" t="inlineStr">
        <is>
          <t>{"template_sheet": "Balance Sheet", "template_row": 93, "template_cell": "B93", "template_value_or_formula": 43, "calculation_type": "reported_input", "dependencies": [], "source_template": "Copy of Output_CSV Template.xlsx"}</t>
        </is>
      </c>
    </row>
    <row r="108">
      <c r="A108" s="2" t="inlineStr">
        <is>
          <t>bs_ca__trade_receivables_gross</t>
        </is>
      </c>
      <c r="B108" s="2" t="inlineStr">
        <is>
          <t>Trade Receivables(Gross)</t>
        </is>
      </c>
      <c r="C108" s="2" t="inlineStr">
        <is>
          <t>bs_ca</t>
        </is>
      </c>
      <c r="D108" s="2" t="inlineStr">
        <is>
          <t>Extract the reported value for 'Trade Receivables(Gross)' from the stated section. Do not calculate or replace it from other rows, because the revised template does not designate this field as formula-driven.</t>
        </is>
      </c>
      <c r="E108" s="2" t="inlineStr">
        <is>
          <t>Trade Receivables(Gross)</t>
        </is>
      </c>
      <c r="F108" s="2" t="inlineStr">
        <is>
          <t>Trade Receivables(Gross)</t>
        </is>
      </c>
      <c r="G108" s="2" t="inlineStr">
        <is>
          <t>^Trade\s+Receivables\(Gross\)$</t>
        </is>
      </c>
      <c r="H108" s="2" t="inlineStr"/>
      <c r="I108" s="2" t="inlineStr">
        <is>
          <t>Amounts or disclosures explicitly reported for Trade Receivables(Gross) in Balance Sheet / bs_ca.</t>
        </is>
      </c>
      <c r="J108" s="2" t="inlineStr">
        <is>
          <t>Do not substitute another section, period, entity scope, currency or unit; do not double count a parent and its children.</t>
        </is>
      </c>
      <c r="K108" s="2" t="inlineStr"/>
      <c r="L108" s="2" t="inlineStr">
        <is>
          <t>as_reported</t>
        </is>
      </c>
      <c r="M108" s="2" t="inlineStr">
        <is>
          <t>direct_exclusive</t>
        </is>
      </c>
      <c r="N108" s="2" t="n">
        <v>90</v>
      </c>
      <c r="O108" s="2" t="inlineStr">
        <is>
          <t>normalized_exact_then_regex</t>
        </is>
      </c>
      <c r="P108" s="3" t="inlineStr">
        <is>
          <t>extract</t>
        </is>
      </c>
      <c r="Q108" s="2" t="inlineStr">
        <is>
          <t>currency_amount</t>
        </is>
      </c>
      <c r="R108" s="2" t="inlineStr">
        <is>
          <t>period_end</t>
        </is>
      </c>
      <c r="S108" s="2" t="inlineStr">
        <is>
          <t>allowed_with_provenance</t>
        </is>
      </c>
      <c r="T108" s="2" t="b">
        <v>0</v>
      </c>
      <c r="U108" s="2" t="b">
        <v>0</v>
      </c>
      <c r="V108" s="2" t="inlineStr"/>
      <c r="W108" s="2" t="inlineStr"/>
      <c r="X108" s="2" t="inlineStr">
        <is>
          <t>Decompose only from explicit face or note evidence; never fabricate a split.</t>
        </is>
      </c>
      <c r="Y108" s="2" t="inlineStr">
        <is>
          <t>Aggregate only mutually exclusive facts with identical period, scope, currency and unit.</t>
        </is>
      </c>
      <c r="Z108" s="2" t="inlineStr">
        <is>
          <t>Bind only to Balance Sheet / bs_ca.</t>
        </is>
      </c>
      <c r="AA108" s="2" t="inlineStr"/>
      <c r="AB108" s="2" t="b">
        <v>1</v>
      </c>
      <c r="AC108" s="2" t="inlineStr"/>
      <c r="AD108" s="2" t="inlineStr">
        <is>
          <t>Exact field from Balance Sheet!A94; value cell B94.</t>
        </is>
      </c>
      <c r="AE108" s="2" t="inlineStr">
        <is>
          <t>Notes may support direct extraction or decomposition with provenance. Formula outputs must be derived only from template dependencies.</t>
        </is>
      </c>
      <c r="AF108" s="2" t="inlineStr"/>
      <c r="AG108" s="2" t="inlineStr">
        <is>
          <t>[]</t>
        </is>
      </c>
      <c r="AH108" s="2" t="inlineStr">
        <is>
          <t>Trade Receivables(Gross)</t>
        </is>
      </c>
      <c r="AI108" s="2" t="inlineStr"/>
      <c r="AJ108" s="2" t="inlineStr">
        <is>
          <t>{"template_sheet": "Balance Sheet", "template_row": 94, "template_cell": "B94", "template_value_or_formula": 17, "calculation_type": "reported_input", "dependencies": [], "source_template": "Copy of Output_CSV Template.xlsx"}</t>
        </is>
      </c>
    </row>
    <row r="109">
      <c r="A109" s="2" t="inlineStr">
        <is>
          <t>bs_ca__allow_for_doubtful_accounts</t>
        </is>
      </c>
      <c r="B109" s="2" t="inlineStr">
        <is>
          <t>Allow for Doubtful Accounts(-)</t>
        </is>
      </c>
      <c r="C109" s="2" t="inlineStr">
        <is>
          <t>bs_ca</t>
        </is>
      </c>
      <c r="D109" s="2" t="inlineStr">
        <is>
          <t>Calculated target using the exact formula retained in the supplied template: =-ROUND({bs_ca__trade_receivables_gross}*5%,0)</t>
        </is>
      </c>
      <c r="E109" s="2" t="inlineStr">
        <is>
          <t>Allow for Doubtful Accounts(-)</t>
        </is>
      </c>
      <c r="F109" s="2" t="inlineStr">
        <is>
          <t>Allow for Doubtful Accounts(-)</t>
        </is>
      </c>
      <c r="G109" s="2" t="inlineStr">
        <is>
          <t>^Allow\s+for\s+Doubtful\s+Accounts\([\-–—]?\)$</t>
        </is>
      </c>
      <c r="H109" s="2" t="inlineStr"/>
      <c r="I109" s="2" t="inlineStr">
        <is>
          <t>Amounts or disclosures explicitly reported for Allow for Doubtful Accounts(-) in Balance Sheet / bs_ca.</t>
        </is>
      </c>
      <c r="J109" s="2" t="inlineStr">
        <is>
          <t>Do not substitute another section, period, entity scope, currency or unit; do not double count a parent and its children.</t>
        </is>
      </c>
      <c r="K109" s="2" t="inlineStr"/>
      <c r="L109" s="2" t="inlineStr">
        <is>
          <t>negative_or_contra</t>
        </is>
      </c>
      <c r="M109" s="2" t="inlineStr">
        <is>
          <t>derived_total</t>
        </is>
      </c>
      <c r="N109" s="2" t="n">
        <v>100</v>
      </c>
      <c r="O109" s="2" t="inlineStr">
        <is>
          <t>disabled</t>
        </is>
      </c>
      <c r="P109" s="4" t="inlineStr">
        <is>
          <t>derive</t>
        </is>
      </c>
      <c r="Q109" s="2" t="inlineStr">
        <is>
          <t>currency_amount</t>
        </is>
      </c>
      <c r="R109" s="2" t="inlineStr">
        <is>
          <t>period_end</t>
        </is>
      </c>
      <c r="S109" s="2" t="inlineStr">
        <is>
          <t>allowed_with_provenance</t>
        </is>
      </c>
      <c r="T109" s="2" t="b">
        <v>0</v>
      </c>
      <c r="U109" s="2" t="b">
        <v>1</v>
      </c>
      <c r="V109" s="2" t="inlineStr">
        <is>
          <t>bs_ca__trade_receivables_gross</t>
        </is>
      </c>
      <c r="W109" s="2">
        <f>-ROUND({bs_ca__trade_receivables_gross}*5%,0)</f>
        <v/>
      </c>
      <c r="X109" s="2" t="inlineStr">
        <is>
          <t>Use only dependencies stated in the formula; never fabricate missing components.</t>
        </is>
      </c>
      <c r="Y109" s="2" t="inlineStr">
        <is>
          <t>Calculate only after every dependency is populated and validated.</t>
        </is>
      </c>
      <c r="Z109" s="2" t="inlineStr">
        <is>
          <t>Bind only to Balance Sheet / bs_ca.</t>
        </is>
      </c>
      <c r="AA109" s="2" t="inlineStr"/>
      <c r="AB109" s="2" t="b">
        <v>0</v>
      </c>
      <c r="AC109" s="2" t="inlineStr">
        <is>
          <t>bs_ca__trade_receivables_gross</t>
        </is>
      </c>
      <c r="AD109" s="2" t="inlineStr">
        <is>
          <t>Exact field from Balance Sheet!A95; value cell B95.</t>
        </is>
      </c>
      <c r="AE109" s="2" t="inlineStr">
        <is>
          <t>Notes may support direct extraction or decomposition with provenance. Formula outputs must be derived only from template dependencies.</t>
        </is>
      </c>
      <c r="AF109" s="2" t="inlineStr"/>
      <c r="AG109" s="2" t="inlineStr">
        <is>
          <t>[]</t>
        </is>
      </c>
      <c r="AH109" s="2" t="inlineStr">
        <is>
          <t>Allow for Doubtful Accounts(-)</t>
        </is>
      </c>
      <c r="AI109" s="2" t="inlineStr"/>
      <c r="AJ109" s="2" t="inlineStr">
        <is>
          <t>{"template_sheet": "Balance Sheet", "template_row": 95, "template_cell": "B95", "template_value_or_formula": "=-ROUND(B94*5%,0)", "calculation_type": "formula", "dependencies": ["bs_ca__trade_receivables_gross"], "source_template": "Copy of Output_CSV Template.xlsx"}</t>
        </is>
      </c>
    </row>
    <row r="110">
      <c r="A110" s="2" t="inlineStr">
        <is>
          <t>bs_ca__net_trade_receivables</t>
        </is>
      </c>
      <c r="B110" s="2" t="inlineStr">
        <is>
          <t>Net Trade Receivables</t>
        </is>
      </c>
      <c r="C110" s="2" t="inlineStr">
        <is>
          <t>bs_ca</t>
        </is>
      </c>
      <c r="D110" s="2" t="inlineStr">
        <is>
          <t>Calculated target using the exact formula retained in the supplied template: ={bs_ca__trade_receivables_gross}+{bs_ca__allow_for_doubtful_accounts}</t>
        </is>
      </c>
      <c r="E110" s="2" t="inlineStr">
        <is>
          <t>Net Trade Receivables</t>
        </is>
      </c>
      <c r="F110" s="2" t="inlineStr">
        <is>
          <t>Net Trade Receivables</t>
        </is>
      </c>
      <c r="G110" s="2" t="inlineStr">
        <is>
          <t>^Net\s+Trade\s+Receivables$</t>
        </is>
      </c>
      <c r="H110" s="2" t="inlineStr"/>
      <c r="I110" s="2" t="inlineStr">
        <is>
          <t>Amounts or disclosures explicitly reported for Net Trade Receivables in Balance Sheet / bs_ca.</t>
        </is>
      </c>
      <c r="J110" s="2" t="inlineStr">
        <is>
          <t>Do not substitute another section, period, entity scope, currency or unit; do not double count a parent and its children.</t>
        </is>
      </c>
      <c r="K110" s="2" t="inlineStr"/>
      <c r="L110" s="2" t="inlineStr">
        <is>
          <t>as_reported</t>
        </is>
      </c>
      <c r="M110" s="2" t="inlineStr">
        <is>
          <t>derived_total</t>
        </is>
      </c>
      <c r="N110" s="2" t="n">
        <v>100</v>
      </c>
      <c r="O110" s="2" t="inlineStr">
        <is>
          <t>disabled</t>
        </is>
      </c>
      <c r="P110" s="4" t="inlineStr">
        <is>
          <t>derive</t>
        </is>
      </c>
      <c r="Q110" s="2" t="inlineStr">
        <is>
          <t>currency_amount</t>
        </is>
      </c>
      <c r="R110" s="2" t="inlineStr">
        <is>
          <t>period_end</t>
        </is>
      </c>
      <c r="S110" s="2" t="inlineStr">
        <is>
          <t>allowed_with_provenance</t>
        </is>
      </c>
      <c r="T110" s="2" t="b">
        <v>0</v>
      </c>
      <c r="U110" s="2" t="b">
        <v>1</v>
      </c>
      <c r="V110" s="2" t="inlineStr">
        <is>
          <t>bs_ca__trade_receivables_gross | bs_ca__allow_for_doubtful_accounts</t>
        </is>
      </c>
      <c r="W110" s="2">
        <f>{bs_ca__trade_receivables_gross}+{bs_ca__allow_for_doubtful_accounts}</f>
        <v/>
      </c>
      <c r="X110" s="2" t="inlineStr">
        <is>
          <t>Use only dependencies stated in the formula; never fabricate missing components.</t>
        </is>
      </c>
      <c r="Y110" s="2" t="inlineStr">
        <is>
          <t>Calculate only after every dependency is populated and validated.</t>
        </is>
      </c>
      <c r="Z110" s="2" t="inlineStr">
        <is>
          <t>Bind only to Balance Sheet / bs_ca.</t>
        </is>
      </c>
      <c r="AA110" s="2" t="inlineStr"/>
      <c r="AB110" s="2" t="b">
        <v>0</v>
      </c>
      <c r="AC110" s="2" t="inlineStr">
        <is>
          <t>bs_ca__trade_receivables_gross | bs_ca__allow_for_doubtful_accounts</t>
        </is>
      </c>
      <c r="AD110" s="2" t="inlineStr">
        <is>
          <t>Exact field from Balance Sheet!A96; value cell B96.</t>
        </is>
      </c>
      <c r="AE110" s="2" t="inlineStr">
        <is>
          <t>Notes may support direct extraction or decomposition with provenance. Formula outputs must be derived only from template dependencies.</t>
        </is>
      </c>
      <c r="AF110" s="2" t="inlineStr"/>
      <c r="AG110" s="2" t="inlineStr">
        <is>
          <t>[]</t>
        </is>
      </c>
      <c r="AH110" s="2" t="inlineStr">
        <is>
          <t>Net Trade Receivables</t>
        </is>
      </c>
      <c r="AI110" s="2" t="inlineStr"/>
      <c r="AJ110" s="2" t="inlineStr">
        <is>
          <t>{"template_sheet": "Balance Sheet", "template_row": 96, "template_cell": "B96", "template_value_or_formula": "=B94+B95", "calculation_type": "formula", "dependencies": ["bs_ca__trade_receivables_gross", "bs_ca__allow_for_doubtful_accounts"], "source_template": "Copy of Output_CSV Template.xlsx"}</t>
        </is>
      </c>
    </row>
    <row r="111">
      <c r="A111" s="2" t="inlineStr">
        <is>
          <t>bs_ca__subscribed_capital_called_not_paid</t>
        </is>
      </c>
      <c r="B111" s="2" t="inlineStr">
        <is>
          <t>Subscribed Capital-Called Not Paid</t>
        </is>
      </c>
      <c r="C111" s="2" t="inlineStr">
        <is>
          <t>bs_ca</t>
        </is>
      </c>
      <c r="D111" s="2" t="inlineStr">
        <is>
          <t>Extract the reported value for 'Subscribed Capital-Called Not Paid' from the stated section. Do not calculate or replace it from other rows, because the revised template does not designate this field as formula-driven.</t>
        </is>
      </c>
      <c r="E111" s="2" t="inlineStr">
        <is>
          <t>Subscribed Capital-Called Not Paid</t>
        </is>
      </c>
      <c r="F111" s="2" t="inlineStr">
        <is>
          <t>Subscribed Capital-Called Not Paid</t>
        </is>
      </c>
      <c r="G111" s="2" t="inlineStr">
        <is>
          <t>^Subscribed\s+Capital[\-–—]?Called\s+Not\s+Paid$</t>
        </is>
      </c>
      <c r="H111" s="2" t="inlineStr"/>
      <c r="I111" s="2" t="inlineStr">
        <is>
          <t>Amounts or disclosures explicitly reported for Subscribed Capital-Called Not Paid in Balance Sheet / bs_ca.</t>
        </is>
      </c>
      <c r="J111" s="2" t="inlineStr">
        <is>
          <t>Do not substitute another section, period, entity scope, currency or unit; do not double count a parent and its children.</t>
        </is>
      </c>
      <c r="K111" s="2" t="inlineStr"/>
      <c r="L111" s="2" t="inlineStr">
        <is>
          <t>negative_or_contra</t>
        </is>
      </c>
      <c r="M111" s="2" t="inlineStr">
        <is>
          <t>direct_exclusive</t>
        </is>
      </c>
      <c r="N111" s="2" t="n">
        <v>90</v>
      </c>
      <c r="O111" s="2" t="inlineStr">
        <is>
          <t>normalized_exact_then_regex</t>
        </is>
      </c>
      <c r="P111" s="3" t="inlineStr">
        <is>
          <t>extract</t>
        </is>
      </c>
      <c r="Q111" s="2" t="inlineStr">
        <is>
          <t>currency_amount</t>
        </is>
      </c>
      <c r="R111" s="2" t="inlineStr">
        <is>
          <t>period_end</t>
        </is>
      </c>
      <c r="S111" s="2" t="inlineStr">
        <is>
          <t>allowed_with_provenance</t>
        </is>
      </c>
      <c r="T111" s="2" t="b">
        <v>0</v>
      </c>
      <c r="U111" s="2" t="b">
        <v>0</v>
      </c>
      <c r="V111" s="2" t="inlineStr"/>
      <c r="W111" s="2" t="inlineStr"/>
      <c r="X111" s="2" t="inlineStr">
        <is>
          <t>Decompose only from explicit face or note evidence; never fabricate a split.</t>
        </is>
      </c>
      <c r="Y111" s="2" t="inlineStr">
        <is>
          <t>Aggregate only mutually exclusive facts with identical period, scope, currency and unit.</t>
        </is>
      </c>
      <c r="Z111" s="2" t="inlineStr">
        <is>
          <t>Bind only to Balance Sheet / bs_ca.</t>
        </is>
      </c>
      <c r="AA111" s="2" t="inlineStr"/>
      <c r="AB111" s="2" t="b">
        <v>1</v>
      </c>
      <c r="AC111" s="2" t="inlineStr"/>
      <c r="AD111" s="2" t="inlineStr">
        <is>
          <t>Exact field from Balance Sheet!A97; value cell B97.</t>
        </is>
      </c>
      <c r="AE111" s="2" t="inlineStr">
        <is>
          <t>Notes may support direct extraction or decomposition with provenance. Formula outputs must be derived only from template dependencies.</t>
        </is>
      </c>
      <c r="AF111" s="2" t="inlineStr"/>
      <c r="AG111" s="2" t="inlineStr">
        <is>
          <t>[]</t>
        </is>
      </c>
      <c r="AH111" s="2" t="inlineStr">
        <is>
          <t>Subscribed Capital-Called Not Paid</t>
        </is>
      </c>
      <c r="AI111" s="2" t="inlineStr"/>
      <c r="AJ111" s="2" t="inlineStr">
        <is>
          <t>{"template_sheet": "Balance Sheet", "template_row": 97, "template_cell": "B97", "template_value_or_formula": 25, "calculation_type": "reported_input", "dependencies": [], "source_template": "Copy of Output_CSV Template.xlsx"}</t>
        </is>
      </c>
    </row>
    <row r="112">
      <c r="A112" s="2" t="inlineStr">
        <is>
          <t>bs_ca__entrusted_loan_receivables_third_parties_cp</t>
        </is>
      </c>
      <c r="B112" s="2" t="inlineStr">
        <is>
          <t>Entrusted loan receivables- third parties(CP)</t>
        </is>
      </c>
      <c r="C112" s="2" t="inlineStr">
        <is>
          <t>bs_ca</t>
        </is>
      </c>
      <c r="D112" s="2" t="inlineStr">
        <is>
          <t>Extract the reported value for 'Entrusted loan receivables- third parties(CP)' from the stated section. Do not calculate or replace it from other rows, because the revised template does not designate this field as formula-driven.</t>
        </is>
      </c>
      <c r="E112" s="2" t="inlineStr">
        <is>
          <t>Entrusted loan receivables- third parties(CP)</t>
        </is>
      </c>
      <c r="F112" s="2" t="inlineStr">
        <is>
          <t>Entrusted loan receivables- third parties(CP)</t>
        </is>
      </c>
      <c r="G112" s="2" t="inlineStr">
        <is>
          <t>^Entrusted\s+loan\s+receivables[\-–—]?\s+third\s+parties\(CP\)$</t>
        </is>
      </c>
      <c r="H112" s="2" t="inlineStr"/>
      <c r="I112" s="2" t="inlineStr">
        <is>
          <t>Amounts or disclosures explicitly reported for Entrusted loan receivables- third parties(CP) in Balance Sheet / bs_ca.</t>
        </is>
      </c>
      <c r="J112" s="2" t="inlineStr">
        <is>
          <t>Do not substitute another section, period, entity scope, currency or unit; do not double count a parent and its children.</t>
        </is>
      </c>
      <c r="K112" s="2" t="inlineStr"/>
      <c r="L112" s="2" t="inlineStr">
        <is>
          <t>as_reported</t>
        </is>
      </c>
      <c r="M112" s="2" t="inlineStr">
        <is>
          <t>direct_exclusive</t>
        </is>
      </c>
      <c r="N112" s="2" t="n">
        <v>90</v>
      </c>
      <c r="O112" s="2" t="inlineStr">
        <is>
          <t>normalized_exact_then_regex</t>
        </is>
      </c>
      <c r="P112" s="3" t="inlineStr">
        <is>
          <t>extract</t>
        </is>
      </c>
      <c r="Q112" s="2" t="inlineStr">
        <is>
          <t>currency_amount</t>
        </is>
      </c>
      <c r="R112" s="2" t="inlineStr">
        <is>
          <t>period_end</t>
        </is>
      </c>
      <c r="S112" s="2" t="inlineStr">
        <is>
          <t>allowed_with_provenance</t>
        </is>
      </c>
      <c r="T112" s="2" t="b">
        <v>0</v>
      </c>
      <c r="U112" s="2" t="b">
        <v>0</v>
      </c>
      <c r="V112" s="2" t="inlineStr"/>
      <c r="W112" s="2" t="inlineStr"/>
      <c r="X112" s="2" t="inlineStr">
        <is>
          <t>Decompose only from explicit face or note evidence; never fabricate a split.</t>
        </is>
      </c>
      <c r="Y112" s="2" t="inlineStr">
        <is>
          <t>Aggregate only mutually exclusive facts with identical period, scope, currency and unit.</t>
        </is>
      </c>
      <c r="Z112" s="2" t="inlineStr">
        <is>
          <t>Bind only to Balance Sheet / bs_ca.</t>
        </is>
      </c>
      <c r="AA112" s="2" t="inlineStr"/>
      <c r="AB112" s="2" t="b">
        <v>1</v>
      </c>
      <c r="AC112" s="2" t="inlineStr"/>
      <c r="AD112" s="2" t="inlineStr">
        <is>
          <t>Exact field from Balance Sheet!A98; value cell B98.</t>
        </is>
      </c>
      <c r="AE112" s="2" t="inlineStr">
        <is>
          <t>Notes may support direct extraction or decomposition with provenance. Formula outputs must be derived only from template dependencies.</t>
        </is>
      </c>
      <c r="AF112" s="2" t="inlineStr"/>
      <c r="AG112" s="2" t="inlineStr">
        <is>
          <t>[]</t>
        </is>
      </c>
      <c r="AH112" s="2" t="inlineStr">
        <is>
          <t>Entrusted loan receivables- third parties(CP)</t>
        </is>
      </c>
      <c r="AI112" s="2" t="inlineStr"/>
      <c r="AJ112" s="2" t="inlineStr">
        <is>
          <t>{"template_sheet": "Balance Sheet", "template_row": 98, "template_cell": "B98", "template_value_or_formula": 42, "calculation_type": "reported_input", "dependencies": [], "source_template": "Copy of Output_CSV Template.xlsx"}</t>
        </is>
      </c>
    </row>
    <row r="113">
      <c r="A113" s="2" t="inlineStr">
        <is>
          <t>bs_ca__wealth_management_products_cp_from_receivables</t>
        </is>
      </c>
      <c r="B113" s="2" t="inlineStr">
        <is>
          <t>Wealth management products(CP) (from Receivables)</t>
        </is>
      </c>
      <c r="C113" s="2" t="inlineStr">
        <is>
          <t>bs_ca</t>
        </is>
      </c>
      <c r="D113" s="2" t="inlineStr">
        <is>
          <t>Extract the reported value for 'Wealth management products(CP) (from Receivables)' from the stated section. Do not calculate or replace it from other rows, because the revised template does not designate this field as formula-driven.</t>
        </is>
      </c>
      <c r="E113" s="2" t="inlineStr">
        <is>
          <t>Wealth management products(CP) (from Receivables)</t>
        </is>
      </c>
      <c r="F113" s="2" t="inlineStr">
        <is>
          <t>Wealth management products(CP) (from Receivables)</t>
        </is>
      </c>
      <c r="G113" s="2" t="inlineStr">
        <is>
          <t>^Wealth\s+management\s+products\(CP\)\s+\(from\s+Receivables\)$</t>
        </is>
      </c>
      <c r="H113" s="2" t="inlineStr"/>
      <c r="I113" s="2" t="inlineStr">
        <is>
          <t>Amounts or disclosures explicitly reported for Wealth management products(CP) (from Receivables) in Balance Sheet / bs_ca.</t>
        </is>
      </c>
      <c r="J113" s="2" t="inlineStr">
        <is>
          <t>Do not substitute another section, period, entity scope, currency or unit; do not double count a parent and its children.</t>
        </is>
      </c>
      <c r="K113" s="2" t="inlineStr"/>
      <c r="L113" s="2" t="inlineStr">
        <is>
          <t>as_reported</t>
        </is>
      </c>
      <c r="M113" s="2" t="inlineStr">
        <is>
          <t>direct_exclusive</t>
        </is>
      </c>
      <c r="N113" s="2" t="n">
        <v>90</v>
      </c>
      <c r="O113" s="2" t="inlineStr">
        <is>
          <t>normalized_exact_then_regex</t>
        </is>
      </c>
      <c r="P113" s="3" t="inlineStr">
        <is>
          <t>extract</t>
        </is>
      </c>
      <c r="Q113" s="2" t="inlineStr">
        <is>
          <t>currency_amount</t>
        </is>
      </c>
      <c r="R113" s="2" t="inlineStr">
        <is>
          <t>period_end</t>
        </is>
      </c>
      <c r="S113" s="2" t="inlineStr">
        <is>
          <t>allowed_with_provenance</t>
        </is>
      </c>
      <c r="T113" s="2" t="b">
        <v>0</v>
      </c>
      <c r="U113" s="2" t="b">
        <v>0</v>
      </c>
      <c r="V113" s="2" t="inlineStr"/>
      <c r="W113" s="2" t="inlineStr"/>
      <c r="X113" s="2" t="inlineStr">
        <is>
          <t>Decompose only from explicit face or note evidence; never fabricate a split.</t>
        </is>
      </c>
      <c r="Y113" s="2" t="inlineStr">
        <is>
          <t>Aggregate only mutually exclusive facts with identical period, scope, currency and unit.</t>
        </is>
      </c>
      <c r="Z113" s="2" t="inlineStr">
        <is>
          <t>Bind only to Balance Sheet / bs_ca.</t>
        </is>
      </c>
      <c r="AA113" s="2" t="inlineStr"/>
      <c r="AB113" s="2" t="b">
        <v>1</v>
      </c>
      <c r="AC113" s="2" t="inlineStr"/>
      <c r="AD113" s="2" t="inlineStr">
        <is>
          <t>Exact field from Balance Sheet!A99; value cell B99.</t>
        </is>
      </c>
      <c r="AE113" s="2" t="inlineStr">
        <is>
          <t>Notes may support direct extraction or decomposition with provenance. Formula outputs must be derived only from template dependencies.</t>
        </is>
      </c>
      <c r="AF113" s="2" t="inlineStr"/>
      <c r="AG113" s="2" t="inlineStr">
        <is>
          <t>[]</t>
        </is>
      </c>
      <c r="AH113" s="2" t="inlineStr">
        <is>
          <t>Wealth management products(CP) (from Receivables)</t>
        </is>
      </c>
      <c r="AI113" s="2" t="inlineStr"/>
      <c r="AJ113" s="2" t="inlineStr">
        <is>
          <t>{"template_sheet": "Balance Sheet", "template_row": 99, "template_cell": "B99", "template_value_or_formula": 16, "calculation_type": "reported_input", "dependencies": [], "source_template": "Copy of Output_CSV Template.xlsx"}</t>
        </is>
      </c>
    </row>
    <row r="114">
      <c r="A114" s="2" t="inlineStr">
        <is>
          <t>bs_ca__reverse_repo_cp</t>
        </is>
      </c>
      <c r="B114" s="2" t="inlineStr">
        <is>
          <t>Reverse repo(CP)</t>
        </is>
      </c>
      <c r="C114" s="2" t="inlineStr">
        <is>
          <t>bs_ca</t>
        </is>
      </c>
      <c r="D114" s="2" t="inlineStr">
        <is>
          <t>Extract the reported value for 'Reverse repo(CP)' from the stated section. Do not calculate or replace it from other rows, because the revised template does not designate this field as formula-driven.</t>
        </is>
      </c>
      <c r="E114" s="2" t="inlineStr">
        <is>
          <t>Reverse repo(CP)</t>
        </is>
      </c>
      <c r="F114" s="2" t="inlineStr">
        <is>
          <t>Reverse repo(CP)</t>
        </is>
      </c>
      <c r="G114" s="2" t="inlineStr">
        <is>
          <t>^Reverse\s+repo\(CP\)$</t>
        </is>
      </c>
      <c r="H114" s="2" t="inlineStr"/>
      <c r="I114" s="2" t="inlineStr">
        <is>
          <t>Amounts or disclosures explicitly reported for Reverse repo(CP) in Balance Sheet / bs_ca.</t>
        </is>
      </c>
      <c r="J114" s="2" t="inlineStr">
        <is>
          <t>Do not substitute another section, period, entity scope, currency or unit; do not double count a parent and its children.</t>
        </is>
      </c>
      <c r="K114" s="2" t="inlineStr"/>
      <c r="L114" s="2" t="inlineStr">
        <is>
          <t>as_reported</t>
        </is>
      </c>
      <c r="M114" s="2" t="inlineStr">
        <is>
          <t>direct_exclusive</t>
        </is>
      </c>
      <c r="N114" s="2" t="n">
        <v>90</v>
      </c>
      <c r="O114" s="2" t="inlineStr">
        <is>
          <t>normalized_exact_then_regex</t>
        </is>
      </c>
      <c r="P114" s="3" t="inlineStr">
        <is>
          <t>extract</t>
        </is>
      </c>
      <c r="Q114" s="2" t="inlineStr">
        <is>
          <t>currency_amount</t>
        </is>
      </c>
      <c r="R114" s="2" t="inlineStr">
        <is>
          <t>period_end</t>
        </is>
      </c>
      <c r="S114" s="2" t="inlineStr">
        <is>
          <t>allowed_with_provenance</t>
        </is>
      </c>
      <c r="T114" s="2" t="b">
        <v>0</v>
      </c>
      <c r="U114" s="2" t="b">
        <v>0</v>
      </c>
      <c r="V114" s="2" t="inlineStr"/>
      <c r="W114" s="2" t="inlineStr"/>
      <c r="X114" s="2" t="inlineStr">
        <is>
          <t>Decompose only from explicit face or note evidence; never fabricate a split.</t>
        </is>
      </c>
      <c r="Y114" s="2" t="inlineStr">
        <is>
          <t>Aggregate only mutually exclusive facts with identical period, scope, currency and unit.</t>
        </is>
      </c>
      <c r="Z114" s="2" t="inlineStr">
        <is>
          <t>Bind only to Balance Sheet / bs_ca.</t>
        </is>
      </c>
      <c r="AA114" s="2" t="inlineStr"/>
      <c r="AB114" s="2" t="b">
        <v>1</v>
      </c>
      <c r="AC114" s="2" t="inlineStr"/>
      <c r="AD114" s="2" t="inlineStr">
        <is>
          <t>Exact field from Balance Sheet!A100; value cell B100.</t>
        </is>
      </c>
      <c r="AE114" s="2" t="inlineStr">
        <is>
          <t>Notes may support direct extraction or decomposition with provenance. Formula outputs must be derived only from template dependencies.</t>
        </is>
      </c>
      <c r="AF114" s="2" t="inlineStr"/>
      <c r="AG114" s="2" t="inlineStr">
        <is>
          <t>[]</t>
        </is>
      </c>
      <c r="AH114" s="2" t="inlineStr">
        <is>
          <t>Reverse repo(CP)</t>
        </is>
      </c>
      <c r="AI114" s="2" t="inlineStr"/>
      <c r="AJ114" s="2" t="inlineStr">
        <is>
          <t>{"template_sheet": "Balance Sheet", "template_row": 100, "template_cell": "B100", "template_value_or_formula": 33, "calculation_type": "reported_input", "dependencies": [], "source_template": "Copy of Output_CSV Template.xlsx"}</t>
        </is>
      </c>
    </row>
    <row r="115">
      <c r="A115" s="2" t="inlineStr">
        <is>
          <t>bs_ca__other_receivables_cp</t>
        </is>
      </c>
      <c r="B115" s="2" t="inlineStr">
        <is>
          <t>Other Receivables(CP)</t>
        </is>
      </c>
      <c r="C115" s="2" t="inlineStr">
        <is>
          <t>bs_ca</t>
        </is>
      </c>
      <c r="D115" s="2" t="inlineStr">
        <is>
          <t>Extract the reported value for 'Other Receivables(CP)' from the stated section. Do not calculate or replace it from other rows, because the revised template does not designate this field as formula-driven.</t>
        </is>
      </c>
      <c r="E115" s="2" t="inlineStr">
        <is>
          <t>Other Receivables(CP)</t>
        </is>
      </c>
      <c r="F115" s="2" t="inlineStr">
        <is>
          <t>Other Receivables(CP)</t>
        </is>
      </c>
      <c r="G115" s="2" t="inlineStr">
        <is>
          <t>^Other\s+Receivables\(CP\)$</t>
        </is>
      </c>
      <c r="H115" s="2" t="inlineStr"/>
      <c r="I115" s="2" t="inlineStr">
        <is>
          <t>Amounts or disclosures explicitly reported for Other Receivables(CP) in Balance Sheet / bs_ca.</t>
        </is>
      </c>
      <c r="J115" s="2" t="inlineStr">
        <is>
          <t>Do not substitute another section, period, entity scope, currency or unit; do not double count a parent and its children.</t>
        </is>
      </c>
      <c r="K115" s="2" t="inlineStr"/>
      <c r="L115" s="2" t="inlineStr">
        <is>
          <t>as_reported</t>
        </is>
      </c>
      <c r="M115" s="2" t="inlineStr">
        <is>
          <t>direct_exclusive</t>
        </is>
      </c>
      <c r="N115" s="2" t="n">
        <v>90</v>
      </c>
      <c r="O115" s="2" t="inlineStr">
        <is>
          <t>normalized_exact_then_regex</t>
        </is>
      </c>
      <c r="P115" s="3" t="inlineStr">
        <is>
          <t>extract</t>
        </is>
      </c>
      <c r="Q115" s="2" t="inlineStr">
        <is>
          <t>currency_amount</t>
        </is>
      </c>
      <c r="R115" s="2" t="inlineStr">
        <is>
          <t>period_end</t>
        </is>
      </c>
      <c r="S115" s="2" t="inlineStr">
        <is>
          <t>allowed_with_provenance</t>
        </is>
      </c>
      <c r="T115" s="2" t="b">
        <v>0</v>
      </c>
      <c r="U115" s="2" t="b">
        <v>0</v>
      </c>
      <c r="V115" s="2" t="inlineStr"/>
      <c r="W115" s="2" t="inlineStr"/>
      <c r="X115" s="2" t="inlineStr">
        <is>
          <t>Decompose only from explicit face or note evidence; never fabricate a split.</t>
        </is>
      </c>
      <c r="Y115" s="2" t="inlineStr">
        <is>
          <t>Aggregate only mutually exclusive facts with identical period, scope, currency and unit.</t>
        </is>
      </c>
      <c r="Z115" s="2" t="inlineStr">
        <is>
          <t>Bind only to Balance Sheet / bs_ca.</t>
        </is>
      </c>
      <c r="AA115" s="2" t="inlineStr"/>
      <c r="AB115" s="2" t="b">
        <v>1</v>
      </c>
      <c r="AC115" s="2" t="inlineStr"/>
      <c r="AD115" s="2" t="inlineStr">
        <is>
          <t>Exact field from Balance Sheet!A101; value cell B101.</t>
        </is>
      </c>
      <c r="AE115" s="2" t="inlineStr">
        <is>
          <t>Notes may support direct extraction or decomposition with provenance. Formula outputs must be derived only from template dependencies.</t>
        </is>
      </c>
      <c r="AF115" s="2" t="inlineStr">
        <is>
          <t>{"mode": "no_balancing_plug", "negative_result": "review"}</t>
        </is>
      </c>
      <c r="AG115" s="2" t="inlineStr">
        <is>
          <t>[]</t>
        </is>
      </c>
      <c r="AH115" s="2" t="inlineStr">
        <is>
          <t>Other Receivables(CP)</t>
        </is>
      </c>
      <c r="AI115" s="2" t="inlineStr"/>
      <c r="AJ115" s="2" t="inlineStr">
        <is>
          <t>{"template_sheet": "Balance Sheet", "template_row": 101, "template_cell": "B101", "template_value_or_formula": 50, "calculation_type": "reported_input", "dependencies": [], "source_template": "Copy of Output_CSV Template.xlsx"}</t>
        </is>
      </c>
    </row>
    <row r="116">
      <c r="A116" s="2" t="inlineStr">
        <is>
          <t>bs_ca__wealth_management_products_cp_from_cash_equ</t>
        </is>
      </c>
      <c r="B116" s="2" t="inlineStr">
        <is>
          <t>Wealth management products(CP) (from cash equ.)</t>
        </is>
      </c>
      <c r="C116" s="2" t="inlineStr">
        <is>
          <t>bs_ca</t>
        </is>
      </c>
      <c r="D116" s="2" t="inlineStr">
        <is>
          <t>Extract the reported value for 'Wealth management products(CP) (from cash equ.)' from the stated section. Do not calculate or replace it from other rows, because the revised template does not designate this field as formula-driven.</t>
        </is>
      </c>
      <c r="E116" s="2" t="inlineStr">
        <is>
          <t>Wealth management products(CP) (from cash equ.)</t>
        </is>
      </c>
      <c r="F116" s="2" t="inlineStr">
        <is>
          <t>Wealth management products(CP) (from cash equ.)</t>
        </is>
      </c>
      <c r="G116" s="2" t="inlineStr">
        <is>
          <t>^Wealth\s+management\s+products\(CP\)\s+\(from\s+cash\s+equ\.\)$</t>
        </is>
      </c>
      <c r="H116" s="2" t="inlineStr"/>
      <c r="I116" s="2" t="inlineStr">
        <is>
          <t>Amounts or disclosures explicitly reported for Wealth management products(CP) (from cash equ.) in Balance Sheet / bs_ca.</t>
        </is>
      </c>
      <c r="J116" s="2" t="inlineStr">
        <is>
          <t>Do not substitute another section, period, entity scope, currency or unit; do not double count a parent and its children.</t>
        </is>
      </c>
      <c r="K116" s="2" t="inlineStr"/>
      <c r="L116" s="2" t="inlineStr">
        <is>
          <t>as_reported</t>
        </is>
      </c>
      <c r="M116" s="2" t="inlineStr">
        <is>
          <t>direct_exclusive</t>
        </is>
      </c>
      <c r="N116" s="2" t="n">
        <v>90</v>
      </c>
      <c r="O116" s="2" t="inlineStr">
        <is>
          <t>normalized_exact_then_regex</t>
        </is>
      </c>
      <c r="P116" s="3" t="inlineStr">
        <is>
          <t>extract</t>
        </is>
      </c>
      <c r="Q116" s="2" t="inlineStr">
        <is>
          <t>currency_amount</t>
        </is>
      </c>
      <c r="R116" s="2" t="inlineStr">
        <is>
          <t>period_end</t>
        </is>
      </c>
      <c r="S116" s="2" t="inlineStr">
        <is>
          <t>allowed_with_provenance</t>
        </is>
      </c>
      <c r="T116" s="2" t="b">
        <v>0</v>
      </c>
      <c r="U116" s="2" t="b">
        <v>0</v>
      </c>
      <c r="V116" s="2" t="inlineStr"/>
      <c r="W116" s="2" t="inlineStr"/>
      <c r="X116" s="2" t="inlineStr">
        <is>
          <t>Decompose only from explicit face or note evidence; never fabricate a split.</t>
        </is>
      </c>
      <c r="Y116" s="2" t="inlineStr">
        <is>
          <t>Aggregate only mutually exclusive facts with identical period, scope, currency and unit.</t>
        </is>
      </c>
      <c r="Z116" s="2" t="inlineStr">
        <is>
          <t>Bind only to Balance Sheet / bs_ca.</t>
        </is>
      </c>
      <c r="AA116" s="2" t="inlineStr"/>
      <c r="AB116" s="2" t="b">
        <v>1</v>
      </c>
      <c r="AC116" s="2" t="inlineStr"/>
      <c r="AD116" s="2" t="inlineStr">
        <is>
          <t>Exact field from Balance Sheet!A102; value cell B102.</t>
        </is>
      </c>
      <c r="AE116" s="2" t="inlineStr">
        <is>
          <t>Notes may support direct extraction or decomposition with provenance. Formula outputs must be derived only from template dependencies.</t>
        </is>
      </c>
      <c r="AF116" s="2" t="inlineStr"/>
      <c r="AG116" s="2" t="inlineStr">
        <is>
          <t>[]</t>
        </is>
      </c>
      <c r="AH116" s="2" t="inlineStr">
        <is>
          <t>Wealth management products(CP) (from cash equ.)</t>
        </is>
      </c>
      <c r="AI116" s="2" t="inlineStr"/>
      <c r="AJ116" s="2" t="inlineStr">
        <is>
          <t>{"template_sheet": "Balance Sheet", "template_row": 102, "template_cell": "B102", "template_value_or_formula": 24, "calculation_type": "reported_input", "dependencies": [], "source_template": "Copy of Output_CSV Template.xlsx"}</t>
        </is>
      </c>
    </row>
    <row r="117">
      <c r="A117" s="2" t="inlineStr">
        <is>
          <t>bs_ca__cash_equivalents</t>
        </is>
      </c>
      <c r="B117" s="2" t="inlineStr">
        <is>
          <t>Cash Equivalents</t>
        </is>
      </c>
      <c r="C117" s="2" t="inlineStr">
        <is>
          <t>bs_ca</t>
        </is>
      </c>
      <c r="D117" s="2" t="inlineStr">
        <is>
          <t>Extract the reported value for 'Cash Equivalents' from the stated section. Do not calculate or replace it from other rows, because the revised template does not designate this field as formula-driven.</t>
        </is>
      </c>
      <c r="E117" s="2" t="inlineStr">
        <is>
          <t>Cash Equivalents</t>
        </is>
      </c>
      <c r="F117" s="2" t="inlineStr">
        <is>
          <t>Cash Equivalents</t>
        </is>
      </c>
      <c r="G117" s="2" t="inlineStr">
        <is>
          <t>^Cash\s+Equivalents$</t>
        </is>
      </c>
      <c r="H117" s="2" t="inlineStr"/>
      <c r="I117" s="2" t="inlineStr">
        <is>
          <t>Amounts or disclosures explicitly reported for Cash Equivalents in Balance Sheet / bs_ca.</t>
        </is>
      </c>
      <c r="J117" s="2" t="inlineStr">
        <is>
          <t>Do not substitute another section, period, entity scope, currency or unit; do not double count a parent and its children.</t>
        </is>
      </c>
      <c r="K117" s="2" t="inlineStr"/>
      <c r="L117" s="2" t="inlineStr">
        <is>
          <t>as_reported</t>
        </is>
      </c>
      <c r="M117" s="2" t="inlineStr">
        <is>
          <t>direct_exclusive</t>
        </is>
      </c>
      <c r="N117" s="2" t="n">
        <v>90</v>
      </c>
      <c r="O117" s="2" t="inlineStr">
        <is>
          <t>normalized_exact_then_regex</t>
        </is>
      </c>
      <c r="P117" s="3" t="inlineStr">
        <is>
          <t>extract</t>
        </is>
      </c>
      <c r="Q117" s="2" t="inlineStr">
        <is>
          <t>currency_amount</t>
        </is>
      </c>
      <c r="R117" s="2" t="inlineStr">
        <is>
          <t>period_end</t>
        </is>
      </c>
      <c r="S117" s="2" t="inlineStr">
        <is>
          <t>allowed_with_provenance</t>
        </is>
      </c>
      <c r="T117" s="2" t="b">
        <v>0</v>
      </c>
      <c r="U117" s="2" t="b">
        <v>0</v>
      </c>
      <c r="V117" s="2" t="inlineStr"/>
      <c r="W117" s="2" t="inlineStr"/>
      <c r="X117" s="2" t="inlineStr">
        <is>
          <t>Decompose only from explicit face or note evidence; never fabricate a split.</t>
        </is>
      </c>
      <c r="Y117" s="2" t="inlineStr">
        <is>
          <t>Aggregate only mutually exclusive facts with identical period, scope, currency and unit.</t>
        </is>
      </c>
      <c r="Z117" s="2" t="inlineStr">
        <is>
          <t>Bind only to Balance Sheet / bs_ca.</t>
        </is>
      </c>
      <c r="AA117" s="2" t="inlineStr"/>
      <c r="AB117" s="2" t="b">
        <v>1</v>
      </c>
      <c r="AC117" s="2" t="inlineStr"/>
      <c r="AD117" s="2" t="inlineStr">
        <is>
          <t>Exact field from Balance Sheet!A103; value cell B103.</t>
        </is>
      </c>
      <c r="AE117" s="2" t="inlineStr">
        <is>
          <t>Notes may support direct extraction or decomposition with provenance. Formula outputs must be derived only from template dependencies.</t>
        </is>
      </c>
      <c r="AF117" s="2" t="inlineStr"/>
      <c r="AG117" s="2" t="inlineStr">
        <is>
          <t>[]</t>
        </is>
      </c>
      <c r="AH117" s="2" t="inlineStr">
        <is>
          <t>Cash Equivalents</t>
        </is>
      </c>
      <c r="AI117" s="2" t="inlineStr"/>
      <c r="AJ117" s="2" t="inlineStr">
        <is>
          <t>{"template_sheet": "Balance Sheet", "template_row": 103, "template_cell": "B103", "template_value_or_formula": 41, "calculation_type": "reported_input", "dependencies": [], "source_template": "Copy of Output_CSV Template.xlsx"}</t>
        </is>
      </c>
    </row>
    <row r="118">
      <c r="A118" s="2" t="inlineStr">
        <is>
          <t>bs_ca__cash_in_hand_and_at_banks</t>
        </is>
      </c>
      <c r="B118" s="2" t="inlineStr">
        <is>
          <t>Cash in Hand and at Banks</t>
        </is>
      </c>
      <c r="C118" s="2" t="inlineStr">
        <is>
          <t>bs_ca</t>
        </is>
      </c>
      <c r="D118" s="2" t="inlineStr">
        <is>
          <t>Extract the reported value for 'Cash in Hand and at Banks' from the stated section. Do not calculate or replace it from other rows, because the revised template does not designate this field as formula-driven.</t>
        </is>
      </c>
      <c r="E118" s="2" t="inlineStr">
        <is>
          <t>Cash in Hand and at Banks</t>
        </is>
      </c>
      <c r="F118" s="2" t="inlineStr">
        <is>
          <t>Cash in Hand and at Banks</t>
        </is>
      </c>
      <c r="G118" s="2" t="inlineStr">
        <is>
          <t>^Cash\s+in\s+Hand\s+and\s+at\s+Banks$</t>
        </is>
      </c>
      <c r="H118" s="2" t="inlineStr"/>
      <c r="I118" s="2" t="inlineStr">
        <is>
          <t>Amounts or disclosures explicitly reported for Cash in Hand and at Banks in Balance Sheet / bs_ca.</t>
        </is>
      </c>
      <c r="J118" s="2" t="inlineStr">
        <is>
          <t>Do not substitute another section, period, entity scope, currency or unit; do not double count a parent and its children.</t>
        </is>
      </c>
      <c r="K118" s="2" t="inlineStr"/>
      <c r="L118" s="2" t="inlineStr">
        <is>
          <t>as_reported</t>
        </is>
      </c>
      <c r="M118" s="2" t="inlineStr">
        <is>
          <t>direct_exclusive</t>
        </is>
      </c>
      <c r="N118" s="2" t="n">
        <v>90</v>
      </c>
      <c r="O118" s="2" t="inlineStr">
        <is>
          <t>normalized_exact_then_regex</t>
        </is>
      </c>
      <c r="P118" s="3" t="inlineStr">
        <is>
          <t>extract</t>
        </is>
      </c>
      <c r="Q118" s="2" t="inlineStr">
        <is>
          <t>currency_amount</t>
        </is>
      </c>
      <c r="R118" s="2" t="inlineStr">
        <is>
          <t>period_end</t>
        </is>
      </c>
      <c r="S118" s="2" t="inlineStr">
        <is>
          <t>allowed_with_provenance</t>
        </is>
      </c>
      <c r="T118" s="2" t="b">
        <v>0</v>
      </c>
      <c r="U118" s="2" t="b">
        <v>0</v>
      </c>
      <c r="V118" s="2" t="inlineStr"/>
      <c r="W118" s="2" t="inlineStr"/>
      <c r="X118" s="2" t="inlineStr">
        <is>
          <t>Decompose only from explicit face or note evidence; never fabricate a split.</t>
        </is>
      </c>
      <c r="Y118" s="2" t="inlineStr">
        <is>
          <t>Aggregate only mutually exclusive facts with identical period, scope, currency and unit.</t>
        </is>
      </c>
      <c r="Z118" s="2" t="inlineStr">
        <is>
          <t>Bind only to Balance Sheet / bs_ca.</t>
        </is>
      </c>
      <c r="AA118" s="2" t="inlineStr"/>
      <c r="AB118" s="2" t="b">
        <v>1</v>
      </c>
      <c r="AC118" s="2" t="inlineStr"/>
      <c r="AD118" s="2" t="inlineStr">
        <is>
          <t>Exact field from Balance Sheet!A104; value cell B104.</t>
        </is>
      </c>
      <c r="AE118" s="2" t="inlineStr">
        <is>
          <t>Notes may support direct extraction or decomposition with provenance. Formula outputs must be derived only from template dependencies.</t>
        </is>
      </c>
      <c r="AF118" s="2" t="inlineStr"/>
      <c r="AG118" s="2" t="inlineStr">
        <is>
          <t>[]</t>
        </is>
      </c>
      <c r="AH118" s="2" t="inlineStr">
        <is>
          <t>Cash in Hand and at Banks</t>
        </is>
      </c>
      <c r="AI118" s="2" t="inlineStr"/>
      <c r="AJ118" s="2" t="inlineStr">
        <is>
          <t>{"template_sheet": "Balance Sheet", "template_row": 104, "template_cell": "B104", "template_value_or_formula": 15, "calculation_type": "reported_input", "dependencies": [], "source_template": "Copy of Output_CSV Template.xlsx"}</t>
        </is>
      </c>
    </row>
    <row r="119">
      <c r="A119" s="2" t="inlineStr">
        <is>
          <t>bs_ca__total_current_assets</t>
        </is>
      </c>
      <c r="B119" s="2" t="inlineStr">
        <is>
          <t>Total Current Assets</t>
        </is>
      </c>
      <c r="C119" s="2" t="inlineStr">
        <is>
          <t>bs_ca</t>
        </is>
      </c>
      <c r="D119" s="2" t="inlineStr">
        <is>
          <t>Calculated target using the exact formula retained in the supplied template: ={bs_ca__operating_lease_receivables}+{bs_ca__inventories}+SUM({bs_ca__due_from_jvs_and_partnerships}:{bs_ca__trade_and_other_receivables})+{bs_ca__net_trade_receivables}+SUM({bs_ca__subscribed_capital_called_not_paid}:{bs_ca__cash_in_hand_and_at_banks})</t>
        </is>
      </c>
      <c r="E119" s="2" t="inlineStr">
        <is>
          <t>Total Current Assets</t>
        </is>
      </c>
      <c r="F119" s="2" t="inlineStr">
        <is>
          <t>Total Current Assets</t>
        </is>
      </c>
      <c r="G119" s="2" t="inlineStr">
        <is>
          <t>^Total\s+Current\s+Assets$</t>
        </is>
      </c>
      <c r="H119" s="2" t="inlineStr"/>
      <c r="I119" s="2" t="inlineStr">
        <is>
          <t>Amounts or disclosures explicitly reported for Total Current Assets in Balance Sheet / bs_ca.</t>
        </is>
      </c>
      <c r="J119" s="2" t="inlineStr">
        <is>
          <t>Do not substitute another section, period, entity scope, currency or unit; do not double count a parent and its children.</t>
        </is>
      </c>
      <c r="K119" s="2" t="inlineStr"/>
      <c r="L119" s="2" t="inlineStr">
        <is>
          <t>as_reported</t>
        </is>
      </c>
      <c r="M119" s="2" t="inlineStr">
        <is>
          <t>derived_total</t>
        </is>
      </c>
      <c r="N119" s="2" t="n">
        <v>100</v>
      </c>
      <c r="O119" s="2" t="inlineStr">
        <is>
          <t>disabled</t>
        </is>
      </c>
      <c r="P119" s="4" t="inlineStr">
        <is>
          <t>derive</t>
        </is>
      </c>
      <c r="Q119" s="2" t="inlineStr">
        <is>
          <t>currency_amount</t>
        </is>
      </c>
      <c r="R119" s="2" t="inlineStr">
        <is>
          <t>period_end</t>
        </is>
      </c>
      <c r="S119" s="2" t="inlineStr">
        <is>
          <t>allowed_with_provenance</t>
        </is>
      </c>
      <c r="T119" s="2" t="b">
        <v>0</v>
      </c>
      <c r="U119" s="2" t="b">
        <v>1</v>
      </c>
      <c r="V119" s="2" t="inlineStr">
        <is>
          <t>bs_ca__operating_lease_receivables | bs_ca__inventories | bs_ca__due_from_jvs_and_partnerships | bs_ca__trade_and_other_receivables | bs_ca__net_trade_receivables | bs_ca__subscribed_capital_called_not_paid | bs_ca__cash_in_hand_and_at_banks</t>
        </is>
      </c>
      <c r="W119" s="2">
        <f>{bs_ca__operating_lease_receivables}+{bs_ca__inventories}+SUM({bs_ca__due_from_jvs_and_partnerships}:{bs_ca__trade_and_other_receivables})+{bs_ca__net_trade_receivables}+SUM({bs_ca__subscribed_capital_called_not_paid}:{bs_ca__cash_in_hand_and_at_banks})</f>
        <v/>
      </c>
      <c r="X119" s="2" t="inlineStr">
        <is>
          <t>Use only dependencies stated in the formula; never fabricate missing components.</t>
        </is>
      </c>
      <c r="Y119" s="2" t="inlineStr">
        <is>
          <t>Calculate only after every dependency is populated and validated.</t>
        </is>
      </c>
      <c r="Z119" s="2" t="inlineStr">
        <is>
          <t>Bind only to Balance Sheet / bs_ca.</t>
        </is>
      </c>
      <c r="AA119" s="2" t="inlineStr"/>
      <c r="AB119" s="2" t="b">
        <v>0</v>
      </c>
      <c r="AC119" s="2" t="inlineStr">
        <is>
          <t>bs_ca__operating_lease_receivables | bs_ca__inventories | bs_ca__due_from_jvs_and_partnerships | bs_ca__trade_and_other_receivables | bs_ca__net_trade_receivables | bs_ca__subscribed_capital_called_not_paid | bs_ca__cash_in_hand_and_at_banks</t>
        </is>
      </c>
      <c r="AD119" s="2" t="inlineStr">
        <is>
          <t>Exact field from Balance Sheet!A105; value cell B105.</t>
        </is>
      </c>
      <c r="AE119" s="2" t="inlineStr">
        <is>
          <t>Notes may support direct extraction or decomposition with provenance. Formula outputs must be derived only from template dependencies.</t>
        </is>
      </c>
      <c r="AF119" s="2" t="inlineStr"/>
      <c r="AG119" s="2" t="inlineStr">
        <is>
          <t>[]</t>
        </is>
      </c>
      <c r="AH119" s="2" t="inlineStr">
        <is>
          <t>Total Current Assets</t>
        </is>
      </c>
      <c r="AI119" s="2" t="inlineStr"/>
      <c r="AJ119" s="2" t="inlineStr">
        <is>
          <t>{"template_sheet": "Balance Sheet", "template_row": 105, "template_cell": "B105", "template_value_or_formula": "=B61+B65+SUM(B66:B93)+B96+SUM(B97:B104)", "calculation_type": "formula", "dependencies": ["bs_ca__operating_lease_receivables", "bs_ca__inventories", "bs_ca__due_from_jvs_and_partnerships", "bs_ca__trade_and_other_receivables", "bs_ca__net_trade_receivables", "bs_ca__subscribed_capital_called_not_paid", "bs_ca__cash_in_hand_and_at_banks"], "source_template": "Copy of Output_CSV Template.xlsx"}</t>
        </is>
      </c>
    </row>
    <row r="120">
      <c r="A120" s="2" t="inlineStr">
        <is>
          <t>bs_ca__total_assets</t>
        </is>
      </c>
      <c r="B120" s="2" t="inlineStr">
        <is>
          <t>Total Assets</t>
        </is>
      </c>
      <c r="C120" s="2" t="inlineStr">
        <is>
          <t>bs_ca</t>
        </is>
      </c>
      <c r="D120" s="2" t="inlineStr">
        <is>
          <t>Calculated target using the exact formula retained in the supplied template: ={bs_nca__total_non_current_assets}+{bs_ca__total_current_assets}</t>
        </is>
      </c>
      <c r="E120" s="2" t="inlineStr">
        <is>
          <t>Total Assets</t>
        </is>
      </c>
      <c r="F120" s="2" t="inlineStr">
        <is>
          <t>Total Assets</t>
        </is>
      </c>
      <c r="G120" s="2" t="inlineStr">
        <is>
          <t>^Total\s+Assets$</t>
        </is>
      </c>
      <c r="H120" s="2" t="inlineStr"/>
      <c r="I120" s="2" t="inlineStr">
        <is>
          <t>Amounts or disclosures explicitly reported for Total Assets in Balance Sheet / bs_ca.</t>
        </is>
      </c>
      <c r="J120" s="2" t="inlineStr">
        <is>
          <t>Do not substitute another section, period, entity scope, currency or unit; do not double count a parent and its children.</t>
        </is>
      </c>
      <c r="K120" s="2" t="inlineStr"/>
      <c r="L120" s="2" t="inlineStr">
        <is>
          <t>as_reported</t>
        </is>
      </c>
      <c r="M120" s="2" t="inlineStr">
        <is>
          <t>derived_total</t>
        </is>
      </c>
      <c r="N120" s="2" t="n">
        <v>100</v>
      </c>
      <c r="O120" s="2" t="inlineStr">
        <is>
          <t>disabled</t>
        </is>
      </c>
      <c r="P120" s="4" t="inlineStr">
        <is>
          <t>derive</t>
        </is>
      </c>
      <c r="Q120" s="2" t="inlineStr">
        <is>
          <t>currency_amount</t>
        </is>
      </c>
      <c r="R120" s="2" t="inlineStr">
        <is>
          <t>period_end</t>
        </is>
      </c>
      <c r="S120" s="2" t="inlineStr">
        <is>
          <t>allowed_with_provenance</t>
        </is>
      </c>
      <c r="T120" s="2" t="b">
        <v>0</v>
      </c>
      <c r="U120" s="2" t="b">
        <v>1</v>
      </c>
      <c r="V120" s="2" t="inlineStr">
        <is>
          <t>bs_nca__total_non_current_assets | bs_ca__total_current_assets</t>
        </is>
      </c>
      <c r="W120" s="2">
        <f>{bs_nca__total_non_current_assets}+{bs_ca__total_current_assets}</f>
        <v/>
      </c>
      <c r="X120" s="2" t="inlineStr">
        <is>
          <t>Use only dependencies stated in the formula; never fabricate missing components.</t>
        </is>
      </c>
      <c r="Y120" s="2" t="inlineStr">
        <is>
          <t>Calculate only after every dependency is populated and validated.</t>
        </is>
      </c>
      <c r="Z120" s="2" t="inlineStr">
        <is>
          <t>Bind only to Balance Sheet / bs_ca.</t>
        </is>
      </c>
      <c r="AA120" s="2" t="inlineStr"/>
      <c r="AB120" s="2" t="b">
        <v>0</v>
      </c>
      <c r="AC120" s="2" t="inlineStr">
        <is>
          <t>bs_nca__total_non_current_assets | bs_ca__total_current_assets</t>
        </is>
      </c>
      <c r="AD120" s="2" t="inlineStr">
        <is>
          <t>Exact field from Balance Sheet!A106; value cell B106.</t>
        </is>
      </c>
      <c r="AE120" s="2" t="inlineStr">
        <is>
          <t>Notes may support direct extraction or decomposition with provenance. Formula outputs must be derived only from template dependencies.</t>
        </is>
      </c>
      <c r="AF120" s="2" t="inlineStr"/>
      <c r="AG120" s="2" t="inlineStr">
        <is>
          <t>[]</t>
        </is>
      </c>
      <c r="AH120" s="2" t="inlineStr">
        <is>
          <t>Total Assets</t>
        </is>
      </c>
      <c r="AI120" s="2" t="inlineStr"/>
      <c r="AJ120" s="2" t="inlineStr">
        <is>
          <t>{"template_sheet": "Balance Sheet", "template_row": 106, "template_cell": "B106", "template_value_or_formula": "=B59+B105", "calculation_type": "formula", "dependencies": ["bs_nca__total_non_current_assets", "bs_ca__total_current_assets"], "source_template": "Copy of Output_CSV Template.xlsx"}</t>
        </is>
      </c>
    </row>
    <row r="121">
      <c r="A121" s="2" t="inlineStr">
        <is>
          <t>bs_equity__common_share_capital</t>
        </is>
      </c>
      <c r="B121" s="2" t="inlineStr">
        <is>
          <t>Common Share Capital</t>
        </is>
      </c>
      <c r="C121" s="2" t="inlineStr">
        <is>
          <t>bs_equity</t>
        </is>
      </c>
      <c r="D121" s="2" t="inlineStr">
        <is>
          <t>Extract the reported value for 'Common Share Capital' from the stated section. Do not calculate or replace it from other rows, because the revised template does not designate this field as formula-driven.</t>
        </is>
      </c>
      <c r="E121" s="2" t="inlineStr">
        <is>
          <t>Common Share Capital</t>
        </is>
      </c>
      <c r="F121" s="2" t="inlineStr">
        <is>
          <t>Common Share Capital</t>
        </is>
      </c>
      <c r="G121" s="2" t="inlineStr">
        <is>
          <t>^Common\s+Share\s+Capital$</t>
        </is>
      </c>
      <c r="H121" s="2" t="inlineStr"/>
      <c r="I121" s="2" t="inlineStr">
        <is>
          <t>Amounts or disclosures explicitly reported for Common Share Capital in Balance Sheet / bs_equity.</t>
        </is>
      </c>
      <c r="J121" s="2" t="inlineStr">
        <is>
          <t>Do not substitute another section, period, entity scope, currency or unit; do not double count a parent and its children.</t>
        </is>
      </c>
      <c r="K121" s="2" t="inlineStr"/>
      <c r="L121" s="2" t="inlineStr">
        <is>
          <t>as_reported</t>
        </is>
      </c>
      <c r="M121" s="2" t="inlineStr">
        <is>
          <t>direct_exclusive</t>
        </is>
      </c>
      <c r="N121" s="2" t="n">
        <v>90</v>
      </c>
      <c r="O121" s="2" t="inlineStr">
        <is>
          <t>normalized_exact_then_regex</t>
        </is>
      </c>
      <c r="P121" s="3" t="inlineStr">
        <is>
          <t>extract</t>
        </is>
      </c>
      <c r="Q121" s="2" t="inlineStr">
        <is>
          <t>currency_amount</t>
        </is>
      </c>
      <c r="R121" s="2" t="inlineStr">
        <is>
          <t>period_end</t>
        </is>
      </c>
      <c r="S121" s="2" t="inlineStr">
        <is>
          <t>allowed_with_provenance</t>
        </is>
      </c>
      <c r="T121" s="2" t="b">
        <v>0</v>
      </c>
      <c r="U121" s="2" t="b">
        <v>0</v>
      </c>
      <c r="V121" s="2" t="inlineStr"/>
      <c r="W121" s="2" t="inlineStr"/>
      <c r="X121" s="2" t="inlineStr">
        <is>
          <t>Decompose only from explicit face or note evidence; never fabricate a split.</t>
        </is>
      </c>
      <c r="Y121" s="2" t="inlineStr">
        <is>
          <t>Aggregate only mutually exclusive facts with identical period, scope, currency and unit.</t>
        </is>
      </c>
      <c r="Z121" s="2" t="inlineStr">
        <is>
          <t>Bind only to Balance Sheet / bs_equity.</t>
        </is>
      </c>
      <c r="AA121" s="2" t="inlineStr"/>
      <c r="AB121" s="2" t="b">
        <v>1</v>
      </c>
      <c r="AC121" s="2" t="inlineStr"/>
      <c r="AD121" s="2" t="inlineStr">
        <is>
          <t>Exact field from Balance Sheet!A108; value cell B108.</t>
        </is>
      </c>
      <c r="AE121" s="2" t="inlineStr">
        <is>
          <t>Notes may support direct extraction or decomposition with provenance. Formula outputs must be derived only from template dependencies.</t>
        </is>
      </c>
      <c r="AF121" s="2" t="inlineStr"/>
      <c r="AG121" s="2" t="inlineStr">
        <is>
          <t>[]</t>
        </is>
      </c>
      <c r="AH121" s="2" t="inlineStr">
        <is>
          <t>Common Share Capital</t>
        </is>
      </c>
      <c r="AI121" s="2" t="inlineStr"/>
      <c r="AJ121" s="2" t="inlineStr">
        <is>
          <t>{"template_sheet": "Balance Sheet", "template_row": 108, "template_cell": "B108", "template_value_or_formula": 40, "calculation_type": "reported_input", "dependencies": [], "source_template": "Copy of Output_CSV Template.xlsx"}</t>
        </is>
      </c>
    </row>
    <row r="122">
      <c r="A122" s="2" t="inlineStr">
        <is>
          <t>bs_equity__pref_share_capital</t>
        </is>
      </c>
      <c r="B122" s="2" t="inlineStr">
        <is>
          <t>Pref Share Capital</t>
        </is>
      </c>
      <c r="C122" s="2" t="inlineStr">
        <is>
          <t>bs_equity</t>
        </is>
      </c>
      <c r="D122" s="2" t="inlineStr">
        <is>
          <t>Extract the reported value for 'Pref Share Capital' from the stated section. Do not calculate or replace it from other rows, because the revised template does not designate this field as formula-driven.</t>
        </is>
      </c>
      <c r="E122" s="2" t="inlineStr">
        <is>
          <t>Pref Share Capital</t>
        </is>
      </c>
      <c r="F122" s="2" t="inlineStr">
        <is>
          <t>Pref Share Capital</t>
        </is>
      </c>
      <c r="G122" s="2" t="inlineStr">
        <is>
          <t>^Pref\s+Share\s+Capital$</t>
        </is>
      </c>
      <c r="H122" s="2" t="inlineStr"/>
      <c r="I122" s="2" t="inlineStr">
        <is>
          <t>Amounts or disclosures explicitly reported for Pref Share Capital in Balance Sheet / bs_equity.</t>
        </is>
      </c>
      <c r="J122" s="2" t="inlineStr">
        <is>
          <t>Do not substitute another section, period, entity scope, currency or unit; do not double count a parent and its children.</t>
        </is>
      </c>
      <c r="K122" s="2" t="inlineStr"/>
      <c r="L122" s="2" t="inlineStr">
        <is>
          <t>as_reported</t>
        </is>
      </c>
      <c r="M122" s="2" t="inlineStr">
        <is>
          <t>direct_exclusive</t>
        </is>
      </c>
      <c r="N122" s="2" t="n">
        <v>90</v>
      </c>
      <c r="O122" s="2" t="inlineStr">
        <is>
          <t>normalized_exact_then_regex</t>
        </is>
      </c>
      <c r="P122" s="3" t="inlineStr">
        <is>
          <t>extract</t>
        </is>
      </c>
      <c r="Q122" s="2" t="inlineStr">
        <is>
          <t>currency_amount</t>
        </is>
      </c>
      <c r="R122" s="2" t="inlineStr">
        <is>
          <t>period_end</t>
        </is>
      </c>
      <c r="S122" s="2" t="inlineStr">
        <is>
          <t>allowed_with_provenance</t>
        </is>
      </c>
      <c r="T122" s="2" t="b">
        <v>0</v>
      </c>
      <c r="U122" s="2" t="b">
        <v>0</v>
      </c>
      <c r="V122" s="2" t="inlineStr"/>
      <c r="W122" s="2" t="inlineStr"/>
      <c r="X122" s="2" t="inlineStr">
        <is>
          <t>Decompose only from explicit face or note evidence; never fabricate a split.</t>
        </is>
      </c>
      <c r="Y122" s="2" t="inlineStr">
        <is>
          <t>Aggregate only mutually exclusive facts with identical period, scope, currency and unit.</t>
        </is>
      </c>
      <c r="Z122" s="2" t="inlineStr">
        <is>
          <t>Bind only to Balance Sheet / bs_equity.</t>
        </is>
      </c>
      <c r="AA122" s="2" t="inlineStr"/>
      <c r="AB122" s="2" t="b">
        <v>1</v>
      </c>
      <c r="AC122" s="2" t="inlineStr"/>
      <c r="AD122" s="2" t="inlineStr">
        <is>
          <t>Exact field from Balance Sheet!A109; value cell B109.</t>
        </is>
      </c>
      <c r="AE122" s="2" t="inlineStr">
        <is>
          <t>Notes may support direct extraction or decomposition with provenance. Formula outputs must be derived only from template dependencies.</t>
        </is>
      </c>
      <c r="AF122" s="2" t="inlineStr"/>
      <c r="AG122" s="2" t="inlineStr">
        <is>
          <t>[]</t>
        </is>
      </c>
      <c r="AH122" s="2" t="inlineStr">
        <is>
          <t>Pref Share Capital</t>
        </is>
      </c>
      <c r="AI122" s="2" t="inlineStr"/>
      <c r="AJ122" s="2" t="inlineStr">
        <is>
          <t>{"template_sheet": "Balance Sheet", "template_row": 109, "template_cell": "B109", "template_value_or_formula": 14, "calculation_type": "reported_input", "dependencies": [], "source_template": "Copy of Output_CSV Template.xlsx"}</t>
        </is>
      </c>
    </row>
    <row r="123">
      <c r="A123" s="2" t="inlineStr">
        <is>
          <t>bs_equity__share_premium</t>
        </is>
      </c>
      <c r="B123" s="2" t="inlineStr">
        <is>
          <t>Share Premium</t>
        </is>
      </c>
      <c r="C123" s="2" t="inlineStr">
        <is>
          <t>bs_equity</t>
        </is>
      </c>
      <c r="D123" s="2" t="inlineStr">
        <is>
          <t>Extract the reported value for 'Share Premium' from the stated section. Do not calculate or replace it from other rows, because the revised template does not designate this field as formula-driven.</t>
        </is>
      </c>
      <c r="E123" s="2" t="inlineStr">
        <is>
          <t>Share Premium</t>
        </is>
      </c>
      <c r="F123" s="2" t="inlineStr">
        <is>
          <t>Share Premium</t>
        </is>
      </c>
      <c r="G123" s="2" t="inlineStr">
        <is>
          <t>^Share\s+Premium$</t>
        </is>
      </c>
      <c r="H123" s="2" t="inlineStr"/>
      <c r="I123" s="2" t="inlineStr">
        <is>
          <t>Amounts or disclosures explicitly reported for Share Premium in Balance Sheet / bs_equity.</t>
        </is>
      </c>
      <c r="J123" s="2" t="inlineStr">
        <is>
          <t>Do not substitute another section, period, entity scope, currency or unit; do not double count a parent and its children.</t>
        </is>
      </c>
      <c r="K123" s="2" t="inlineStr"/>
      <c r="L123" s="2" t="inlineStr">
        <is>
          <t>as_reported</t>
        </is>
      </c>
      <c r="M123" s="2" t="inlineStr">
        <is>
          <t>direct_exclusive</t>
        </is>
      </c>
      <c r="N123" s="2" t="n">
        <v>90</v>
      </c>
      <c r="O123" s="2" t="inlineStr">
        <is>
          <t>normalized_exact_then_regex</t>
        </is>
      </c>
      <c r="P123" s="3" t="inlineStr">
        <is>
          <t>extract</t>
        </is>
      </c>
      <c r="Q123" s="2" t="inlineStr">
        <is>
          <t>currency_amount</t>
        </is>
      </c>
      <c r="R123" s="2" t="inlineStr">
        <is>
          <t>period_end</t>
        </is>
      </c>
      <c r="S123" s="2" t="inlineStr">
        <is>
          <t>allowed_with_provenance</t>
        </is>
      </c>
      <c r="T123" s="2" t="b">
        <v>0</v>
      </c>
      <c r="U123" s="2" t="b">
        <v>0</v>
      </c>
      <c r="V123" s="2" t="inlineStr"/>
      <c r="W123" s="2" t="inlineStr"/>
      <c r="X123" s="2" t="inlineStr">
        <is>
          <t>Decompose only from explicit face or note evidence; never fabricate a split.</t>
        </is>
      </c>
      <c r="Y123" s="2" t="inlineStr">
        <is>
          <t>Aggregate only mutually exclusive facts with identical period, scope, currency and unit.</t>
        </is>
      </c>
      <c r="Z123" s="2" t="inlineStr">
        <is>
          <t>Bind only to Balance Sheet / bs_equity.</t>
        </is>
      </c>
      <c r="AA123" s="2" t="inlineStr"/>
      <c r="AB123" s="2" t="b">
        <v>1</v>
      </c>
      <c r="AC123" s="2" t="inlineStr"/>
      <c r="AD123" s="2" t="inlineStr">
        <is>
          <t>Exact field from Balance Sheet!A110; value cell B110.</t>
        </is>
      </c>
      <c r="AE123" s="2" t="inlineStr">
        <is>
          <t>Notes may support direct extraction or decomposition with provenance. Formula outputs must be derived only from template dependencies.</t>
        </is>
      </c>
      <c r="AF123" s="2" t="inlineStr"/>
      <c r="AG123" s="2" t="inlineStr">
        <is>
          <t>[]</t>
        </is>
      </c>
      <c r="AH123" s="2" t="inlineStr">
        <is>
          <t>Share Premium</t>
        </is>
      </c>
      <c r="AI123" s="2" t="inlineStr"/>
      <c r="AJ123" s="2" t="inlineStr">
        <is>
          <t>{"template_sheet": "Balance Sheet", "template_row": 110, "template_cell": "B110", "template_value_or_formula": 31, "calculation_type": "reported_input", "dependencies": [], "source_template": "Copy of Output_CSV Template.xlsx"}</t>
        </is>
      </c>
    </row>
    <row r="124">
      <c r="A124" s="2" t="inlineStr">
        <is>
          <t>bs_equity__special_items_with_equity_character</t>
        </is>
      </c>
      <c r="B124" s="2" t="inlineStr">
        <is>
          <t>Special Items with Equity Character</t>
        </is>
      </c>
      <c r="C124" s="2" t="inlineStr">
        <is>
          <t>bs_equity</t>
        </is>
      </c>
      <c r="D124" s="2" t="inlineStr">
        <is>
          <t>Extract the reported value for 'Special Items with Equity Character' from the stated section. Do not calculate or replace it from other rows, because the revised template does not designate this field as formula-driven.</t>
        </is>
      </c>
      <c r="E124" s="2" t="inlineStr">
        <is>
          <t>Special Items with Equity Character</t>
        </is>
      </c>
      <c r="F124" s="2" t="inlineStr">
        <is>
          <t>Special Items with Equity Character</t>
        </is>
      </c>
      <c r="G124" s="2" t="inlineStr">
        <is>
          <t>^Special\s+Items\s+with\s+Equity\s+Character$</t>
        </is>
      </c>
      <c r="H124" s="2" t="inlineStr"/>
      <c r="I124" s="2" t="inlineStr">
        <is>
          <t>Amounts or disclosures explicitly reported for Special Items with Equity Character in Balance Sheet / bs_equity.</t>
        </is>
      </c>
      <c r="J124" s="2" t="inlineStr">
        <is>
          <t>Do not substitute another section, period, entity scope, currency or unit; do not double count a parent and its children.</t>
        </is>
      </c>
      <c r="K124" s="2" t="inlineStr"/>
      <c r="L124" s="2" t="inlineStr">
        <is>
          <t>as_reported</t>
        </is>
      </c>
      <c r="M124" s="2" t="inlineStr">
        <is>
          <t>direct_exclusive</t>
        </is>
      </c>
      <c r="N124" s="2" t="n">
        <v>90</v>
      </c>
      <c r="O124" s="2" t="inlineStr">
        <is>
          <t>normalized_exact_then_regex</t>
        </is>
      </c>
      <c r="P124" s="3" t="inlineStr">
        <is>
          <t>extract</t>
        </is>
      </c>
      <c r="Q124" s="2" t="inlineStr">
        <is>
          <t>currency_amount</t>
        </is>
      </c>
      <c r="R124" s="2" t="inlineStr">
        <is>
          <t>period_end</t>
        </is>
      </c>
      <c r="S124" s="2" t="inlineStr">
        <is>
          <t>allowed_with_provenance</t>
        </is>
      </c>
      <c r="T124" s="2" t="b">
        <v>0</v>
      </c>
      <c r="U124" s="2" t="b">
        <v>0</v>
      </c>
      <c r="V124" s="2" t="inlineStr"/>
      <c r="W124" s="2" t="inlineStr"/>
      <c r="X124" s="2" t="inlineStr">
        <is>
          <t>Decompose only from explicit face or note evidence; never fabricate a split.</t>
        </is>
      </c>
      <c r="Y124" s="2" t="inlineStr">
        <is>
          <t>Aggregate only mutually exclusive facts with identical period, scope, currency and unit.</t>
        </is>
      </c>
      <c r="Z124" s="2" t="inlineStr">
        <is>
          <t>Bind only to Balance Sheet / bs_equity.</t>
        </is>
      </c>
      <c r="AA124" s="2" t="inlineStr"/>
      <c r="AB124" s="2" t="b">
        <v>1</v>
      </c>
      <c r="AC124" s="2" t="inlineStr"/>
      <c r="AD124" s="2" t="inlineStr">
        <is>
          <t>Exact field from Balance Sheet!A111; value cell B111.</t>
        </is>
      </c>
      <c r="AE124" s="2" t="inlineStr">
        <is>
          <t>Notes may support direct extraction or decomposition with provenance. Formula outputs must be derived only from template dependencies.</t>
        </is>
      </c>
      <c r="AF124" s="2" t="inlineStr"/>
      <c r="AG124" s="2" t="inlineStr">
        <is>
          <t>[]</t>
        </is>
      </c>
      <c r="AH124" s="2" t="inlineStr">
        <is>
          <t>Special Items with Equity Character</t>
        </is>
      </c>
      <c r="AI124" s="2" t="inlineStr"/>
      <c r="AJ124" s="2" t="inlineStr">
        <is>
          <t>{"template_sheet": "Balance Sheet", "template_row": 111, "template_cell": "B111", "template_value_or_formula": 48, "calculation_type": "reported_input", "dependencies": [], "source_template": "Copy of Output_CSV Template.xlsx"}</t>
        </is>
      </c>
    </row>
    <row r="125">
      <c r="A125" s="2" t="inlineStr">
        <is>
          <t>bs_equity__capital_and_restricted_reserves</t>
        </is>
      </c>
      <c r="B125" s="2" t="inlineStr">
        <is>
          <t>Capital &amp; Restricted Reserves</t>
        </is>
      </c>
      <c r="C125" s="2" t="inlineStr">
        <is>
          <t>bs_equity</t>
        </is>
      </c>
      <c r="D125" s="2" t="inlineStr">
        <is>
          <t>Extract the reported value for 'Capital &amp; Restricted Reserves' from the stated section. Do not calculate or replace it from other rows, because the revised template does not designate this field as formula-driven.</t>
        </is>
      </c>
      <c r="E125" s="2" t="inlineStr">
        <is>
          <t>Capital &amp; Restricted Reserves</t>
        </is>
      </c>
      <c r="F125" s="2" t="inlineStr">
        <is>
          <t>Capital &amp; Restricted Reserves</t>
        </is>
      </c>
      <c r="G125" s="2" t="inlineStr">
        <is>
          <t>^Capital\s+\&amp;\s+Restricted\s+Reserves$</t>
        </is>
      </c>
      <c r="H125" s="2" t="inlineStr"/>
      <c r="I125" s="2" t="inlineStr">
        <is>
          <t>Amounts or disclosures explicitly reported for Capital &amp; Restricted Reserves in Balance Sheet / bs_equity.</t>
        </is>
      </c>
      <c r="J125" s="2" t="inlineStr">
        <is>
          <t>Do not substitute another section, period, entity scope, currency or unit; do not double count a parent and its children.</t>
        </is>
      </c>
      <c r="K125" s="2" t="inlineStr"/>
      <c r="L125" s="2" t="inlineStr">
        <is>
          <t>as_reported</t>
        </is>
      </c>
      <c r="M125" s="2" t="inlineStr">
        <is>
          <t>direct_exclusive</t>
        </is>
      </c>
      <c r="N125" s="2" t="n">
        <v>90</v>
      </c>
      <c r="O125" s="2" t="inlineStr">
        <is>
          <t>normalized_exact_then_regex</t>
        </is>
      </c>
      <c r="P125" s="3" t="inlineStr">
        <is>
          <t>extract</t>
        </is>
      </c>
      <c r="Q125" s="2" t="inlineStr">
        <is>
          <t>currency_amount</t>
        </is>
      </c>
      <c r="R125" s="2" t="inlineStr">
        <is>
          <t>period_end</t>
        </is>
      </c>
      <c r="S125" s="2" t="inlineStr">
        <is>
          <t>allowed_with_provenance</t>
        </is>
      </c>
      <c r="T125" s="2" t="b">
        <v>0</v>
      </c>
      <c r="U125" s="2" t="b">
        <v>0</v>
      </c>
      <c r="V125" s="2" t="inlineStr"/>
      <c r="W125" s="2" t="inlineStr"/>
      <c r="X125" s="2" t="inlineStr">
        <is>
          <t>Decompose only from explicit face or note evidence; never fabricate a split.</t>
        </is>
      </c>
      <c r="Y125" s="2" t="inlineStr">
        <is>
          <t>Aggregate only mutually exclusive facts with identical period, scope, currency and unit.</t>
        </is>
      </c>
      <c r="Z125" s="2" t="inlineStr">
        <is>
          <t>Bind only to Balance Sheet / bs_equity.</t>
        </is>
      </c>
      <c r="AA125" s="2" t="inlineStr"/>
      <c r="AB125" s="2" t="b">
        <v>1</v>
      </c>
      <c r="AC125" s="2" t="inlineStr"/>
      <c r="AD125" s="2" t="inlineStr">
        <is>
          <t>Exact field from Balance Sheet!A112; value cell B112.</t>
        </is>
      </c>
      <c r="AE125" s="2" t="inlineStr">
        <is>
          <t>Notes may support direct extraction or decomposition with provenance. Formula outputs must be derived only from template dependencies.</t>
        </is>
      </c>
      <c r="AF125" s="2" t="inlineStr"/>
      <c r="AG125" s="2" t="inlineStr">
        <is>
          <t>[]</t>
        </is>
      </c>
      <c r="AH125" s="2" t="inlineStr">
        <is>
          <t>Capital &amp; Restricted Reserves</t>
        </is>
      </c>
      <c r="AI125" s="2" t="inlineStr"/>
      <c r="AJ125" s="2" t="inlineStr">
        <is>
          <t>{"template_sheet": "Balance Sheet", "template_row": 112, "template_cell": "B112", "template_value_or_formula": 22, "calculation_type": "reported_input", "dependencies": [], "source_template": "Copy of Output_CSV Template.xlsx"}</t>
        </is>
      </c>
    </row>
    <row r="126">
      <c r="A126" s="2" t="inlineStr">
        <is>
          <t>bs_equity__permanent_equity</t>
        </is>
      </c>
      <c r="B126" s="2" t="inlineStr">
        <is>
          <t>Permanent Equity</t>
        </is>
      </c>
      <c r="C126" s="2" t="inlineStr">
        <is>
          <t>bs_equity</t>
        </is>
      </c>
      <c r="D126" s="2" t="inlineStr">
        <is>
          <t>Calculated target using the exact formula retained in the supplied template: =SUM({bs_equity__common_share_capital}:{bs_equity__capital_and_restricted_reserves})</t>
        </is>
      </c>
      <c r="E126" s="2" t="inlineStr">
        <is>
          <t>Permanent Equity</t>
        </is>
      </c>
      <c r="F126" s="2" t="inlineStr">
        <is>
          <t>Permanent Equity</t>
        </is>
      </c>
      <c r="G126" s="2" t="inlineStr">
        <is>
          <t>^Permanent\s+Equity$</t>
        </is>
      </c>
      <c r="H126" s="2" t="inlineStr"/>
      <c r="I126" s="2" t="inlineStr">
        <is>
          <t>Amounts or disclosures explicitly reported for Permanent Equity in Balance Sheet / bs_equity.</t>
        </is>
      </c>
      <c r="J126" s="2" t="inlineStr">
        <is>
          <t>Do not substitute another section, period, entity scope, currency or unit; do not double count a parent and its children.</t>
        </is>
      </c>
      <c r="K126" s="2" t="inlineStr"/>
      <c r="L126" s="2" t="inlineStr">
        <is>
          <t>as_reported</t>
        </is>
      </c>
      <c r="M126" s="2" t="inlineStr">
        <is>
          <t>derived_total</t>
        </is>
      </c>
      <c r="N126" s="2" t="n">
        <v>100</v>
      </c>
      <c r="O126" s="2" t="inlineStr">
        <is>
          <t>disabled</t>
        </is>
      </c>
      <c r="P126" s="4" t="inlineStr">
        <is>
          <t>derive</t>
        </is>
      </c>
      <c r="Q126" s="2" t="inlineStr">
        <is>
          <t>currency_amount</t>
        </is>
      </c>
      <c r="R126" s="2" t="inlineStr">
        <is>
          <t>period_end</t>
        </is>
      </c>
      <c r="S126" s="2" t="inlineStr">
        <is>
          <t>allowed_with_provenance</t>
        </is>
      </c>
      <c r="T126" s="2" t="b">
        <v>0</v>
      </c>
      <c r="U126" s="2" t="b">
        <v>1</v>
      </c>
      <c r="V126" s="2" t="inlineStr">
        <is>
          <t>bs_equity__common_share_capital | bs_equity__capital_and_restricted_reserves</t>
        </is>
      </c>
      <c r="W126" s="2">
        <f>SUM({bs_equity__common_share_capital}:{bs_equity__capital_and_restricted_reserves})</f>
        <v/>
      </c>
      <c r="X126" s="2" t="inlineStr">
        <is>
          <t>Use only dependencies stated in the formula; never fabricate missing components.</t>
        </is>
      </c>
      <c r="Y126" s="2" t="inlineStr">
        <is>
          <t>Calculate only after every dependency is populated and validated.</t>
        </is>
      </c>
      <c r="Z126" s="2" t="inlineStr">
        <is>
          <t>Bind only to Balance Sheet / bs_equity.</t>
        </is>
      </c>
      <c r="AA126" s="2" t="inlineStr"/>
      <c r="AB126" s="2" t="b">
        <v>0</v>
      </c>
      <c r="AC126" s="2" t="inlineStr">
        <is>
          <t>bs_equity__common_share_capital | bs_equity__capital_and_restricted_reserves</t>
        </is>
      </c>
      <c r="AD126" s="2" t="inlineStr">
        <is>
          <t>Exact field from Balance Sheet!A113; value cell B113.</t>
        </is>
      </c>
      <c r="AE126" s="2" t="inlineStr">
        <is>
          <t>Notes may support direct extraction or decomposition with provenance. Formula outputs must be derived only from template dependencies.</t>
        </is>
      </c>
      <c r="AF126" s="2" t="inlineStr"/>
      <c r="AG126" s="2" t="inlineStr">
        <is>
          <t>[]</t>
        </is>
      </c>
      <c r="AH126" s="2" t="inlineStr">
        <is>
          <t>Permanent Equity</t>
        </is>
      </c>
      <c r="AI126" s="2" t="inlineStr"/>
      <c r="AJ126" s="2" t="inlineStr">
        <is>
          <t>{"template_sheet": "Balance Sheet", "template_row": 113, "template_cell": "B113", "template_value_or_formula": "=SUM(B108:B112)", "calculation_type": "formula", "dependencies": ["bs_equity__common_share_capital", "bs_equity__capital_and_restricted_reserves"], "source_template": "Copy of Output_CSV Template.xlsx"}</t>
        </is>
      </c>
    </row>
    <row r="127">
      <c r="A127" s="2" t="inlineStr">
        <is>
          <t>bs_equity__revaluation_reserves</t>
        </is>
      </c>
      <c r="B127" s="2" t="inlineStr">
        <is>
          <t>Revaluation Reserves</t>
        </is>
      </c>
      <c r="C127" s="2" t="inlineStr">
        <is>
          <t>bs_equity</t>
        </is>
      </c>
      <c r="D127" s="2" t="inlineStr">
        <is>
          <t>Extract the reported value for 'Revaluation Reserves' from the stated section. Do not calculate or replace it from other rows, because the revised template does not designate this field as formula-driven.</t>
        </is>
      </c>
      <c r="E127" s="2" t="inlineStr">
        <is>
          <t>Revaluation Reserves</t>
        </is>
      </c>
      <c r="F127" s="2" t="inlineStr">
        <is>
          <t>Revaluation Reserves</t>
        </is>
      </c>
      <c r="G127" s="2" t="inlineStr">
        <is>
          <t>^Revaluation\s+Reserves$</t>
        </is>
      </c>
      <c r="H127" s="2" t="inlineStr"/>
      <c r="I127" s="2" t="inlineStr">
        <is>
          <t>Amounts or disclosures explicitly reported for Revaluation Reserves in Balance Sheet / bs_equity.</t>
        </is>
      </c>
      <c r="J127" s="2" t="inlineStr">
        <is>
          <t>Do not substitute another section, period, entity scope, currency or unit; do not double count a parent and its children.</t>
        </is>
      </c>
      <c r="K127" s="2" t="inlineStr"/>
      <c r="L127" s="2" t="inlineStr">
        <is>
          <t>as_reported</t>
        </is>
      </c>
      <c r="M127" s="2" t="inlineStr">
        <is>
          <t>direct_exclusive</t>
        </is>
      </c>
      <c r="N127" s="2" t="n">
        <v>90</v>
      </c>
      <c r="O127" s="2" t="inlineStr">
        <is>
          <t>normalized_exact_then_regex</t>
        </is>
      </c>
      <c r="P127" s="3" t="inlineStr">
        <is>
          <t>extract</t>
        </is>
      </c>
      <c r="Q127" s="2" t="inlineStr">
        <is>
          <t>currency_amount</t>
        </is>
      </c>
      <c r="R127" s="2" t="inlineStr">
        <is>
          <t>period_end</t>
        </is>
      </c>
      <c r="S127" s="2" t="inlineStr">
        <is>
          <t>allowed_with_provenance</t>
        </is>
      </c>
      <c r="T127" s="2" t="b">
        <v>0</v>
      </c>
      <c r="U127" s="2" t="b">
        <v>0</v>
      </c>
      <c r="V127" s="2" t="inlineStr"/>
      <c r="W127" s="2" t="inlineStr"/>
      <c r="X127" s="2" t="inlineStr">
        <is>
          <t>Decompose only from explicit face or note evidence; never fabricate a split.</t>
        </is>
      </c>
      <c r="Y127" s="2" t="inlineStr">
        <is>
          <t>Aggregate only mutually exclusive facts with identical period, scope, currency and unit.</t>
        </is>
      </c>
      <c r="Z127" s="2" t="inlineStr">
        <is>
          <t>Bind only to Balance Sheet / bs_equity.</t>
        </is>
      </c>
      <c r="AA127" s="2" t="inlineStr"/>
      <c r="AB127" s="2" t="b">
        <v>1</v>
      </c>
      <c r="AC127" s="2" t="inlineStr"/>
      <c r="AD127" s="2" t="inlineStr">
        <is>
          <t>Exact field from Balance Sheet!A114; value cell B114.</t>
        </is>
      </c>
      <c r="AE127" s="2" t="inlineStr">
        <is>
          <t>Notes may support direct extraction or decomposition with provenance. Formula outputs must be derived only from template dependencies.</t>
        </is>
      </c>
      <c r="AF127" s="2" t="inlineStr"/>
      <c r="AG127" s="2" t="inlineStr">
        <is>
          <t>[]</t>
        </is>
      </c>
      <c r="AH127" s="2" t="inlineStr">
        <is>
          <t>Revaluation Reserves</t>
        </is>
      </c>
      <c r="AI127" s="2" t="inlineStr"/>
      <c r="AJ127" s="2" t="inlineStr">
        <is>
          <t>{"template_sheet": "Balance Sheet", "template_row": 114, "template_cell": "B114", "template_value_or_formula": 13, "calculation_type": "reported_input", "dependencies": [], "source_template": "Copy of Output_CSV Template.xlsx"}</t>
        </is>
      </c>
    </row>
    <row r="128">
      <c r="A128" s="2" t="inlineStr">
        <is>
          <t>bs_equity__hedging_reserves</t>
        </is>
      </c>
      <c r="B128" s="2" t="inlineStr">
        <is>
          <t>Hedging Reserves</t>
        </is>
      </c>
      <c r="C128" s="2" t="inlineStr">
        <is>
          <t>bs_equity</t>
        </is>
      </c>
      <c r="D128" s="2" t="inlineStr">
        <is>
          <t>Extract the reported value for 'Hedging Reserves' from the stated section. Do not calculate or replace it from other rows, because the revised template does not designate this field as formula-driven.</t>
        </is>
      </c>
      <c r="E128" s="2" t="inlineStr">
        <is>
          <t>Hedging Reserves</t>
        </is>
      </c>
      <c r="F128" s="2" t="inlineStr">
        <is>
          <t>Hedging Reserves</t>
        </is>
      </c>
      <c r="G128" s="2" t="inlineStr">
        <is>
          <t>^Hedging\s+Reserves$</t>
        </is>
      </c>
      <c r="H128" s="2" t="inlineStr"/>
      <c r="I128" s="2" t="inlineStr">
        <is>
          <t>Amounts or disclosures explicitly reported for Hedging Reserves in Balance Sheet / bs_equity.</t>
        </is>
      </c>
      <c r="J128" s="2" t="inlineStr">
        <is>
          <t>Do not substitute another section, period, entity scope, currency or unit; do not double count a parent and its children.</t>
        </is>
      </c>
      <c r="K128" s="2" t="inlineStr"/>
      <c r="L128" s="2" t="inlineStr">
        <is>
          <t>as_reported</t>
        </is>
      </c>
      <c r="M128" s="2" t="inlineStr">
        <is>
          <t>direct_exclusive</t>
        </is>
      </c>
      <c r="N128" s="2" t="n">
        <v>90</v>
      </c>
      <c r="O128" s="2" t="inlineStr">
        <is>
          <t>normalized_exact_then_regex</t>
        </is>
      </c>
      <c r="P128" s="3" t="inlineStr">
        <is>
          <t>extract</t>
        </is>
      </c>
      <c r="Q128" s="2" t="inlineStr">
        <is>
          <t>currency_amount</t>
        </is>
      </c>
      <c r="R128" s="2" t="inlineStr">
        <is>
          <t>period_end</t>
        </is>
      </c>
      <c r="S128" s="2" t="inlineStr">
        <is>
          <t>allowed_with_provenance</t>
        </is>
      </c>
      <c r="T128" s="2" t="b">
        <v>0</v>
      </c>
      <c r="U128" s="2" t="b">
        <v>0</v>
      </c>
      <c r="V128" s="2" t="inlineStr"/>
      <c r="W128" s="2" t="inlineStr"/>
      <c r="X128" s="2" t="inlineStr">
        <is>
          <t>Decompose only from explicit face or note evidence; never fabricate a split.</t>
        </is>
      </c>
      <c r="Y128" s="2" t="inlineStr">
        <is>
          <t>Aggregate only mutually exclusive facts with identical period, scope, currency and unit.</t>
        </is>
      </c>
      <c r="Z128" s="2" t="inlineStr">
        <is>
          <t>Bind only to Balance Sheet / bs_equity.</t>
        </is>
      </c>
      <c r="AA128" s="2" t="inlineStr"/>
      <c r="AB128" s="2" t="b">
        <v>1</v>
      </c>
      <c r="AC128" s="2" t="inlineStr"/>
      <c r="AD128" s="2" t="inlineStr">
        <is>
          <t>Exact field from Balance Sheet!A115; value cell B115.</t>
        </is>
      </c>
      <c r="AE128" s="2" t="inlineStr">
        <is>
          <t>Notes may support direct extraction or decomposition with provenance. Formula outputs must be derived only from template dependencies.</t>
        </is>
      </c>
      <c r="AF128" s="2" t="inlineStr"/>
      <c r="AG128" s="2" t="inlineStr">
        <is>
          <t>[]</t>
        </is>
      </c>
      <c r="AH128" s="2" t="inlineStr">
        <is>
          <t>Hedging Reserves</t>
        </is>
      </c>
      <c r="AI128" s="2" t="inlineStr"/>
      <c r="AJ128" s="2" t="inlineStr">
        <is>
          <t>{"template_sheet": "Balance Sheet", "template_row": 115, "template_cell": "B115", "template_value_or_formula": 30, "calculation_type": "reported_input", "dependencies": [], "source_template": "Copy of Output_CSV Template.xlsx"}</t>
        </is>
      </c>
    </row>
    <row r="129">
      <c r="A129" s="2" t="inlineStr">
        <is>
          <t>bs_equity__other_reserves</t>
        </is>
      </c>
      <c r="B129" s="2" t="inlineStr">
        <is>
          <t>Other Reserves</t>
        </is>
      </c>
      <c r="C129" s="2" t="inlineStr">
        <is>
          <t>bs_equity</t>
        </is>
      </c>
      <c r="D129" s="2" t="inlineStr">
        <is>
          <t>Extract the reported value for 'Other Reserves' from the stated section. Do not calculate or replace it from other rows, because the revised template does not designate this field as formula-driven.</t>
        </is>
      </c>
      <c r="E129" s="2" t="inlineStr">
        <is>
          <t>Other Reserves</t>
        </is>
      </c>
      <c r="F129" s="2" t="inlineStr">
        <is>
          <t>Other Reserves</t>
        </is>
      </c>
      <c r="G129" s="2" t="inlineStr">
        <is>
          <t>^Other\s+Reserves$</t>
        </is>
      </c>
      <c r="H129" s="2" t="inlineStr"/>
      <c r="I129" s="2" t="inlineStr">
        <is>
          <t>Amounts or disclosures explicitly reported for Other Reserves in Balance Sheet / bs_equity.</t>
        </is>
      </c>
      <c r="J129" s="2" t="inlineStr">
        <is>
          <t>Do not substitute another section, period, entity scope, currency or unit; do not double count a parent and its children.</t>
        </is>
      </c>
      <c r="K129" s="2" t="inlineStr"/>
      <c r="L129" s="2" t="inlineStr">
        <is>
          <t>as_reported</t>
        </is>
      </c>
      <c r="M129" s="2" t="inlineStr">
        <is>
          <t>direct_exclusive</t>
        </is>
      </c>
      <c r="N129" s="2" t="n">
        <v>90</v>
      </c>
      <c r="O129" s="2" t="inlineStr">
        <is>
          <t>normalized_exact_then_regex</t>
        </is>
      </c>
      <c r="P129" s="3" t="inlineStr">
        <is>
          <t>extract</t>
        </is>
      </c>
      <c r="Q129" s="2" t="inlineStr">
        <is>
          <t>currency_amount</t>
        </is>
      </c>
      <c r="R129" s="2" t="inlineStr">
        <is>
          <t>period_end</t>
        </is>
      </c>
      <c r="S129" s="2" t="inlineStr">
        <is>
          <t>allowed_with_provenance</t>
        </is>
      </c>
      <c r="T129" s="2" t="b">
        <v>0</v>
      </c>
      <c r="U129" s="2" t="b">
        <v>0</v>
      </c>
      <c r="V129" s="2" t="inlineStr"/>
      <c r="W129" s="2" t="inlineStr"/>
      <c r="X129" s="2" t="inlineStr">
        <is>
          <t>Decompose only from explicit face or note evidence; never fabricate a split.</t>
        </is>
      </c>
      <c r="Y129" s="2" t="inlineStr">
        <is>
          <t>Aggregate only mutually exclusive facts with identical period, scope, currency and unit.</t>
        </is>
      </c>
      <c r="Z129" s="2" t="inlineStr">
        <is>
          <t>Bind only to Balance Sheet / bs_equity.</t>
        </is>
      </c>
      <c r="AA129" s="2" t="inlineStr"/>
      <c r="AB129" s="2" t="b">
        <v>1</v>
      </c>
      <c r="AC129" s="2" t="inlineStr"/>
      <c r="AD129" s="2" t="inlineStr">
        <is>
          <t>Exact field from Balance Sheet!A116; value cell B116.</t>
        </is>
      </c>
      <c r="AE129" s="2" t="inlineStr">
        <is>
          <t>Notes may support direct extraction or decomposition with provenance. Formula outputs must be derived only from template dependencies.</t>
        </is>
      </c>
      <c r="AF129" s="2" t="inlineStr">
        <is>
          <t>{"mode": "no_balancing_plug", "negative_result": "review"}</t>
        </is>
      </c>
      <c r="AG129" s="2" t="inlineStr">
        <is>
          <t>[]</t>
        </is>
      </c>
      <c r="AH129" s="2" t="inlineStr">
        <is>
          <t>Other Reserves</t>
        </is>
      </c>
      <c r="AI129" s="2" t="inlineStr"/>
      <c r="AJ129" s="2" t="inlineStr">
        <is>
          <t>{"template_sheet": "Balance Sheet", "template_row": 116, "template_cell": "B116", "template_value_or_formula": 47, "calculation_type": "reported_input", "dependencies": [], "source_template": "Copy of Output_CSV Template.xlsx"}</t>
        </is>
      </c>
    </row>
    <row r="130">
      <c r="A130" s="2" t="inlineStr">
        <is>
          <t>bs_equity__auditor_adj_on_retained_profits</t>
        </is>
      </c>
      <c r="B130" s="2" t="inlineStr">
        <is>
          <t>Auditor adj on retained profits</t>
        </is>
      </c>
      <c r="C130" s="2" t="inlineStr">
        <is>
          <t>bs_equity</t>
        </is>
      </c>
      <c r="D130" s="2" t="inlineStr">
        <is>
          <t>Extract the reported value for 'Auditor adj on retained profits' from the stated section. Do not calculate or replace it from other rows, because the revised template does not designate this field as formula-driven.</t>
        </is>
      </c>
      <c r="E130" s="2" t="inlineStr">
        <is>
          <t>Auditor adj on retained profits</t>
        </is>
      </c>
      <c r="F130" s="2" t="inlineStr">
        <is>
          <t>Auditor adj on retained profits</t>
        </is>
      </c>
      <c r="G130" s="2" t="inlineStr">
        <is>
          <t>^Auditor\s+adj\s+on\s+retained\s+profits$</t>
        </is>
      </c>
      <c r="H130" s="2" t="inlineStr"/>
      <c r="I130" s="2" t="inlineStr">
        <is>
          <t>Amounts or disclosures explicitly reported for Auditor adj on retained profits in Balance Sheet / bs_equity.</t>
        </is>
      </c>
      <c r="J130" s="2" t="inlineStr">
        <is>
          <t>Do not substitute another section, period, entity scope, currency or unit; do not double count a parent and its children.</t>
        </is>
      </c>
      <c r="K130" s="2" t="inlineStr"/>
      <c r="L130" s="2" t="inlineStr">
        <is>
          <t>as_reported</t>
        </is>
      </c>
      <c r="M130" s="2" t="inlineStr">
        <is>
          <t>direct_exclusive</t>
        </is>
      </c>
      <c r="N130" s="2" t="n">
        <v>90</v>
      </c>
      <c r="O130" s="2" t="inlineStr">
        <is>
          <t>normalized_exact_then_regex</t>
        </is>
      </c>
      <c r="P130" s="3" t="inlineStr">
        <is>
          <t>extract</t>
        </is>
      </c>
      <c r="Q130" s="2" t="inlineStr">
        <is>
          <t>currency_amount</t>
        </is>
      </c>
      <c r="R130" s="2" t="inlineStr">
        <is>
          <t>period_end</t>
        </is>
      </c>
      <c r="S130" s="2" t="inlineStr">
        <is>
          <t>allowed_with_provenance</t>
        </is>
      </c>
      <c r="T130" s="2" t="b">
        <v>0</v>
      </c>
      <c r="U130" s="2" t="b">
        <v>0</v>
      </c>
      <c r="V130" s="2" t="inlineStr"/>
      <c r="W130" s="2" t="inlineStr"/>
      <c r="X130" s="2" t="inlineStr">
        <is>
          <t>Decompose only from explicit face or note evidence; never fabricate a split.</t>
        </is>
      </c>
      <c r="Y130" s="2" t="inlineStr">
        <is>
          <t>Aggregate only mutually exclusive facts with identical period, scope, currency and unit.</t>
        </is>
      </c>
      <c r="Z130" s="2" t="inlineStr">
        <is>
          <t>Bind only to Balance Sheet / bs_equity.</t>
        </is>
      </c>
      <c r="AA130" s="2" t="inlineStr"/>
      <c r="AB130" s="2" t="b">
        <v>1</v>
      </c>
      <c r="AC130" s="2" t="inlineStr"/>
      <c r="AD130" s="2" t="inlineStr">
        <is>
          <t>Exact field from Balance Sheet!A117; value cell B117.</t>
        </is>
      </c>
      <c r="AE130" s="2" t="inlineStr">
        <is>
          <t>Notes may support direct extraction or decomposition with provenance. Formula outputs must be derived only from template dependencies.</t>
        </is>
      </c>
      <c r="AF130" s="2" t="inlineStr"/>
      <c r="AG130" s="2" t="inlineStr">
        <is>
          <t>[]</t>
        </is>
      </c>
      <c r="AH130" s="2" t="inlineStr">
        <is>
          <t>Auditor adj on retained profits</t>
        </is>
      </c>
      <c r="AI130" s="2" t="inlineStr"/>
      <c r="AJ130" s="2" t="inlineStr">
        <is>
          <t>{"template_sheet": "Balance Sheet", "template_row": 117, "template_cell": "B117", "template_value_or_formula": 21, "calculation_type": "reported_input", "dependencies": [], "source_template": "Copy of Output_CSV Template.xlsx"}</t>
        </is>
      </c>
    </row>
    <row r="131">
      <c r="A131" s="2" t="inlineStr">
        <is>
          <t>bs_equity__retained_profits</t>
        </is>
      </c>
      <c r="B131" s="2" t="inlineStr">
        <is>
          <t>Retained Profits</t>
        </is>
      </c>
      <c r="C131" s="2" t="inlineStr">
        <is>
          <t>bs_equity</t>
        </is>
      </c>
      <c r="D131" s="2" t="inlineStr">
        <is>
          <t>Calculated target using the exact formula retained in the supplied template: ={bs_ca__total_assets}-{bs_ncl__total_non_current_liabilities}-{bs_cl__total_current_liabilities}-{bs_equity__minority_interest_equity}-{bs_equity__permanent_equity}-SUM({bs_equity__revaluation_reserves}:{bs_equity__auditor_adj_on_retained_profits})-SUM({bs_equity__treasury_shares}:{bs_equity__accum_oth_eqty_rsrv_inc})</t>
        </is>
      </c>
      <c r="E131" s="2" t="inlineStr">
        <is>
          <t>Retained Profits</t>
        </is>
      </c>
      <c r="F131" s="2" t="inlineStr">
        <is>
          <t>Retained Profits</t>
        </is>
      </c>
      <c r="G131" s="2" t="inlineStr">
        <is>
          <t>^Retained\s+Profits$</t>
        </is>
      </c>
      <c r="H131" s="2" t="inlineStr"/>
      <c r="I131" s="2" t="inlineStr">
        <is>
          <t>Amounts or disclosures explicitly reported for Retained Profits in Balance Sheet / bs_equity.</t>
        </is>
      </c>
      <c r="J131" s="2" t="inlineStr">
        <is>
          <t>Do not substitute another section, period, entity scope, currency or unit; do not double count a parent and its children.</t>
        </is>
      </c>
      <c r="K131" s="2" t="inlineStr"/>
      <c r="L131" s="2" t="inlineStr">
        <is>
          <t>as_reported</t>
        </is>
      </c>
      <c r="M131" s="2" t="inlineStr">
        <is>
          <t>derived_total</t>
        </is>
      </c>
      <c r="N131" s="2" t="n">
        <v>100</v>
      </c>
      <c r="O131" s="2" t="inlineStr">
        <is>
          <t>disabled</t>
        </is>
      </c>
      <c r="P131" s="4" t="inlineStr">
        <is>
          <t>derive</t>
        </is>
      </c>
      <c r="Q131" s="2" t="inlineStr">
        <is>
          <t>currency_amount</t>
        </is>
      </c>
      <c r="R131" s="2" t="inlineStr">
        <is>
          <t>period_end</t>
        </is>
      </c>
      <c r="S131" s="2" t="inlineStr">
        <is>
          <t>allowed_with_provenance</t>
        </is>
      </c>
      <c r="T131" s="2" t="b">
        <v>0</v>
      </c>
      <c r="U131" s="2" t="b">
        <v>1</v>
      </c>
      <c r="V131" s="2" t="inlineStr">
        <is>
          <t>bs_ca__total_assets | bs_ncl__total_non_current_liabilities | bs_cl__total_current_liabilities | bs_equity__minority_interest_equity | bs_equity__permanent_equity | bs_equity__revaluation_reserves | bs_equity__auditor_adj_on_retained_profits | bs_equity__treasury_shares | bs_equity__accum_oth_eqty_rsrv_inc</t>
        </is>
      </c>
      <c r="W131" s="2">
        <f>{bs_ca__total_assets}-{bs_ncl__total_non_current_liabilities}-{bs_cl__total_current_liabilities}-{bs_equity__minority_interest_equity}-{bs_equity__permanent_equity}-SUM({bs_equity__revaluation_reserves}:{bs_equity__auditor_adj_on_retained_profits})-SUM({bs_equity__treasury_shares}:{bs_equity__accum_oth_eqty_rsrv_inc})</f>
        <v/>
      </c>
      <c r="X131" s="2" t="inlineStr">
        <is>
          <t>Use only dependencies stated in the formula; never fabricate missing components.</t>
        </is>
      </c>
      <c r="Y131" s="2" t="inlineStr">
        <is>
          <t>Calculate only after every dependency is populated and validated.</t>
        </is>
      </c>
      <c r="Z131" s="2" t="inlineStr">
        <is>
          <t>Bind only to Balance Sheet / bs_equity.</t>
        </is>
      </c>
      <c r="AA131" s="2" t="inlineStr"/>
      <c r="AB131" s="2" t="b">
        <v>0</v>
      </c>
      <c r="AC131" s="2" t="inlineStr">
        <is>
          <t>bs_ca__total_assets | bs_ncl__total_non_current_liabilities | bs_cl__total_current_liabilities | bs_equity__minority_interest_equity | bs_equity__permanent_equity | bs_equity__revaluation_reserves | bs_equity__auditor_adj_on_retained_profits | bs_equity__treasury_shares | bs_equity__accum_oth_eqty_rsrv_inc</t>
        </is>
      </c>
      <c r="AD131" s="2" t="inlineStr">
        <is>
          <t>Exact field from Balance Sheet!A118; value cell B118.</t>
        </is>
      </c>
      <c r="AE131" s="2" t="inlineStr">
        <is>
          <t>Notes may support direct extraction or decomposition with provenance. Formula outputs must be derived only from template dependencies.</t>
        </is>
      </c>
      <c r="AF131" s="2" t="inlineStr"/>
      <c r="AG131" s="2" t="inlineStr">
        <is>
          <t>[]</t>
        </is>
      </c>
      <c r="AH131" s="2" t="inlineStr">
        <is>
          <t>Retained Profits</t>
        </is>
      </c>
      <c r="AI131" s="2" t="inlineStr"/>
      <c r="AJ131" s="2" t="inlineStr">
        <is>
          <t>{"template_sheet": "Balance Sheet", "template_row": 118, "template_cell": "B118", "template_value_or_formula": "=B106-B165-B217-B127-B113-SUM(B114:B117)-SUM(B119:B125)", "calculation_type": "formula", "dependencies": ["bs_ca__total_assets", "bs_ncl__total_non_current_liabilities", "bs_cl__total_current_liabilities", "bs_equity__minority_interest_equity", "bs_equity__permanent_equity", "bs_equity__revaluation_reserves", "bs_equity__auditor_adj_on_retained_profits", "bs_equity__treasury_shares", "bs_equity__accum_oth_eqty_rsrv_inc"], "source_template": "Copy of Output_CSV Template.xlsx"}</t>
        </is>
      </c>
    </row>
    <row r="132">
      <c r="A132" s="2" t="inlineStr">
        <is>
          <t>bs_equity__treasury_shares</t>
        </is>
      </c>
      <c r="B132" s="2" t="inlineStr">
        <is>
          <t>Treasury Shares(-)</t>
        </is>
      </c>
      <c r="C132" s="2" t="inlineStr">
        <is>
          <t>bs_equity</t>
        </is>
      </c>
      <c r="D132" s="2" t="inlineStr">
        <is>
          <t>Extract the reported value for 'Treasury Shares(-)' from the stated section. Do not calculate or replace it from other rows, because the revised template does not designate this field as formula-driven.</t>
        </is>
      </c>
      <c r="E132" s="2" t="inlineStr">
        <is>
          <t>Treasury Shares(-)</t>
        </is>
      </c>
      <c r="F132" s="2" t="inlineStr">
        <is>
          <t>Treasury Shares(-)</t>
        </is>
      </c>
      <c r="G132" s="2" t="inlineStr">
        <is>
          <t>^Treasury\s+Shares\([\-–—]?\)$</t>
        </is>
      </c>
      <c r="H132" s="2" t="inlineStr"/>
      <c r="I132" s="2" t="inlineStr">
        <is>
          <t>Amounts or disclosures explicitly reported for Treasury Shares(-) in Balance Sheet / bs_equity.</t>
        </is>
      </c>
      <c r="J132" s="2" t="inlineStr">
        <is>
          <t>Do not substitute another section, period, entity scope, currency or unit; do not double count a parent and its children.</t>
        </is>
      </c>
      <c r="K132" s="2" t="inlineStr"/>
      <c r="L132" s="2" t="inlineStr">
        <is>
          <t>negative_or_contra</t>
        </is>
      </c>
      <c r="M132" s="2" t="inlineStr">
        <is>
          <t>direct_exclusive</t>
        </is>
      </c>
      <c r="N132" s="2" t="n">
        <v>90</v>
      </c>
      <c r="O132" s="2" t="inlineStr">
        <is>
          <t>normalized_exact_then_regex</t>
        </is>
      </c>
      <c r="P132" s="3" t="inlineStr">
        <is>
          <t>extract</t>
        </is>
      </c>
      <c r="Q132" s="2" t="inlineStr">
        <is>
          <t>currency_amount</t>
        </is>
      </c>
      <c r="R132" s="2" t="inlineStr">
        <is>
          <t>period_end</t>
        </is>
      </c>
      <c r="S132" s="2" t="inlineStr">
        <is>
          <t>allowed_with_provenance</t>
        </is>
      </c>
      <c r="T132" s="2" t="b">
        <v>0</v>
      </c>
      <c r="U132" s="2" t="b">
        <v>0</v>
      </c>
      <c r="V132" s="2" t="inlineStr"/>
      <c r="W132" s="2" t="inlineStr"/>
      <c r="X132" s="2" t="inlineStr">
        <is>
          <t>Decompose only from explicit face or note evidence; never fabricate a split.</t>
        </is>
      </c>
      <c r="Y132" s="2" t="inlineStr">
        <is>
          <t>Aggregate only mutually exclusive facts with identical period, scope, currency and unit.</t>
        </is>
      </c>
      <c r="Z132" s="2" t="inlineStr">
        <is>
          <t>Bind only to Balance Sheet / bs_equity.</t>
        </is>
      </c>
      <c r="AA132" s="2" t="inlineStr"/>
      <c r="AB132" s="2" t="b">
        <v>1</v>
      </c>
      <c r="AC132" s="2" t="inlineStr"/>
      <c r="AD132" s="2" t="inlineStr">
        <is>
          <t>Exact field from Balance Sheet!A119; value cell B119.</t>
        </is>
      </c>
      <c r="AE132" s="2" t="inlineStr">
        <is>
          <t>Notes may support direct extraction or decomposition with provenance. Formula outputs must be derived only from template dependencies.</t>
        </is>
      </c>
      <c r="AF132" s="2" t="inlineStr"/>
      <c r="AG132" s="2" t="inlineStr">
        <is>
          <t>[]</t>
        </is>
      </c>
      <c r="AH132" s="2" t="inlineStr">
        <is>
          <t>Treasury Shares(-)</t>
        </is>
      </c>
      <c r="AI132" s="2" t="inlineStr"/>
      <c r="AJ132" s="2" t="inlineStr">
        <is>
          <t>{"template_sheet": "Balance Sheet", "template_row": 119, "template_cell": "B119", "template_value_or_formula": -12, "calculation_type": "reported_input", "dependencies": [], "source_template": "Copy of Output_CSV Template.xlsx"}</t>
        </is>
      </c>
    </row>
    <row r="133">
      <c r="A133" s="2" t="inlineStr">
        <is>
          <t>bs_equity__forex_translation_equity</t>
        </is>
      </c>
      <c r="B133" s="2" t="inlineStr">
        <is>
          <t>Forex Translation Equity</t>
        </is>
      </c>
      <c r="C133" s="2" t="inlineStr">
        <is>
          <t>bs_equity</t>
        </is>
      </c>
      <c r="D133" s="2" t="inlineStr">
        <is>
          <t>Extract the reported value for 'Forex Translation Equity' from the stated section. Do not calculate or replace it from other rows, because the revised template does not designate this field as formula-driven.</t>
        </is>
      </c>
      <c r="E133" s="2" t="inlineStr">
        <is>
          <t>Forex Translation Equity</t>
        </is>
      </c>
      <c r="F133" s="2" t="inlineStr">
        <is>
          <t>Forex Translation Equity</t>
        </is>
      </c>
      <c r="G133" s="2" t="inlineStr">
        <is>
          <t>^Forex\s+Translation\s+Equity$</t>
        </is>
      </c>
      <c r="H133" s="2" t="inlineStr"/>
      <c r="I133" s="2" t="inlineStr">
        <is>
          <t>Amounts or disclosures explicitly reported for Forex Translation Equity in Balance Sheet / bs_equity.</t>
        </is>
      </c>
      <c r="J133" s="2" t="inlineStr">
        <is>
          <t>Do not substitute another section, period, entity scope, currency or unit; do not double count a parent and its children.</t>
        </is>
      </c>
      <c r="K133" s="2" t="inlineStr"/>
      <c r="L133" s="2" t="inlineStr">
        <is>
          <t>as_reported</t>
        </is>
      </c>
      <c r="M133" s="2" t="inlineStr">
        <is>
          <t>direct_exclusive</t>
        </is>
      </c>
      <c r="N133" s="2" t="n">
        <v>90</v>
      </c>
      <c r="O133" s="2" t="inlineStr">
        <is>
          <t>normalized_exact_then_regex</t>
        </is>
      </c>
      <c r="P133" s="3" t="inlineStr">
        <is>
          <t>extract</t>
        </is>
      </c>
      <c r="Q133" s="2" t="inlineStr">
        <is>
          <t>currency_amount</t>
        </is>
      </c>
      <c r="R133" s="2" t="inlineStr">
        <is>
          <t>period_end</t>
        </is>
      </c>
      <c r="S133" s="2" t="inlineStr">
        <is>
          <t>allowed_with_provenance</t>
        </is>
      </c>
      <c r="T133" s="2" t="b">
        <v>0</v>
      </c>
      <c r="U133" s="2" t="b">
        <v>0</v>
      </c>
      <c r="V133" s="2" t="inlineStr"/>
      <c r="W133" s="2" t="inlineStr"/>
      <c r="X133" s="2" t="inlineStr">
        <is>
          <t>Decompose only from explicit face or note evidence; never fabricate a split.</t>
        </is>
      </c>
      <c r="Y133" s="2" t="inlineStr">
        <is>
          <t>Aggregate only mutually exclusive facts with identical period, scope, currency and unit.</t>
        </is>
      </c>
      <c r="Z133" s="2" t="inlineStr">
        <is>
          <t>Bind only to Balance Sheet / bs_equity.</t>
        </is>
      </c>
      <c r="AA133" s="2" t="inlineStr"/>
      <c r="AB133" s="2" t="b">
        <v>1</v>
      </c>
      <c r="AC133" s="2" t="inlineStr"/>
      <c r="AD133" s="2" t="inlineStr">
        <is>
          <t>Exact field from Balance Sheet!A120; value cell B120.</t>
        </is>
      </c>
      <c r="AE133" s="2" t="inlineStr">
        <is>
          <t>Notes may support direct extraction or decomposition with provenance. Formula outputs must be derived only from template dependencies.</t>
        </is>
      </c>
      <c r="AF133" s="2" t="inlineStr"/>
      <c r="AG133" s="2" t="inlineStr">
        <is>
          <t>[]</t>
        </is>
      </c>
      <c r="AH133" s="2" t="inlineStr">
        <is>
          <t>Forex Translation Equity</t>
        </is>
      </c>
      <c r="AI133" s="2" t="inlineStr"/>
      <c r="AJ133" s="2" t="inlineStr">
        <is>
          <t>{"template_sheet": "Balance Sheet", "template_row": 120, "template_cell": "B120", "template_value_or_formula": 29, "calculation_type": "reported_input", "dependencies": [], "source_template": "Copy of Output_CSV Template.xlsx"}</t>
        </is>
      </c>
    </row>
    <row r="134">
      <c r="A134" s="2" t="inlineStr">
        <is>
          <t>bs_equity__subordinated_debt_from_related_parties</t>
        </is>
      </c>
      <c r="B134" s="2" t="inlineStr">
        <is>
          <t>Subordinated Debt from related parties</t>
        </is>
      </c>
      <c r="C134" s="2" t="inlineStr">
        <is>
          <t>bs_equity</t>
        </is>
      </c>
      <c r="D134" s="2" t="inlineStr">
        <is>
          <t>Extract the reported value for 'Subordinated Debt from related parties' from the stated section. Do not calculate or replace it from other rows, because the revised template does not designate this field as formula-driven.</t>
        </is>
      </c>
      <c r="E134" s="2" t="inlineStr">
        <is>
          <t>Subordinated Debt from related parties</t>
        </is>
      </c>
      <c r="F134" s="2" t="inlineStr">
        <is>
          <t>Subordinated Debt from related parties</t>
        </is>
      </c>
      <c r="G134" s="2" t="inlineStr">
        <is>
          <t>^Subordinated\s+Debt\s+from\s+related\s+parties$</t>
        </is>
      </c>
      <c r="H134" s="2" t="inlineStr"/>
      <c r="I134" s="2" t="inlineStr">
        <is>
          <t>Amounts or disclosures explicitly reported for Subordinated Debt from related parties in Balance Sheet / bs_equity.</t>
        </is>
      </c>
      <c r="J134" s="2" t="inlineStr">
        <is>
          <t>Do not substitute another section, period, entity scope, currency or unit; do not double count a parent and its children.</t>
        </is>
      </c>
      <c r="K134" s="2" t="inlineStr"/>
      <c r="L134" s="2" t="inlineStr">
        <is>
          <t>as_reported</t>
        </is>
      </c>
      <c r="M134" s="2" t="inlineStr">
        <is>
          <t>direct_exclusive</t>
        </is>
      </c>
      <c r="N134" s="2" t="n">
        <v>90</v>
      </c>
      <c r="O134" s="2" t="inlineStr">
        <is>
          <t>normalized_exact_then_regex</t>
        </is>
      </c>
      <c r="P134" s="3" t="inlineStr">
        <is>
          <t>extract</t>
        </is>
      </c>
      <c r="Q134" s="2" t="inlineStr">
        <is>
          <t>currency_amount</t>
        </is>
      </c>
      <c r="R134" s="2" t="inlineStr">
        <is>
          <t>period_end</t>
        </is>
      </c>
      <c r="S134" s="2" t="inlineStr">
        <is>
          <t>allowed_with_provenance</t>
        </is>
      </c>
      <c r="T134" s="2" t="b">
        <v>0</v>
      </c>
      <c r="U134" s="2" t="b">
        <v>0</v>
      </c>
      <c r="V134" s="2" t="inlineStr"/>
      <c r="W134" s="2" t="inlineStr"/>
      <c r="X134" s="2" t="inlineStr">
        <is>
          <t>Decompose only from explicit face or note evidence; never fabricate a split.</t>
        </is>
      </c>
      <c r="Y134" s="2" t="inlineStr">
        <is>
          <t>Aggregate only mutually exclusive facts with identical period, scope, currency and unit.</t>
        </is>
      </c>
      <c r="Z134" s="2" t="inlineStr">
        <is>
          <t>Bind only to Balance Sheet / bs_equity.</t>
        </is>
      </c>
      <c r="AA134" s="2" t="inlineStr"/>
      <c r="AB134" s="2" t="b">
        <v>1</v>
      </c>
      <c r="AC134" s="2" t="inlineStr"/>
      <c r="AD134" s="2" t="inlineStr">
        <is>
          <t>Exact field from Balance Sheet!A121; value cell B121.</t>
        </is>
      </c>
      <c r="AE134" s="2" t="inlineStr">
        <is>
          <t>Notes may support direct extraction or decomposition with provenance. Formula outputs must be derived only from template dependencies.</t>
        </is>
      </c>
      <c r="AF134" s="2" t="inlineStr"/>
      <c r="AG134" s="2" t="inlineStr">
        <is>
          <t>[]</t>
        </is>
      </c>
      <c r="AH134" s="2" t="inlineStr">
        <is>
          <t>Subordinated Debt from related parties</t>
        </is>
      </c>
      <c r="AI134" s="2" t="inlineStr"/>
      <c r="AJ134" s="2" t="inlineStr">
        <is>
          <t>{"template_sheet": "Balance Sheet", "template_row": 121, "template_cell": "B121", "template_value_or_formula": 46, "calculation_type": "reported_input", "dependencies": [], "source_template": "Copy of Output_CSV Template.xlsx"}</t>
        </is>
      </c>
    </row>
    <row r="135">
      <c r="A135" s="2" t="inlineStr">
        <is>
          <t>bs_equity__subordinated_debt_equity</t>
        </is>
      </c>
      <c r="B135" s="2" t="inlineStr">
        <is>
          <t>Subordinated Debt Equity</t>
        </is>
      </c>
      <c r="C135" s="2" t="inlineStr">
        <is>
          <t>bs_equity</t>
        </is>
      </c>
      <c r="D135" s="2" t="inlineStr">
        <is>
          <t>Extract the reported value for 'Subordinated Debt Equity' from the stated section. Do not calculate or replace it from other rows, because the revised template does not designate this field as formula-driven.</t>
        </is>
      </c>
      <c r="E135" s="2" t="inlineStr">
        <is>
          <t>Subordinated Debt Equity</t>
        </is>
      </c>
      <c r="F135" s="2" t="inlineStr">
        <is>
          <t>Subordinated Debt Equity</t>
        </is>
      </c>
      <c r="G135" s="2" t="inlineStr">
        <is>
          <t>^Subordinated\s+Debt\s+Equity$</t>
        </is>
      </c>
      <c r="H135" s="2" t="inlineStr"/>
      <c r="I135" s="2" t="inlineStr">
        <is>
          <t>Amounts or disclosures explicitly reported for Subordinated Debt Equity in Balance Sheet / bs_equity.</t>
        </is>
      </c>
      <c r="J135" s="2" t="inlineStr">
        <is>
          <t>Do not substitute another section, period, entity scope, currency or unit; do not double count a parent and its children.</t>
        </is>
      </c>
      <c r="K135" s="2" t="inlineStr"/>
      <c r="L135" s="2" t="inlineStr">
        <is>
          <t>as_reported</t>
        </is>
      </c>
      <c r="M135" s="2" t="inlineStr">
        <is>
          <t>direct_exclusive</t>
        </is>
      </c>
      <c r="N135" s="2" t="n">
        <v>90</v>
      </c>
      <c r="O135" s="2" t="inlineStr">
        <is>
          <t>normalized_exact_then_regex</t>
        </is>
      </c>
      <c r="P135" s="3" t="inlineStr">
        <is>
          <t>extract</t>
        </is>
      </c>
      <c r="Q135" s="2" t="inlineStr">
        <is>
          <t>currency_amount</t>
        </is>
      </c>
      <c r="R135" s="2" t="inlineStr">
        <is>
          <t>period_end</t>
        </is>
      </c>
      <c r="S135" s="2" t="inlineStr">
        <is>
          <t>allowed_with_provenance</t>
        </is>
      </c>
      <c r="T135" s="2" t="b">
        <v>0</v>
      </c>
      <c r="U135" s="2" t="b">
        <v>0</v>
      </c>
      <c r="V135" s="2" t="inlineStr"/>
      <c r="W135" s="2" t="inlineStr"/>
      <c r="X135" s="2" t="inlineStr">
        <is>
          <t>Decompose only from explicit face or note evidence; never fabricate a split.</t>
        </is>
      </c>
      <c r="Y135" s="2" t="inlineStr">
        <is>
          <t>Aggregate only mutually exclusive facts with identical period, scope, currency and unit.</t>
        </is>
      </c>
      <c r="Z135" s="2" t="inlineStr">
        <is>
          <t>Bind only to Balance Sheet / bs_equity.</t>
        </is>
      </c>
      <c r="AA135" s="2" t="inlineStr"/>
      <c r="AB135" s="2" t="b">
        <v>1</v>
      </c>
      <c r="AC135" s="2" t="inlineStr"/>
      <c r="AD135" s="2" t="inlineStr">
        <is>
          <t>Exact field from Balance Sheet!A122; value cell B122.</t>
        </is>
      </c>
      <c r="AE135" s="2" t="inlineStr">
        <is>
          <t>Notes may support direct extraction or decomposition with provenance. Formula outputs must be derived only from template dependencies.</t>
        </is>
      </c>
      <c r="AF135" s="2" t="inlineStr"/>
      <c r="AG135" s="2" t="inlineStr">
        <is>
          <t>[]</t>
        </is>
      </c>
      <c r="AH135" s="2" t="inlineStr">
        <is>
          <t>Subordinated Debt Equity</t>
        </is>
      </c>
      <c r="AI135" s="2" t="inlineStr"/>
      <c r="AJ135" s="2" t="inlineStr">
        <is>
          <t>{"template_sheet": "Balance Sheet", "template_row": 122, "template_cell": "B122", "template_value_or_formula": 20, "calculation_type": "reported_input", "dependencies": [], "source_template": "Copy of Output_CSV Template.xlsx"}</t>
        </is>
      </c>
    </row>
    <row r="136">
      <c r="A136" s="2" t="inlineStr">
        <is>
          <t>bs_equity__other_equity</t>
        </is>
      </c>
      <c r="B136" s="2" t="inlineStr">
        <is>
          <t>Other Equity</t>
        </is>
      </c>
      <c r="C136" s="2" t="inlineStr">
        <is>
          <t>bs_equity</t>
        </is>
      </c>
      <c r="D136" s="2" t="inlineStr">
        <is>
          <t>Extract the reported value for 'Other Equity' from the stated section. Do not calculate or replace it from other rows, because the revised template does not designate this field as formula-driven.</t>
        </is>
      </c>
      <c r="E136" s="2" t="inlineStr">
        <is>
          <t>Other Equity</t>
        </is>
      </c>
      <c r="F136" s="2" t="inlineStr">
        <is>
          <t>Other Equity</t>
        </is>
      </c>
      <c r="G136" s="2" t="inlineStr">
        <is>
          <t>^Other\s+Equity$</t>
        </is>
      </c>
      <c r="H136" s="2" t="inlineStr"/>
      <c r="I136" s="2" t="inlineStr">
        <is>
          <t>Amounts or disclosures explicitly reported for Other Equity in Balance Sheet / bs_equity.</t>
        </is>
      </c>
      <c r="J136" s="2" t="inlineStr">
        <is>
          <t>Do not substitute another section, period, entity scope, currency or unit; do not double count a parent and its children.</t>
        </is>
      </c>
      <c r="K136" s="2" t="inlineStr"/>
      <c r="L136" s="2" t="inlineStr">
        <is>
          <t>as_reported</t>
        </is>
      </c>
      <c r="M136" s="2" t="inlineStr">
        <is>
          <t>direct_exclusive</t>
        </is>
      </c>
      <c r="N136" s="2" t="n">
        <v>90</v>
      </c>
      <c r="O136" s="2" t="inlineStr">
        <is>
          <t>normalized_exact_then_regex</t>
        </is>
      </c>
      <c r="P136" s="3" t="inlineStr">
        <is>
          <t>extract</t>
        </is>
      </c>
      <c r="Q136" s="2" t="inlineStr">
        <is>
          <t>currency_amount</t>
        </is>
      </c>
      <c r="R136" s="2" t="inlineStr">
        <is>
          <t>period_end</t>
        </is>
      </c>
      <c r="S136" s="2" t="inlineStr">
        <is>
          <t>allowed_with_provenance</t>
        </is>
      </c>
      <c r="T136" s="2" t="b">
        <v>0</v>
      </c>
      <c r="U136" s="2" t="b">
        <v>0</v>
      </c>
      <c r="V136" s="2" t="inlineStr"/>
      <c r="W136" s="2" t="inlineStr"/>
      <c r="X136" s="2" t="inlineStr">
        <is>
          <t>Decompose only from explicit face or note evidence; never fabricate a split.</t>
        </is>
      </c>
      <c r="Y136" s="2" t="inlineStr">
        <is>
          <t>Aggregate only mutually exclusive facts with identical period, scope, currency and unit.</t>
        </is>
      </c>
      <c r="Z136" s="2" t="inlineStr">
        <is>
          <t>Bind only to Balance Sheet / bs_equity.</t>
        </is>
      </c>
      <c r="AA136" s="2" t="inlineStr"/>
      <c r="AB136" s="2" t="b">
        <v>1</v>
      </c>
      <c r="AC136" s="2" t="inlineStr"/>
      <c r="AD136" s="2" t="inlineStr">
        <is>
          <t>Exact field from Balance Sheet!A123; value cell B123.</t>
        </is>
      </c>
      <c r="AE136" s="2" t="inlineStr">
        <is>
          <t>Notes may support direct extraction or decomposition with provenance. Formula outputs must be derived only from template dependencies.</t>
        </is>
      </c>
      <c r="AF136" s="2" t="inlineStr">
        <is>
          <t>{"mode": "no_balancing_plug", "negative_result": "review"}</t>
        </is>
      </c>
      <c r="AG136" s="2" t="inlineStr">
        <is>
          <t>[]</t>
        </is>
      </c>
      <c r="AH136" s="2" t="inlineStr">
        <is>
          <t>Other Equity</t>
        </is>
      </c>
      <c r="AI136" s="2" t="inlineStr"/>
      <c r="AJ136" s="2" t="inlineStr">
        <is>
          <t>{"template_sheet": "Balance Sheet", "template_row": 123, "template_cell": "B123", "template_value_or_formula": 37, "calculation_type": "reported_input", "dependencies": [], "source_template": "Copy of Output_CSV Template.xlsx"}</t>
        </is>
      </c>
    </row>
    <row r="137">
      <c r="A137" s="2" t="inlineStr">
        <is>
          <t>bs_equity__policyholders_equity</t>
        </is>
      </c>
      <c r="B137" s="2" t="inlineStr">
        <is>
          <t>Policyholders Equity</t>
        </is>
      </c>
      <c r="C137" s="2" t="inlineStr">
        <is>
          <t>bs_equity</t>
        </is>
      </c>
      <c r="D137" s="2" t="inlineStr">
        <is>
          <t>Extract the reported value for 'Policyholders Equity' from the stated section. Do not calculate or replace it from other rows, because the revised template does not designate this field as formula-driven.</t>
        </is>
      </c>
      <c r="E137" s="2" t="inlineStr">
        <is>
          <t>Policyholders Equity</t>
        </is>
      </c>
      <c r="F137" s="2" t="inlineStr">
        <is>
          <t>Policyholders Equity</t>
        </is>
      </c>
      <c r="G137" s="2" t="inlineStr">
        <is>
          <t>^Policyholders\s+Equity$</t>
        </is>
      </c>
      <c r="H137" s="2" t="inlineStr"/>
      <c r="I137" s="2" t="inlineStr">
        <is>
          <t>Amounts or disclosures explicitly reported for Policyholders Equity in Balance Sheet / bs_equity.</t>
        </is>
      </c>
      <c r="J137" s="2" t="inlineStr">
        <is>
          <t>Do not substitute another section, period, entity scope, currency or unit; do not double count a parent and its children.</t>
        </is>
      </c>
      <c r="K137" s="2" t="inlineStr"/>
      <c r="L137" s="2" t="inlineStr">
        <is>
          <t>as_reported</t>
        </is>
      </c>
      <c r="M137" s="2" t="inlineStr">
        <is>
          <t>direct_exclusive</t>
        </is>
      </c>
      <c r="N137" s="2" t="n">
        <v>90</v>
      </c>
      <c r="O137" s="2" t="inlineStr">
        <is>
          <t>normalized_exact_then_regex</t>
        </is>
      </c>
      <c r="P137" s="3" t="inlineStr">
        <is>
          <t>extract</t>
        </is>
      </c>
      <c r="Q137" s="2" t="inlineStr">
        <is>
          <t>currency_amount</t>
        </is>
      </c>
      <c r="R137" s="2" t="inlineStr">
        <is>
          <t>period_end</t>
        </is>
      </c>
      <c r="S137" s="2" t="inlineStr">
        <is>
          <t>allowed_with_provenance</t>
        </is>
      </c>
      <c r="T137" s="2" t="b">
        <v>0</v>
      </c>
      <c r="U137" s="2" t="b">
        <v>0</v>
      </c>
      <c r="V137" s="2" t="inlineStr"/>
      <c r="W137" s="2" t="inlineStr"/>
      <c r="X137" s="2" t="inlineStr">
        <is>
          <t>Decompose only from explicit face or note evidence; never fabricate a split.</t>
        </is>
      </c>
      <c r="Y137" s="2" t="inlineStr">
        <is>
          <t>Aggregate only mutually exclusive facts with identical period, scope, currency and unit.</t>
        </is>
      </c>
      <c r="Z137" s="2" t="inlineStr">
        <is>
          <t>Bind only to Balance Sheet / bs_equity.</t>
        </is>
      </c>
      <c r="AA137" s="2" t="inlineStr"/>
      <c r="AB137" s="2" t="b">
        <v>1</v>
      </c>
      <c r="AC137" s="2" t="inlineStr"/>
      <c r="AD137" s="2" t="inlineStr">
        <is>
          <t>Exact field from Balance Sheet!A124; value cell B124.</t>
        </is>
      </c>
      <c r="AE137" s="2" t="inlineStr">
        <is>
          <t>Notes may support direct extraction or decomposition with provenance. Formula outputs must be derived only from template dependencies.</t>
        </is>
      </c>
      <c r="AF137" s="2" t="inlineStr"/>
      <c r="AG137" s="2" t="inlineStr">
        <is>
          <t>[]</t>
        </is>
      </c>
      <c r="AH137" s="2" t="inlineStr">
        <is>
          <t>Policyholders Equity</t>
        </is>
      </c>
      <c r="AI137" s="2" t="inlineStr"/>
      <c r="AJ137" s="2" t="inlineStr">
        <is>
          <t>{"template_sheet": "Balance Sheet", "template_row": 124, "template_cell": "B124", "template_value_or_formula": 11, "calculation_type": "reported_input", "dependencies": [], "source_template": "Copy of Output_CSV Template.xlsx"}</t>
        </is>
      </c>
    </row>
    <row r="138">
      <c r="A138" s="2" t="inlineStr">
        <is>
          <t>bs_equity__accum_oth_eqty_rsrv_inc</t>
        </is>
      </c>
      <c r="B138" s="2" t="inlineStr">
        <is>
          <t>Accum Oth Eqty Rsrv Inc</t>
        </is>
      </c>
      <c r="C138" s="2" t="inlineStr">
        <is>
          <t>bs_equity</t>
        </is>
      </c>
      <c r="D138" s="2" t="inlineStr">
        <is>
          <t>Extract the reported value for 'Accum Oth Eqty Rsrv Inc' from the stated section. Do not calculate or replace it from other rows, because the revised template does not designate this field as formula-driven.</t>
        </is>
      </c>
      <c r="E138" s="2" t="inlineStr">
        <is>
          <t>Accum Oth Eqty Rsrv Inc</t>
        </is>
      </c>
      <c r="F138" s="2" t="inlineStr">
        <is>
          <t>Accum Oth Eqty Rsrv Inc</t>
        </is>
      </c>
      <c r="G138" s="2" t="inlineStr">
        <is>
          <t>^Accum\s+Oth\s+Eqty\s+Rsrv\s+Inc$</t>
        </is>
      </c>
      <c r="H138" s="2" t="inlineStr"/>
      <c r="I138" s="2" t="inlineStr">
        <is>
          <t>Amounts or disclosures explicitly reported for Accum Oth Eqty Rsrv Inc in Balance Sheet / bs_equity.</t>
        </is>
      </c>
      <c r="J138" s="2" t="inlineStr">
        <is>
          <t>Do not substitute another section, period, entity scope, currency or unit; do not double count a parent and its children.</t>
        </is>
      </c>
      <c r="K138" s="2" t="inlineStr"/>
      <c r="L138" s="2" t="inlineStr">
        <is>
          <t>as_reported</t>
        </is>
      </c>
      <c r="M138" s="2" t="inlineStr">
        <is>
          <t>direct_exclusive</t>
        </is>
      </c>
      <c r="N138" s="2" t="n">
        <v>90</v>
      </c>
      <c r="O138" s="2" t="inlineStr">
        <is>
          <t>normalized_exact_then_regex</t>
        </is>
      </c>
      <c r="P138" s="3" t="inlineStr">
        <is>
          <t>extract</t>
        </is>
      </c>
      <c r="Q138" s="2" t="inlineStr">
        <is>
          <t>currency_amount</t>
        </is>
      </c>
      <c r="R138" s="2" t="inlineStr">
        <is>
          <t>period_end</t>
        </is>
      </c>
      <c r="S138" s="2" t="inlineStr">
        <is>
          <t>allowed_with_provenance</t>
        </is>
      </c>
      <c r="T138" s="2" t="b">
        <v>0</v>
      </c>
      <c r="U138" s="2" t="b">
        <v>0</v>
      </c>
      <c r="V138" s="2" t="inlineStr"/>
      <c r="W138" s="2" t="inlineStr"/>
      <c r="X138" s="2" t="inlineStr">
        <is>
          <t>Decompose only from explicit face or note evidence; never fabricate a split.</t>
        </is>
      </c>
      <c r="Y138" s="2" t="inlineStr">
        <is>
          <t>Aggregate only mutually exclusive facts with identical period, scope, currency and unit.</t>
        </is>
      </c>
      <c r="Z138" s="2" t="inlineStr">
        <is>
          <t>Bind only to Balance Sheet / bs_equity.</t>
        </is>
      </c>
      <c r="AA138" s="2" t="inlineStr"/>
      <c r="AB138" s="2" t="b">
        <v>1</v>
      </c>
      <c r="AC138" s="2" t="inlineStr"/>
      <c r="AD138" s="2" t="inlineStr">
        <is>
          <t>Exact field from Balance Sheet!A125; value cell B125.</t>
        </is>
      </c>
      <c r="AE138" s="2" t="inlineStr">
        <is>
          <t>Notes may support direct extraction or decomposition with provenance. Formula outputs must be derived only from template dependencies.</t>
        </is>
      </c>
      <c r="AF138" s="2" t="inlineStr"/>
      <c r="AG138" s="2" t="inlineStr">
        <is>
          <t>[]</t>
        </is>
      </c>
      <c r="AH138" s="2" t="inlineStr">
        <is>
          <t>Accum Oth Eqty Rsrv Inc</t>
        </is>
      </c>
      <c r="AI138" s="2" t="inlineStr"/>
      <c r="AJ138" s="2" t="inlineStr">
        <is>
          <t>{"template_sheet": "Balance Sheet", "template_row": 125, "template_cell": "B125", "template_value_or_formula": 28, "calculation_type": "reported_input", "dependencies": [], "source_template": "Copy of Output_CSV Template.xlsx"}</t>
        </is>
      </c>
    </row>
    <row r="139">
      <c r="A139" s="2" t="inlineStr">
        <is>
          <t>bs_equity__minority_interest_equity</t>
        </is>
      </c>
      <c r="B139" s="2" t="inlineStr">
        <is>
          <t>Minority Interest Equity</t>
        </is>
      </c>
      <c r="C139" s="2" t="inlineStr">
        <is>
          <t>bs_equity</t>
        </is>
      </c>
      <c r="D139" s="2" t="inlineStr">
        <is>
          <t>Extract the reported value for 'Minority Interest Equity' from the stated section. Do not calculate or replace it from other rows, because the revised template does not designate this field as formula-driven.</t>
        </is>
      </c>
      <c r="E139" s="2" t="inlineStr">
        <is>
          <t>Minority Interest Equity</t>
        </is>
      </c>
      <c r="F139" s="2" t="inlineStr">
        <is>
          <t>Minority Interest Equity</t>
        </is>
      </c>
      <c r="G139" s="2" t="inlineStr">
        <is>
          <t>^Minority\s+Interest\s+Equity$</t>
        </is>
      </c>
      <c r="H139" s="2" t="inlineStr"/>
      <c r="I139" s="2" t="inlineStr">
        <is>
          <t>Amounts or disclosures explicitly reported for Minority Interest Equity in Balance Sheet / bs_equity.</t>
        </is>
      </c>
      <c r="J139" s="2" t="inlineStr">
        <is>
          <t>Do not substitute another section, period, entity scope, currency or unit; do not double count a parent and its children.</t>
        </is>
      </c>
      <c r="K139" s="2" t="inlineStr"/>
      <c r="L139" s="2" t="inlineStr">
        <is>
          <t>as_reported</t>
        </is>
      </c>
      <c r="M139" s="2" t="inlineStr">
        <is>
          <t>direct_exclusive</t>
        </is>
      </c>
      <c r="N139" s="2" t="n">
        <v>90</v>
      </c>
      <c r="O139" s="2" t="inlineStr">
        <is>
          <t>normalized_exact_then_regex</t>
        </is>
      </c>
      <c r="P139" s="3" t="inlineStr">
        <is>
          <t>extract</t>
        </is>
      </c>
      <c r="Q139" s="2" t="inlineStr">
        <is>
          <t>currency_amount</t>
        </is>
      </c>
      <c r="R139" s="2" t="inlineStr">
        <is>
          <t>period_end</t>
        </is>
      </c>
      <c r="S139" s="2" t="inlineStr">
        <is>
          <t>allowed_with_provenance</t>
        </is>
      </c>
      <c r="T139" s="2" t="b">
        <v>0</v>
      </c>
      <c r="U139" s="2" t="b">
        <v>0</v>
      </c>
      <c r="V139" s="2" t="inlineStr"/>
      <c r="W139" s="2" t="inlineStr"/>
      <c r="X139" s="2" t="inlineStr">
        <is>
          <t>Decompose only from explicit face or note evidence; never fabricate a split.</t>
        </is>
      </c>
      <c r="Y139" s="2" t="inlineStr">
        <is>
          <t>Aggregate only mutually exclusive facts with identical period, scope, currency and unit.</t>
        </is>
      </c>
      <c r="Z139" s="2" t="inlineStr">
        <is>
          <t>Bind only to Balance Sheet / bs_equity.</t>
        </is>
      </c>
      <c r="AA139" s="2" t="inlineStr"/>
      <c r="AB139" s="2" t="b">
        <v>1</v>
      </c>
      <c r="AC139" s="2" t="inlineStr"/>
      <c r="AD139" s="2" t="inlineStr">
        <is>
          <t>Exact field from Balance Sheet!A127; value cell B127.</t>
        </is>
      </c>
      <c r="AE139" s="2" t="inlineStr">
        <is>
          <t>Notes may support direct extraction or decomposition with provenance. Formula outputs must be derived only from template dependencies.</t>
        </is>
      </c>
      <c r="AF139" s="2" t="inlineStr"/>
      <c r="AG139" s="2" t="inlineStr">
        <is>
          <t>[]</t>
        </is>
      </c>
      <c r="AH139" s="2" t="inlineStr">
        <is>
          <t>Minority Interest Equity</t>
        </is>
      </c>
      <c r="AI139" s="2" t="inlineStr"/>
      <c r="AJ139" s="2" t="inlineStr">
        <is>
          <t>{"template_sheet": "Balance Sheet", "template_row": 127, "template_cell": "B127", "template_value_or_formula": 19, "calculation_type": "reported_input", "dependencies": [], "source_template": "Copy of Output_CSV Template.xlsx"}</t>
        </is>
      </c>
    </row>
    <row r="140">
      <c r="A140" s="2" t="inlineStr">
        <is>
          <t>bs_equity__total_equity_and_reserves</t>
        </is>
      </c>
      <c r="B140" s="2" t="inlineStr">
        <is>
          <t>Total Equity &amp; Reserves</t>
        </is>
      </c>
      <c r="C140" s="2" t="inlineStr">
        <is>
          <t>bs_equity</t>
        </is>
      </c>
      <c r="D140" s="2" t="inlineStr">
        <is>
          <t>Calculated target using the exact formula retained in the supplied template: =B126+{bs_equity__minority_interest_equity}</t>
        </is>
      </c>
      <c r="E140" s="2" t="inlineStr">
        <is>
          <t>Total Equity &amp; Reserves</t>
        </is>
      </c>
      <c r="F140" s="2" t="inlineStr">
        <is>
          <t>Total Equity &amp; Reserves</t>
        </is>
      </c>
      <c r="G140" s="2" t="inlineStr">
        <is>
          <t>^Total\s+Equity\s+\&amp;\s+Reserves$</t>
        </is>
      </c>
      <c r="H140" s="2" t="inlineStr"/>
      <c r="I140" s="2" t="inlineStr">
        <is>
          <t>Amounts or disclosures explicitly reported for Total Equity &amp; Reserves in Balance Sheet / bs_equity.</t>
        </is>
      </c>
      <c r="J140" s="2" t="inlineStr">
        <is>
          <t>Do not substitute another section, period, entity scope, currency or unit; do not double count a parent and its children.</t>
        </is>
      </c>
      <c r="K140" s="2" t="inlineStr"/>
      <c r="L140" s="2" t="inlineStr">
        <is>
          <t>as_reported</t>
        </is>
      </c>
      <c r="M140" s="2" t="inlineStr">
        <is>
          <t>derived_total</t>
        </is>
      </c>
      <c r="N140" s="2" t="n">
        <v>100</v>
      </c>
      <c r="O140" s="2" t="inlineStr">
        <is>
          <t>disabled</t>
        </is>
      </c>
      <c r="P140" s="4" t="inlineStr">
        <is>
          <t>derive</t>
        </is>
      </c>
      <c r="Q140" s="2" t="inlineStr">
        <is>
          <t>currency_amount</t>
        </is>
      </c>
      <c r="R140" s="2" t="inlineStr">
        <is>
          <t>period_end</t>
        </is>
      </c>
      <c r="S140" s="2" t="inlineStr">
        <is>
          <t>allowed_with_provenance</t>
        </is>
      </c>
      <c r="T140" s="2" t="b">
        <v>0</v>
      </c>
      <c r="U140" s="2" t="b">
        <v>1</v>
      </c>
      <c r="V140" s="2" t="inlineStr">
        <is>
          <t>bs_equity__minority_interest_equity</t>
        </is>
      </c>
      <c r="W140" s="2">
        <f>B126+{bs_equity__minority_interest_equity}</f>
        <v/>
      </c>
      <c r="X140" s="2" t="inlineStr">
        <is>
          <t>Use only dependencies stated in the formula; never fabricate missing components.</t>
        </is>
      </c>
      <c r="Y140" s="2" t="inlineStr">
        <is>
          <t>Calculate only after every dependency is populated and validated.</t>
        </is>
      </c>
      <c r="Z140" s="2" t="inlineStr">
        <is>
          <t>Bind only to Balance Sheet / bs_equity.</t>
        </is>
      </c>
      <c r="AA140" s="2" t="inlineStr"/>
      <c r="AB140" s="2" t="b">
        <v>0</v>
      </c>
      <c r="AC140" s="2" t="inlineStr">
        <is>
          <t>bs_equity__minority_interest_equity</t>
        </is>
      </c>
      <c r="AD140" s="2" t="inlineStr">
        <is>
          <t>Exact field from Balance Sheet!A128; value cell B128.</t>
        </is>
      </c>
      <c r="AE140" s="2" t="inlineStr">
        <is>
          <t>Notes may support direct extraction or decomposition with provenance. Formula outputs must be derived only from template dependencies.</t>
        </is>
      </c>
      <c r="AF140" s="2" t="inlineStr"/>
      <c r="AG140" s="2" t="inlineStr">
        <is>
          <t>[]</t>
        </is>
      </c>
      <c r="AH140" s="2" t="inlineStr">
        <is>
          <t>Total Equity &amp; Reserves</t>
        </is>
      </c>
      <c r="AI140" s="2" t="inlineStr"/>
      <c r="AJ140" s="2" t="inlineStr">
        <is>
          <t>{"template_sheet": "Balance Sheet", "template_row": 128, "template_cell": "B128", "template_value_or_formula": "=B126+B127", "calculation_type": "formula", "dependencies": ["bs_equity__minority_interest_equity"], "source_template": "Copy of Output_CSV Template.xlsx"}</t>
        </is>
      </c>
    </row>
    <row r="141">
      <c r="A141" s="2" t="inlineStr">
        <is>
          <t>bs_ncl__ltd_bank</t>
        </is>
      </c>
      <c r="B141" s="2" t="inlineStr">
        <is>
          <t>LTD Bank</t>
        </is>
      </c>
      <c r="C141" s="2" t="inlineStr">
        <is>
          <t>bs_ncl</t>
        </is>
      </c>
      <c r="D141" s="2" t="inlineStr">
        <is>
          <t>Extract the reported value for 'LTD Bank' from the stated section. Do not calculate or replace it from other rows, because the revised template does not designate this field as formula-driven.</t>
        </is>
      </c>
      <c r="E141" s="2" t="inlineStr">
        <is>
          <t>LTD Bank</t>
        </is>
      </c>
      <c r="F141" s="2" t="inlineStr">
        <is>
          <t>LTD Bank</t>
        </is>
      </c>
      <c r="G141" s="2" t="inlineStr">
        <is>
          <t>^LTD\s+Bank$</t>
        </is>
      </c>
      <c r="H141" s="2" t="inlineStr"/>
      <c r="I141" s="2" t="inlineStr">
        <is>
          <t>Amounts or disclosures explicitly reported for LTD Bank in Balance Sheet / bs_ncl.</t>
        </is>
      </c>
      <c r="J141" s="2" t="inlineStr">
        <is>
          <t>Do not substitute another section, period, entity scope, currency or unit; do not double count a parent and its children.</t>
        </is>
      </c>
      <c r="K141" s="2" t="inlineStr"/>
      <c r="L141" s="2" t="inlineStr">
        <is>
          <t>as_reported</t>
        </is>
      </c>
      <c r="M141" s="2" t="inlineStr">
        <is>
          <t>direct_exclusive</t>
        </is>
      </c>
      <c r="N141" s="2" t="n">
        <v>90</v>
      </c>
      <c r="O141" s="2" t="inlineStr">
        <is>
          <t>normalized_exact_then_regex</t>
        </is>
      </c>
      <c r="P141" s="3" t="inlineStr">
        <is>
          <t>extract</t>
        </is>
      </c>
      <c r="Q141" s="2" t="inlineStr">
        <is>
          <t>currency_amount</t>
        </is>
      </c>
      <c r="R141" s="2" t="inlineStr">
        <is>
          <t>period_end</t>
        </is>
      </c>
      <c r="S141" s="2" t="inlineStr">
        <is>
          <t>allowed_with_provenance</t>
        </is>
      </c>
      <c r="T141" s="2" t="b">
        <v>0</v>
      </c>
      <c r="U141" s="2" t="b">
        <v>0</v>
      </c>
      <c r="V141" s="2" t="inlineStr"/>
      <c r="W141" s="2" t="inlineStr"/>
      <c r="X141" s="2" t="inlineStr">
        <is>
          <t>Decompose only from explicit face or note evidence; never fabricate a split.</t>
        </is>
      </c>
      <c r="Y141" s="2" t="inlineStr">
        <is>
          <t>Aggregate only mutually exclusive facts with identical period, scope, currency and unit.</t>
        </is>
      </c>
      <c r="Z141" s="2" t="inlineStr">
        <is>
          <t>Bind only to Balance Sheet / bs_ncl.</t>
        </is>
      </c>
      <c r="AA141" s="2" t="inlineStr"/>
      <c r="AB141" s="2" t="b">
        <v>1</v>
      </c>
      <c r="AC141" s="2" t="inlineStr"/>
      <c r="AD141" s="2" t="inlineStr">
        <is>
          <t>Exact field from Balance Sheet!A130; value cell B130.</t>
        </is>
      </c>
      <c r="AE141" s="2" t="inlineStr">
        <is>
          <t>Notes may support direct extraction or decomposition with provenance. Formula outputs must be derived only from template dependencies.</t>
        </is>
      </c>
      <c r="AF141" s="2" t="inlineStr"/>
      <c r="AG141" s="2" t="inlineStr">
        <is>
          <t>[]</t>
        </is>
      </c>
      <c r="AH141" s="2" t="inlineStr">
        <is>
          <t>LTD Bank</t>
        </is>
      </c>
      <c r="AI141" s="2" t="inlineStr"/>
      <c r="AJ141" s="2" t="inlineStr">
        <is>
          <t>{"template_sheet": "Balance Sheet", "template_row": 130, "template_cell": "B130", "template_value_or_formula": 27, "calculation_type": "reported_input", "dependencies": [], "source_template": "Copy of Output_CSV Template.xlsx"}</t>
        </is>
      </c>
    </row>
    <row r="142">
      <c r="A142" s="2" t="inlineStr">
        <is>
          <t>bs_ncl__entrusted_loan_payables_third_parties_ltp</t>
        </is>
      </c>
      <c r="B142" s="2" t="inlineStr">
        <is>
          <t>Entrusted loan payables- third parties(LTP)</t>
        </is>
      </c>
      <c r="C142" s="2" t="inlineStr">
        <is>
          <t>bs_ncl</t>
        </is>
      </c>
      <c r="D142" s="2" t="inlineStr">
        <is>
          <t>Extract the reported value for 'Entrusted loan payables- third parties(LTP)' from the stated section. Do not calculate or replace it from other rows, because the revised template does not designate this field as formula-driven.</t>
        </is>
      </c>
      <c r="E142" s="2" t="inlineStr">
        <is>
          <t>Entrusted loan payables- third parties(LTP)</t>
        </is>
      </c>
      <c r="F142" s="2" t="inlineStr">
        <is>
          <t>Entrusted loan payables- third parties(LTP)</t>
        </is>
      </c>
      <c r="G142" s="2" t="inlineStr">
        <is>
          <t>^Entrusted\s+loan\s+payables[\-–—]?\s+third\s+parties\(LTP\)$</t>
        </is>
      </c>
      <c r="H142" s="2" t="inlineStr"/>
      <c r="I142" s="2" t="inlineStr">
        <is>
          <t>Amounts or disclosures explicitly reported for Entrusted loan payables- third parties(LTP) in Balance Sheet / bs_ncl.</t>
        </is>
      </c>
      <c r="J142" s="2" t="inlineStr">
        <is>
          <t>Do not substitute another section, period, entity scope, currency or unit; do not double count a parent and its children.</t>
        </is>
      </c>
      <c r="K142" s="2" t="inlineStr"/>
      <c r="L142" s="2" t="inlineStr">
        <is>
          <t>as_reported</t>
        </is>
      </c>
      <c r="M142" s="2" t="inlineStr">
        <is>
          <t>direct_exclusive</t>
        </is>
      </c>
      <c r="N142" s="2" t="n">
        <v>90</v>
      </c>
      <c r="O142" s="2" t="inlineStr">
        <is>
          <t>normalized_exact_then_regex</t>
        </is>
      </c>
      <c r="P142" s="3" t="inlineStr">
        <is>
          <t>extract</t>
        </is>
      </c>
      <c r="Q142" s="2" t="inlineStr">
        <is>
          <t>currency_amount</t>
        </is>
      </c>
      <c r="R142" s="2" t="inlineStr">
        <is>
          <t>period_end</t>
        </is>
      </c>
      <c r="S142" s="2" t="inlineStr">
        <is>
          <t>allowed_with_provenance</t>
        </is>
      </c>
      <c r="T142" s="2" t="b">
        <v>0</v>
      </c>
      <c r="U142" s="2" t="b">
        <v>0</v>
      </c>
      <c r="V142" s="2" t="inlineStr"/>
      <c r="W142" s="2" t="inlineStr"/>
      <c r="X142" s="2" t="inlineStr">
        <is>
          <t>Decompose only from explicit face or note evidence; never fabricate a split.</t>
        </is>
      </c>
      <c r="Y142" s="2" t="inlineStr">
        <is>
          <t>Aggregate only mutually exclusive facts with identical period, scope, currency and unit.</t>
        </is>
      </c>
      <c r="Z142" s="2" t="inlineStr">
        <is>
          <t>Bind only to Balance Sheet / bs_ncl.</t>
        </is>
      </c>
      <c r="AA142" s="2" t="inlineStr"/>
      <c r="AB142" s="2" t="b">
        <v>1</v>
      </c>
      <c r="AC142" s="2" t="inlineStr"/>
      <c r="AD142" s="2" t="inlineStr">
        <is>
          <t>Exact field from Balance Sheet!A131; value cell B131.</t>
        </is>
      </c>
      <c r="AE142" s="2" t="inlineStr">
        <is>
          <t>Notes may support direct extraction or decomposition with provenance. Formula outputs must be derived only from template dependencies.</t>
        </is>
      </c>
      <c r="AF142" s="2" t="inlineStr"/>
      <c r="AG142" s="2" t="inlineStr">
        <is>
          <t>[]</t>
        </is>
      </c>
      <c r="AH142" s="2" t="inlineStr">
        <is>
          <t>Entrusted loan payables- third parties(LTP)</t>
        </is>
      </c>
      <c r="AI142" s="2" t="inlineStr"/>
      <c r="AJ142" s="2" t="inlineStr">
        <is>
          <t>{"template_sheet": "Balance Sheet", "template_row": 131, "template_cell": "B131", "template_value_or_formula": 44, "calculation_type": "reported_input", "dependencies": [], "source_template": "Copy of Output_CSV Template.xlsx"}</t>
        </is>
      </c>
    </row>
    <row r="143">
      <c r="A143" s="2" t="inlineStr">
        <is>
          <t>bs_ncl__perpetual_bond</t>
        </is>
      </c>
      <c r="B143" s="2" t="inlineStr">
        <is>
          <t>Perpetual Bond</t>
        </is>
      </c>
      <c r="C143" s="2" t="inlineStr">
        <is>
          <t>bs_ncl</t>
        </is>
      </c>
      <c r="D143" s="2" t="inlineStr">
        <is>
          <t>Extract the reported value for 'Perpetual Bond' from the stated section. Do not calculate or replace it from other rows, because the revised template does not designate this field as formula-driven.</t>
        </is>
      </c>
      <c r="E143" s="2" t="inlineStr">
        <is>
          <t>Perpetual Bond</t>
        </is>
      </c>
      <c r="F143" s="2" t="inlineStr">
        <is>
          <t>Perpetual Bond</t>
        </is>
      </c>
      <c r="G143" s="2" t="inlineStr">
        <is>
          <t>^Perpetual\s+Bond$</t>
        </is>
      </c>
      <c r="H143" s="2" t="inlineStr"/>
      <c r="I143" s="2" t="inlineStr">
        <is>
          <t>Amounts or disclosures explicitly reported for Perpetual Bond in Balance Sheet / bs_ncl.</t>
        </is>
      </c>
      <c r="J143" s="2" t="inlineStr">
        <is>
          <t>Do not substitute another section, period, entity scope, currency or unit; do not double count a parent and its children.</t>
        </is>
      </c>
      <c r="K143" s="2" t="inlineStr"/>
      <c r="L143" s="2" t="inlineStr">
        <is>
          <t>as_reported</t>
        </is>
      </c>
      <c r="M143" s="2" t="inlineStr">
        <is>
          <t>direct_exclusive</t>
        </is>
      </c>
      <c r="N143" s="2" t="n">
        <v>90</v>
      </c>
      <c r="O143" s="2" t="inlineStr">
        <is>
          <t>normalized_exact_then_regex</t>
        </is>
      </c>
      <c r="P143" s="3" t="inlineStr">
        <is>
          <t>extract</t>
        </is>
      </c>
      <c r="Q143" s="2" t="inlineStr">
        <is>
          <t>currency_amount</t>
        </is>
      </c>
      <c r="R143" s="2" t="inlineStr">
        <is>
          <t>period_end</t>
        </is>
      </c>
      <c r="S143" s="2" t="inlineStr">
        <is>
          <t>allowed_with_provenance</t>
        </is>
      </c>
      <c r="T143" s="2" t="b">
        <v>0</v>
      </c>
      <c r="U143" s="2" t="b">
        <v>0</v>
      </c>
      <c r="V143" s="2" t="inlineStr"/>
      <c r="W143" s="2" t="inlineStr"/>
      <c r="X143" s="2" t="inlineStr">
        <is>
          <t>Decompose only from explicit face or note evidence; never fabricate a split.</t>
        </is>
      </c>
      <c r="Y143" s="2" t="inlineStr">
        <is>
          <t>Aggregate only mutually exclusive facts with identical period, scope, currency and unit.</t>
        </is>
      </c>
      <c r="Z143" s="2" t="inlineStr">
        <is>
          <t>Bind only to Balance Sheet / bs_ncl.</t>
        </is>
      </c>
      <c r="AA143" s="2" t="inlineStr"/>
      <c r="AB143" s="2" t="b">
        <v>1</v>
      </c>
      <c r="AC143" s="2" t="inlineStr"/>
      <c r="AD143" s="2" t="inlineStr">
        <is>
          <t>Exact field from Balance Sheet!A132; value cell B132.</t>
        </is>
      </c>
      <c r="AE143" s="2" t="inlineStr">
        <is>
          <t>Notes may support direct extraction or decomposition with provenance. Formula outputs must be derived only from template dependencies.</t>
        </is>
      </c>
      <c r="AF143" s="2" t="inlineStr"/>
      <c r="AG143" s="2" t="inlineStr">
        <is>
          <t>[]</t>
        </is>
      </c>
      <c r="AH143" s="2" t="inlineStr">
        <is>
          <t>Perpetual Bond</t>
        </is>
      </c>
      <c r="AI143" s="2" t="inlineStr"/>
      <c r="AJ143" s="2" t="inlineStr">
        <is>
          <t>{"template_sheet": "Balance Sheet", "template_row": 132, "template_cell": "B132", "template_value_or_formula": 18, "calculation_type": "reported_input", "dependencies": [], "source_template": "Copy of Output_CSV Template.xlsx"}</t>
        </is>
      </c>
    </row>
    <row r="144">
      <c r="A144" s="2" t="inlineStr">
        <is>
          <t>bs_ncl__repo_ltp</t>
        </is>
      </c>
      <c r="B144" s="2" t="inlineStr">
        <is>
          <t>Repo(LTP)</t>
        </is>
      </c>
      <c r="C144" s="2" t="inlineStr">
        <is>
          <t>bs_ncl</t>
        </is>
      </c>
      <c r="D144" s="2" t="inlineStr">
        <is>
          <t>Extract the reported value for 'Repo(LTP)' from the stated section. Do not calculate or replace it from other rows, because the revised template does not designate this field as formula-driven.</t>
        </is>
      </c>
      <c r="E144" s="2" t="inlineStr">
        <is>
          <t>Repo(LTP)</t>
        </is>
      </c>
      <c r="F144" s="2" t="inlineStr">
        <is>
          <t>Repo(LTP)</t>
        </is>
      </c>
      <c r="G144" s="2" t="inlineStr">
        <is>
          <t>^Repo\(LTP\)$</t>
        </is>
      </c>
      <c r="H144" s="2" t="inlineStr"/>
      <c r="I144" s="2" t="inlineStr">
        <is>
          <t>Amounts or disclosures explicitly reported for Repo(LTP) in Balance Sheet / bs_ncl.</t>
        </is>
      </c>
      <c r="J144" s="2" t="inlineStr">
        <is>
          <t>Do not substitute another section, period, entity scope, currency or unit; do not double count a parent and its children.</t>
        </is>
      </c>
      <c r="K144" s="2" t="inlineStr"/>
      <c r="L144" s="2" t="inlineStr">
        <is>
          <t>as_reported</t>
        </is>
      </c>
      <c r="M144" s="2" t="inlineStr">
        <is>
          <t>direct_exclusive</t>
        </is>
      </c>
      <c r="N144" s="2" t="n">
        <v>90</v>
      </c>
      <c r="O144" s="2" t="inlineStr">
        <is>
          <t>normalized_exact_then_regex</t>
        </is>
      </c>
      <c r="P144" s="3" t="inlineStr">
        <is>
          <t>extract</t>
        </is>
      </c>
      <c r="Q144" s="2" t="inlineStr">
        <is>
          <t>currency_amount</t>
        </is>
      </c>
      <c r="R144" s="2" t="inlineStr">
        <is>
          <t>period_end</t>
        </is>
      </c>
      <c r="S144" s="2" t="inlineStr">
        <is>
          <t>allowed_with_provenance</t>
        </is>
      </c>
      <c r="T144" s="2" t="b">
        <v>0</v>
      </c>
      <c r="U144" s="2" t="b">
        <v>0</v>
      </c>
      <c r="V144" s="2" t="inlineStr"/>
      <c r="W144" s="2" t="inlineStr"/>
      <c r="X144" s="2" t="inlineStr">
        <is>
          <t>Decompose only from explicit face or note evidence; never fabricate a split.</t>
        </is>
      </c>
      <c r="Y144" s="2" t="inlineStr">
        <is>
          <t>Aggregate only mutually exclusive facts with identical period, scope, currency and unit.</t>
        </is>
      </c>
      <c r="Z144" s="2" t="inlineStr">
        <is>
          <t>Bind only to Balance Sheet / bs_ncl.</t>
        </is>
      </c>
      <c r="AA144" s="2" t="inlineStr"/>
      <c r="AB144" s="2" t="b">
        <v>1</v>
      </c>
      <c r="AC144" s="2" t="inlineStr"/>
      <c r="AD144" s="2" t="inlineStr">
        <is>
          <t>Exact field from Balance Sheet!A133; value cell B133.</t>
        </is>
      </c>
      <c r="AE144" s="2" t="inlineStr">
        <is>
          <t>Notes may support direct extraction or decomposition with provenance. Formula outputs must be derived only from template dependencies.</t>
        </is>
      </c>
      <c r="AF144" s="2" t="inlineStr"/>
      <c r="AG144" s="2" t="inlineStr">
        <is>
          <t>[]</t>
        </is>
      </c>
      <c r="AH144" s="2" t="inlineStr">
        <is>
          <t>Repo(LTP)</t>
        </is>
      </c>
      <c r="AI144" s="2" t="inlineStr"/>
      <c r="AJ144" s="2" t="inlineStr">
        <is>
          <t>{"template_sheet": "Balance Sheet", "template_row": 133, "template_cell": "B133", "template_value_or_formula": 35, "calculation_type": "reported_input", "dependencies": [], "source_template": "Copy of Output_CSV Template.xlsx"}</t>
        </is>
      </c>
    </row>
    <row r="145">
      <c r="A145" s="2" t="inlineStr">
        <is>
          <t>bs_ncl__ltd_other</t>
        </is>
      </c>
      <c r="B145" s="2" t="inlineStr">
        <is>
          <t>LTD Other</t>
        </is>
      </c>
      <c r="C145" s="2" t="inlineStr">
        <is>
          <t>bs_ncl</t>
        </is>
      </c>
      <c r="D145" s="2" t="inlineStr">
        <is>
          <t>Extract the reported value for 'LTD Other' from the stated section. Do not calculate or replace it from other rows, because the revised template does not designate this field as formula-driven.</t>
        </is>
      </c>
      <c r="E145" s="2" t="inlineStr">
        <is>
          <t>LTD Other</t>
        </is>
      </c>
      <c r="F145" s="2" t="inlineStr">
        <is>
          <t>LTD Other</t>
        </is>
      </c>
      <c r="G145" s="2" t="inlineStr">
        <is>
          <t>^LTD\s+Other$</t>
        </is>
      </c>
      <c r="H145" s="2" t="inlineStr"/>
      <c r="I145" s="2" t="inlineStr">
        <is>
          <t>Amounts or disclosures explicitly reported for LTD Other in Balance Sheet / bs_ncl.</t>
        </is>
      </c>
      <c r="J145" s="2" t="inlineStr">
        <is>
          <t>Do not substitute another section, period, entity scope, currency or unit; do not double count a parent and its children.</t>
        </is>
      </c>
      <c r="K145" s="2" t="inlineStr"/>
      <c r="L145" s="2" t="inlineStr">
        <is>
          <t>as_reported</t>
        </is>
      </c>
      <c r="M145" s="2" t="inlineStr">
        <is>
          <t>direct_exclusive</t>
        </is>
      </c>
      <c r="N145" s="2" t="n">
        <v>90</v>
      </c>
      <c r="O145" s="2" t="inlineStr">
        <is>
          <t>normalized_exact_then_regex</t>
        </is>
      </c>
      <c r="P145" s="3" t="inlineStr">
        <is>
          <t>extract</t>
        </is>
      </c>
      <c r="Q145" s="2" t="inlineStr">
        <is>
          <t>currency_amount</t>
        </is>
      </c>
      <c r="R145" s="2" t="inlineStr">
        <is>
          <t>period_end</t>
        </is>
      </c>
      <c r="S145" s="2" t="inlineStr">
        <is>
          <t>allowed_with_provenance</t>
        </is>
      </c>
      <c r="T145" s="2" t="b">
        <v>0</v>
      </c>
      <c r="U145" s="2" t="b">
        <v>0</v>
      </c>
      <c r="V145" s="2" t="inlineStr"/>
      <c r="W145" s="2" t="inlineStr"/>
      <c r="X145" s="2" t="inlineStr">
        <is>
          <t>Decompose only from explicit face or note evidence; never fabricate a split.</t>
        </is>
      </c>
      <c r="Y145" s="2" t="inlineStr">
        <is>
          <t>Aggregate only mutually exclusive facts with identical period, scope, currency and unit.</t>
        </is>
      </c>
      <c r="Z145" s="2" t="inlineStr">
        <is>
          <t>Bind only to Balance Sheet / bs_ncl.</t>
        </is>
      </c>
      <c r="AA145" s="2" t="inlineStr"/>
      <c r="AB145" s="2" t="b">
        <v>1</v>
      </c>
      <c r="AC145" s="2" t="inlineStr"/>
      <c r="AD145" s="2" t="inlineStr">
        <is>
          <t>Exact field from Balance Sheet!A134; value cell B134.</t>
        </is>
      </c>
      <c r="AE145" s="2" t="inlineStr">
        <is>
          <t>Notes may support direct extraction or decomposition with provenance. Formula outputs must be derived only from template dependencies.</t>
        </is>
      </c>
      <c r="AF145" s="2" t="inlineStr"/>
      <c r="AG145" s="2" t="inlineStr">
        <is>
          <t>[]</t>
        </is>
      </c>
      <c r="AH145" s="2" t="inlineStr">
        <is>
          <t>LTD Other</t>
        </is>
      </c>
      <c r="AI145" s="2" t="inlineStr"/>
      <c r="AJ145" s="2" t="inlineStr">
        <is>
          <t>{"template_sheet": "Balance Sheet", "template_row": 134, "template_cell": "B134", "template_value_or_formula": 52, "calculation_type": "reported_input", "dependencies": [], "source_template": "Copy of Output_CSV Template.xlsx"}</t>
        </is>
      </c>
    </row>
    <row r="146">
      <c r="A146" s="2" t="inlineStr">
        <is>
          <t>bs_ncl__ltd_convertible</t>
        </is>
      </c>
      <c r="B146" s="2" t="inlineStr">
        <is>
          <t>LTD Convertible</t>
        </is>
      </c>
      <c r="C146" s="2" t="inlineStr">
        <is>
          <t>bs_ncl</t>
        </is>
      </c>
      <c r="D146" s="2" t="inlineStr">
        <is>
          <t>Extract the reported value for 'LTD Convertible' from the stated section. Do not calculate or replace it from other rows, because the revised template does not designate this field as formula-driven.</t>
        </is>
      </c>
      <c r="E146" s="2" t="inlineStr">
        <is>
          <t>LTD Convertible</t>
        </is>
      </c>
      <c r="F146" s="2" t="inlineStr">
        <is>
          <t>LTD Convertible</t>
        </is>
      </c>
      <c r="G146" s="2" t="inlineStr">
        <is>
          <t>^LTD\s+Convertible$</t>
        </is>
      </c>
      <c r="H146" s="2" t="inlineStr"/>
      <c r="I146" s="2" t="inlineStr">
        <is>
          <t>Amounts or disclosures explicitly reported for LTD Convertible in Balance Sheet / bs_ncl.</t>
        </is>
      </c>
      <c r="J146" s="2" t="inlineStr">
        <is>
          <t>Do not substitute another section, period, entity scope, currency or unit; do not double count a parent and its children.</t>
        </is>
      </c>
      <c r="K146" s="2" t="inlineStr"/>
      <c r="L146" s="2" t="inlineStr">
        <is>
          <t>as_reported</t>
        </is>
      </c>
      <c r="M146" s="2" t="inlineStr">
        <is>
          <t>direct_exclusive</t>
        </is>
      </c>
      <c r="N146" s="2" t="n">
        <v>90</v>
      </c>
      <c r="O146" s="2" t="inlineStr">
        <is>
          <t>normalized_exact_then_regex</t>
        </is>
      </c>
      <c r="P146" s="3" t="inlineStr">
        <is>
          <t>extract</t>
        </is>
      </c>
      <c r="Q146" s="2" t="inlineStr">
        <is>
          <t>currency_amount</t>
        </is>
      </c>
      <c r="R146" s="2" t="inlineStr">
        <is>
          <t>period_end</t>
        </is>
      </c>
      <c r="S146" s="2" t="inlineStr">
        <is>
          <t>allowed_with_provenance</t>
        </is>
      </c>
      <c r="T146" s="2" t="b">
        <v>0</v>
      </c>
      <c r="U146" s="2" t="b">
        <v>0</v>
      </c>
      <c r="V146" s="2" t="inlineStr"/>
      <c r="W146" s="2" t="inlineStr"/>
      <c r="X146" s="2" t="inlineStr">
        <is>
          <t>Decompose only from explicit face or note evidence; never fabricate a split.</t>
        </is>
      </c>
      <c r="Y146" s="2" t="inlineStr">
        <is>
          <t>Aggregate only mutually exclusive facts with identical period, scope, currency and unit.</t>
        </is>
      </c>
      <c r="Z146" s="2" t="inlineStr">
        <is>
          <t>Bind only to Balance Sheet / bs_ncl.</t>
        </is>
      </c>
      <c r="AA146" s="2" t="inlineStr"/>
      <c r="AB146" s="2" t="b">
        <v>1</v>
      </c>
      <c r="AC146" s="2" t="inlineStr"/>
      <c r="AD146" s="2" t="inlineStr">
        <is>
          <t>Exact field from Balance Sheet!A135; value cell B135.</t>
        </is>
      </c>
      <c r="AE146" s="2" t="inlineStr">
        <is>
          <t>Notes may support direct extraction or decomposition with provenance. Formula outputs must be derived only from template dependencies.</t>
        </is>
      </c>
      <c r="AF146" s="2" t="inlineStr"/>
      <c r="AG146" s="2" t="inlineStr">
        <is>
          <t>[]</t>
        </is>
      </c>
      <c r="AH146" s="2" t="inlineStr">
        <is>
          <t>LTD Convertible</t>
        </is>
      </c>
      <c r="AI146" s="2" t="inlineStr"/>
      <c r="AJ146" s="2" t="inlineStr">
        <is>
          <t>{"template_sheet": "Balance Sheet", "template_row": 135, "template_cell": "B135", "template_value_or_formula": 26, "calculation_type": "reported_input", "dependencies": [], "source_template": "Copy of Output_CSV Template.xlsx"}</t>
        </is>
      </c>
    </row>
    <row r="147">
      <c r="A147" s="2" t="inlineStr">
        <is>
          <t>bs_ncl__ltd_subordinated</t>
        </is>
      </c>
      <c r="B147" s="2" t="inlineStr">
        <is>
          <t>LTD Subordinated</t>
        </is>
      </c>
      <c r="C147" s="2" t="inlineStr">
        <is>
          <t>bs_ncl</t>
        </is>
      </c>
      <c r="D147" s="2" t="inlineStr">
        <is>
          <t>Extract the reported value for 'LTD Subordinated' from the stated section. Do not calculate or replace it from other rows, because the revised template does not designate this field as formula-driven.</t>
        </is>
      </c>
      <c r="E147" s="2" t="inlineStr">
        <is>
          <t>LTD Subordinated</t>
        </is>
      </c>
      <c r="F147" s="2" t="inlineStr">
        <is>
          <t>LTD Subordinated</t>
        </is>
      </c>
      <c r="G147" s="2" t="inlineStr">
        <is>
          <t>^LTD\s+Subordinated$</t>
        </is>
      </c>
      <c r="H147" s="2" t="inlineStr"/>
      <c r="I147" s="2" t="inlineStr">
        <is>
          <t>Amounts or disclosures explicitly reported for LTD Subordinated in Balance Sheet / bs_ncl.</t>
        </is>
      </c>
      <c r="J147" s="2" t="inlineStr">
        <is>
          <t>Do not substitute another section, period, entity scope, currency or unit; do not double count a parent and its children.</t>
        </is>
      </c>
      <c r="K147" s="2" t="inlineStr"/>
      <c r="L147" s="2" t="inlineStr">
        <is>
          <t>as_reported</t>
        </is>
      </c>
      <c r="M147" s="2" t="inlineStr">
        <is>
          <t>direct_exclusive</t>
        </is>
      </c>
      <c r="N147" s="2" t="n">
        <v>90</v>
      </c>
      <c r="O147" s="2" t="inlineStr">
        <is>
          <t>normalized_exact_then_regex</t>
        </is>
      </c>
      <c r="P147" s="3" t="inlineStr">
        <is>
          <t>extract</t>
        </is>
      </c>
      <c r="Q147" s="2" t="inlineStr">
        <is>
          <t>currency_amount</t>
        </is>
      </c>
      <c r="R147" s="2" t="inlineStr">
        <is>
          <t>period_end</t>
        </is>
      </c>
      <c r="S147" s="2" t="inlineStr">
        <is>
          <t>allowed_with_provenance</t>
        </is>
      </c>
      <c r="T147" s="2" t="b">
        <v>0</v>
      </c>
      <c r="U147" s="2" t="b">
        <v>0</v>
      </c>
      <c r="V147" s="2" t="inlineStr"/>
      <c r="W147" s="2" t="inlineStr"/>
      <c r="X147" s="2" t="inlineStr">
        <is>
          <t>Decompose only from explicit face or note evidence; never fabricate a split.</t>
        </is>
      </c>
      <c r="Y147" s="2" t="inlineStr">
        <is>
          <t>Aggregate only mutually exclusive facts with identical period, scope, currency and unit.</t>
        </is>
      </c>
      <c r="Z147" s="2" t="inlineStr">
        <is>
          <t>Bind only to Balance Sheet / bs_ncl.</t>
        </is>
      </c>
      <c r="AA147" s="2" t="inlineStr"/>
      <c r="AB147" s="2" t="b">
        <v>1</v>
      </c>
      <c r="AC147" s="2" t="inlineStr"/>
      <c r="AD147" s="2" t="inlineStr">
        <is>
          <t>Exact field from Balance Sheet!A136; value cell B136.</t>
        </is>
      </c>
      <c r="AE147" s="2" t="inlineStr">
        <is>
          <t>Notes may support direct extraction or decomposition with provenance. Formula outputs must be derived only from template dependencies.</t>
        </is>
      </c>
      <c r="AF147" s="2" t="inlineStr"/>
      <c r="AG147" s="2" t="inlineStr">
        <is>
          <t>[]</t>
        </is>
      </c>
      <c r="AH147" s="2" t="inlineStr">
        <is>
          <t>LTD Subordinated</t>
        </is>
      </c>
      <c r="AI147" s="2" t="inlineStr"/>
      <c r="AJ147" s="2" t="inlineStr">
        <is>
          <t>{"template_sheet": "Balance Sheet", "template_row": 136, "template_cell": "B136", "template_value_or_formula": 43, "calculation_type": "reported_input", "dependencies": [], "source_template": "Copy of Output_CSV Template.xlsx"}</t>
        </is>
      </c>
    </row>
    <row r="148">
      <c r="A148" s="2" t="inlineStr">
        <is>
          <t>bs_ncl__finance_leases_ltp</t>
        </is>
      </c>
      <c r="B148" s="2" t="inlineStr">
        <is>
          <t>Finance Leases(LTP)</t>
        </is>
      </c>
      <c r="C148" s="2" t="inlineStr">
        <is>
          <t>bs_ncl</t>
        </is>
      </c>
      <c r="D148" s="2" t="inlineStr">
        <is>
          <t>Extract the reported value for 'Finance Leases(LTP)' from the stated section. Do not calculate or replace it from other rows, because the revised template does not designate this field as formula-driven.</t>
        </is>
      </c>
      <c r="E148" s="2" t="inlineStr">
        <is>
          <t>Finance Leases(LTP)</t>
        </is>
      </c>
      <c r="F148" s="2" t="inlineStr">
        <is>
          <t>Finance Leases(LTP)</t>
        </is>
      </c>
      <c r="G148" s="2" t="inlineStr">
        <is>
          <t>^Finance\s+Leases\(LTP\)$</t>
        </is>
      </c>
      <c r="H148" s="2" t="inlineStr"/>
      <c r="I148" s="2" t="inlineStr">
        <is>
          <t>Amounts or disclosures explicitly reported for Finance Leases(LTP) in Balance Sheet / bs_ncl.</t>
        </is>
      </c>
      <c r="J148" s="2" t="inlineStr">
        <is>
          <t>Do not substitute another section, period, entity scope, currency or unit; do not double count a parent and its children.</t>
        </is>
      </c>
      <c r="K148" s="2" t="inlineStr"/>
      <c r="L148" s="2" t="inlineStr">
        <is>
          <t>as_reported</t>
        </is>
      </c>
      <c r="M148" s="2" t="inlineStr">
        <is>
          <t>direct_exclusive</t>
        </is>
      </c>
      <c r="N148" s="2" t="n">
        <v>90</v>
      </c>
      <c r="O148" s="2" t="inlineStr">
        <is>
          <t>normalized_exact_then_regex</t>
        </is>
      </c>
      <c r="P148" s="3" t="inlineStr">
        <is>
          <t>extract</t>
        </is>
      </c>
      <c r="Q148" s="2" t="inlineStr">
        <is>
          <t>currency_amount</t>
        </is>
      </c>
      <c r="R148" s="2" t="inlineStr">
        <is>
          <t>period_end</t>
        </is>
      </c>
      <c r="S148" s="2" t="inlineStr">
        <is>
          <t>allowed_with_provenance</t>
        </is>
      </c>
      <c r="T148" s="2" t="b">
        <v>0</v>
      </c>
      <c r="U148" s="2" t="b">
        <v>0</v>
      </c>
      <c r="V148" s="2" t="inlineStr"/>
      <c r="W148" s="2" t="inlineStr"/>
      <c r="X148" s="2" t="inlineStr">
        <is>
          <t>Decompose only from explicit face or note evidence; never fabricate a split.</t>
        </is>
      </c>
      <c r="Y148" s="2" t="inlineStr">
        <is>
          <t>Aggregate only mutually exclusive facts with identical period, scope, currency and unit.</t>
        </is>
      </c>
      <c r="Z148" s="2" t="inlineStr">
        <is>
          <t>Bind only to Balance Sheet / bs_ncl.</t>
        </is>
      </c>
      <c r="AA148" s="2" t="inlineStr"/>
      <c r="AB148" s="2" t="b">
        <v>1</v>
      </c>
      <c r="AC148" s="2" t="inlineStr"/>
      <c r="AD148" s="2" t="inlineStr">
        <is>
          <t>Exact field from Balance Sheet!A137; value cell B137.</t>
        </is>
      </c>
      <c r="AE148" s="2" t="inlineStr">
        <is>
          <t>Notes may support direct extraction or decomposition with provenance. Formula outputs must be derived only from template dependencies.</t>
        </is>
      </c>
      <c r="AF148" s="2" t="inlineStr"/>
      <c r="AG148" s="2" t="inlineStr">
        <is>
          <t>[]</t>
        </is>
      </c>
      <c r="AH148" s="2" t="inlineStr">
        <is>
          <t>Finance Leases(LTP)</t>
        </is>
      </c>
      <c r="AI148" s="2" t="inlineStr"/>
      <c r="AJ148" s="2" t="inlineStr">
        <is>
          <t>{"template_sheet": "Balance Sheet", "template_row": 137, "template_cell": "B137", "template_value_or_formula": 17, "calculation_type": "reported_input", "dependencies": [], "source_template": "Copy of Output_CSV Template.xlsx"}</t>
        </is>
      </c>
    </row>
    <row r="149">
      <c r="A149" s="2" t="inlineStr">
        <is>
          <t>bs_ncl__entrusted_loan_payables_related_parties_ltp</t>
        </is>
      </c>
      <c r="B149" s="2" t="inlineStr">
        <is>
          <t>Entrusted loan payables- related parties(LTP)</t>
        </is>
      </c>
      <c r="C149" s="2" t="inlineStr">
        <is>
          <t>bs_ncl</t>
        </is>
      </c>
      <c r="D149" s="2" t="inlineStr">
        <is>
          <t>Extract the reported value for 'Entrusted loan payables- related parties(LTP)' from the stated section. Do not calculate or replace it from other rows, because the revised template does not designate this field as formula-driven.</t>
        </is>
      </c>
      <c r="E149" s="2" t="inlineStr">
        <is>
          <t>Entrusted loan payables- related parties(LTP)</t>
        </is>
      </c>
      <c r="F149" s="2" t="inlineStr">
        <is>
          <t>Entrusted loan payables- related parties(LTP)</t>
        </is>
      </c>
      <c r="G149" s="2" t="inlineStr">
        <is>
          <t>^Entrusted\s+loan\s+payables[\-–—]?\s+related\s+parties\(LTP\)$</t>
        </is>
      </c>
      <c r="H149" s="2" t="inlineStr"/>
      <c r="I149" s="2" t="inlineStr">
        <is>
          <t>Amounts or disclosures explicitly reported for Entrusted loan payables- related parties(LTP) in Balance Sheet / bs_ncl.</t>
        </is>
      </c>
      <c r="J149" s="2" t="inlineStr">
        <is>
          <t>Do not substitute another section, period, entity scope, currency or unit; do not double count a parent and its children.</t>
        </is>
      </c>
      <c r="K149" s="2" t="inlineStr"/>
      <c r="L149" s="2" t="inlineStr">
        <is>
          <t>as_reported</t>
        </is>
      </c>
      <c r="M149" s="2" t="inlineStr">
        <is>
          <t>direct_exclusive</t>
        </is>
      </c>
      <c r="N149" s="2" t="n">
        <v>90</v>
      </c>
      <c r="O149" s="2" t="inlineStr">
        <is>
          <t>normalized_exact_then_regex</t>
        </is>
      </c>
      <c r="P149" s="3" t="inlineStr">
        <is>
          <t>extract</t>
        </is>
      </c>
      <c r="Q149" s="2" t="inlineStr">
        <is>
          <t>currency_amount</t>
        </is>
      </c>
      <c r="R149" s="2" t="inlineStr">
        <is>
          <t>period_end</t>
        </is>
      </c>
      <c r="S149" s="2" t="inlineStr">
        <is>
          <t>allowed_with_provenance</t>
        </is>
      </c>
      <c r="T149" s="2" t="b">
        <v>0</v>
      </c>
      <c r="U149" s="2" t="b">
        <v>0</v>
      </c>
      <c r="V149" s="2" t="inlineStr"/>
      <c r="W149" s="2" t="inlineStr"/>
      <c r="X149" s="2" t="inlineStr">
        <is>
          <t>Decompose only from explicit face or note evidence; never fabricate a split.</t>
        </is>
      </c>
      <c r="Y149" s="2" t="inlineStr">
        <is>
          <t>Aggregate only mutually exclusive facts with identical period, scope, currency and unit.</t>
        </is>
      </c>
      <c r="Z149" s="2" t="inlineStr">
        <is>
          <t>Bind only to Balance Sheet / bs_ncl.</t>
        </is>
      </c>
      <c r="AA149" s="2" t="inlineStr"/>
      <c r="AB149" s="2" t="b">
        <v>1</v>
      </c>
      <c r="AC149" s="2" t="inlineStr"/>
      <c r="AD149" s="2" t="inlineStr">
        <is>
          <t>Exact field from Balance Sheet!A138; value cell B138.</t>
        </is>
      </c>
      <c r="AE149" s="2" t="inlineStr">
        <is>
          <t>Notes may support direct extraction or decomposition with provenance. Formula outputs must be derived only from template dependencies.</t>
        </is>
      </c>
      <c r="AF149" s="2" t="inlineStr"/>
      <c r="AG149" s="2" t="inlineStr">
        <is>
          <t>[]</t>
        </is>
      </c>
      <c r="AH149" s="2" t="inlineStr">
        <is>
          <t>Entrusted loan payables- related parties(LTP)</t>
        </is>
      </c>
      <c r="AI149" s="2" t="inlineStr"/>
      <c r="AJ149" s="2" t="inlineStr">
        <is>
          <t>{"template_sheet": "Balance Sheet", "template_row": 138, "template_cell": "B138", "template_value_or_formula": 34, "calculation_type": "reported_input", "dependencies": [], "source_template": "Copy of Output_CSV Template.xlsx"}</t>
        </is>
      </c>
    </row>
    <row r="150">
      <c r="A150" s="2" t="inlineStr">
        <is>
          <t>bs_ncl__due_to_directors_ltp</t>
        </is>
      </c>
      <c r="B150" s="2" t="inlineStr">
        <is>
          <t>Due to directors(LTP)</t>
        </is>
      </c>
      <c r="C150" s="2" t="inlineStr">
        <is>
          <t>bs_ncl</t>
        </is>
      </c>
      <c r="D150" s="2" t="inlineStr">
        <is>
          <t>Extract the reported value for 'Due to directors(LTP)' from the stated section. Do not calculate or replace it from other rows, because the revised template does not designate this field as formula-driven.</t>
        </is>
      </c>
      <c r="E150" s="2" t="inlineStr">
        <is>
          <t>Due to directors(LTP)</t>
        </is>
      </c>
      <c r="F150" s="2" t="inlineStr">
        <is>
          <t>Due to directors(LTP)</t>
        </is>
      </c>
      <c r="G150" s="2" t="inlineStr">
        <is>
          <t>^Due\s+to\s+directors\(LTP\)$</t>
        </is>
      </c>
      <c r="H150" s="2" t="inlineStr"/>
      <c r="I150" s="2" t="inlineStr">
        <is>
          <t>Amounts or disclosures explicitly reported for Due to directors(LTP) in Balance Sheet / bs_ncl.</t>
        </is>
      </c>
      <c r="J150" s="2" t="inlineStr">
        <is>
          <t>Do not substitute another section, period, entity scope, currency or unit; do not double count a parent and its children.</t>
        </is>
      </c>
      <c r="K150" s="2" t="inlineStr"/>
      <c r="L150" s="2" t="inlineStr">
        <is>
          <t>as_reported</t>
        </is>
      </c>
      <c r="M150" s="2" t="inlineStr">
        <is>
          <t>direct_exclusive</t>
        </is>
      </c>
      <c r="N150" s="2" t="n">
        <v>90</v>
      </c>
      <c r="O150" s="2" t="inlineStr">
        <is>
          <t>normalized_exact_then_regex</t>
        </is>
      </c>
      <c r="P150" s="3" t="inlineStr">
        <is>
          <t>extract</t>
        </is>
      </c>
      <c r="Q150" s="2" t="inlineStr">
        <is>
          <t>currency_amount</t>
        </is>
      </c>
      <c r="R150" s="2" t="inlineStr">
        <is>
          <t>period_end</t>
        </is>
      </c>
      <c r="S150" s="2" t="inlineStr">
        <is>
          <t>allowed_with_provenance</t>
        </is>
      </c>
      <c r="T150" s="2" t="b">
        <v>0</v>
      </c>
      <c r="U150" s="2" t="b">
        <v>0</v>
      </c>
      <c r="V150" s="2" t="inlineStr"/>
      <c r="W150" s="2" t="inlineStr"/>
      <c r="X150" s="2" t="inlineStr">
        <is>
          <t>Decompose only from explicit face or note evidence; never fabricate a split.</t>
        </is>
      </c>
      <c r="Y150" s="2" t="inlineStr">
        <is>
          <t>Aggregate only mutually exclusive facts with identical period, scope, currency and unit.</t>
        </is>
      </c>
      <c r="Z150" s="2" t="inlineStr">
        <is>
          <t>Bind only to Balance Sheet / bs_ncl.</t>
        </is>
      </c>
      <c r="AA150" s="2" t="inlineStr"/>
      <c r="AB150" s="2" t="b">
        <v>1</v>
      </c>
      <c r="AC150" s="2" t="inlineStr"/>
      <c r="AD150" s="2" t="inlineStr">
        <is>
          <t>Exact field from Balance Sheet!A139; value cell B139.</t>
        </is>
      </c>
      <c r="AE150" s="2" t="inlineStr">
        <is>
          <t>Notes may support direct extraction or decomposition with provenance. Formula outputs must be derived only from template dependencies.</t>
        </is>
      </c>
      <c r="AF150" s="2" t="inlineStr"/>
      <c r="AG150" s="2" t="inlineStr">
        <is>
          <t>[]</t>
        </is>
      </c>
      <c r="AH150" s="2" t="inlineStr">
        <is>
          <t>Due to directors(LTP)</t>
        </is>
      </c>
      <c r="AI150" s="2" t="inlineStr"/>
      <c r="AJ150" s="2" t="inlineStr">
        <is>
          <t>{"template_sheet": "Balance Sheet", "template_row": 139, "template_cell": "B139", "template_value_or_formula": 51, "calculation_type": "reported_input", "dependencies": [], "source_template": "Copy of Output_CSV Template.xlsx"}</t>
        </is>
      </c>
    </row>
    <row r="151">
      <c r="A151" s="2" t="inlineStr">
        <is>
          <t>bs_ncl__due_to_subsidiaries_ltp</t>
        </is>
      </c>
      <c r="B151" s="2" t="inlineStr">
        <is>
          <t>Due to subsidiaries(LTP)</t>
        </is>
      </c>
      <c r="C151" s="2" t="inlineStr">
        <is>
          <t>bs_ncl</t>
        </is>
      </c>
      <c r="D151" s="2" t="inlineStr">
        <is>
          <t>Extract the reported value for 'Due to subsidiaries(LTP)' from the stated section. Do not calculate or replace it from other rows, because the revised template does not designate this field as formula-driven.</t>
        </is>
      </c>
      <c r="E151" s="2" t="inlineStr">
        <is>
          <t>Due to subsidiaries(LTP)</t>
        </is>
      </c>
      <c r="F151" s="2" t="inlineStr">
        <is>
          <t>Due to subsidiaries(LTP)</t>
        </is>
      </c>
      <c r="G151" s="2" t="inlineStr">
        <is>
          <t>^Due\s+to\s+subsidiaries\(LTP\)$</t>
        </is>
      </c>
      <c r="H151" s="2" t="inlineStr"/>
      <c r="I151" s="2" t="inlineStr">
        <is>
          <t>Amounts or disclosures explicitly reported for Due to subsidiaries(LTP) in Balance Sheet / bs_ncl.</t>
        </is>
      </c>
      <c r="J151" s="2" t="inlineStr">
        <is>
          <t>Do not substitute another section, period, entity scope, currency or unit; do not double count a parent and its children.</t>
        </is>
      </c>
      <c r="K151" s="2" t="inlineStr"/>
      <c r="L151" s="2" t="inlineStr">
        <is>
          <t>as_reported</t>
        </is>
      </c>
      <c r="M151" s="2" t="inlineStr">
        <is>
          <t>direct_exclusive</t>
        </is>
      </c>
      <c r="N151" s="2" t="n">
        <v>90</v>
      </c>
      <c r="O151" s="2" t="inlineStr">
        <is>
          <t>normalized_exact_then_regex</t>
        </is>
      </c>
      <c r="P151" s="3" t="inlineStr">
        <is>
          <t>extract</t>
        </is>
      </c>
      <c r="Q151" s="2" t="inlineStr">
        <is>
          <t>currency_amount</t>
        </is>
      </c>
      <c r="R151" s="2" t="inlineStr">
        <is>
          <t>period_end</t>
        </is>
      </c>
      <c r="S151" s="2" t="inlineStr">
        <is>
          <t>allowed_with_provenance</t>
        </is>
      </c>
      <c r="T151" s="2" t="b">
        <v>0</v>
      </c>
      <c r="U151" s="2" t="b">
        <v>0</v>
      </c>
      <c r="V151" s="2" t="inlineStr"/>
      <c r="W151" s="2" t="inlineStr"/>
      <c r="X151" s="2" t="inlineStr">
        <is>
          <t>Decompose only from explicit face or note evidence; never fabricate a split.</t>
        </is>
      </c>
      <c r="Y151" s="2" t="inlineStr">
        <is>
          <t>Aggregate only mutually exclusive facts with identical period, scope, currency and unit.</t>
        </is>
      </c>
      <c r="Z151" s="2" t="inlineStr">
        <is>
          <t>Bind only to Balance Sheet / bs_ncl.</t>
        </is>
      </c>
      <c r="AA151" s="2" t="inlineStr"/>
      <c r="AB151" s="2" t="b">
        <v>1</v>
      </c>
      <c r="AC151" s="2" t="inlineStr"/>
      <c r="AD151" s="2" t="inlineStr">
        <is>
          <t>Exact field from Balance Sheet!A140; value cell B140.</t>
        </is>
      </c>
      <c r="AE151" s="2" t="inlineStr">
        <is>
          <t>Notes may support direct extraction or decomposition with provenance. Formula outputs must be derived only from template dependencies.</t>
        </is>
      </c>
      <c r="AF151" s="2" t="inlineStr"/>
      <c r="AG151" s="2" t="inlineStr">
        <is>
          <t>[]</t>
        </is>
      </c>
      <c r="AH151" s="2" t="inlineStr">
        <is>
          <t>Due to subsidiaries(LTP)</t>
        </is>
      </c>
      <c r="AI151" s="2" t="inlineStr"/>
      <c r="AJ151" s="2" t="inlineStr">
        <is>
          <t>{"template_sheet": "Balance Sheet", "template_row": 140, "template_cell": "B140", "template_value_or_formula": 25, "calculation_type": "reported_input", "dependencies": [], "source_template": "Copy of Output_CSV Template.xlsx"}</t>
        </is>
      </c>
    </row>
    <row r="152">
      <c r="A152" s="2" t="inlineStr">
        <is>
          <t>bs_ncl__due_to_related_parties_ltp</t>
        </is>
      </c>
      <c r="B152" s="2" t="inlineStr">
        <is>
          <t>Due to Related Parties(LTP)</t>
        </is>
      </c>
      <c r="C152" s="2" t="inlineStr">
        <is>
          <t>bs_ncl</t>
        </is>
      </c>
      <c r="D152" s="2" t="inlineStr">
        <is>
          <t>Extract the reported value for 'Due to Related Parties(LTP)' from the stated section. Do not calculate or replace it from other rows, because the revised template does not designate this field as formula-driven.</t>
        </is>
      </c>
      <c r="E152" s="2" t="inlineStr">
        <is>
          <t>Due to Related Parties(LTP)</t>
        </is>
      </c>
      <c r="F152" s="2" t="inlineStr">
        <is>
          <t>Due to Related Parties(LTP)</t>
        </is>
      </c>
      <c r="G152" s="2" t="inlineStr">
        <is>
          <t>^Due\s+to\s+Related\s+Parties\(LTP\)$</t>
        </is>
      </c>
      <c r="H152" s="2" t="inlineStr"/>
      <c r="I152" s="2" t="inlineStr">
        <is>
          <t>Amounts or disclosures explicitly reported for Due to Related Parties(LTP) in Balance Sheet / bs_ncl.</t>
        </is>
      </c>
      <c r="J152" s="2" t="inlineStr">
        <is>
          <t>Do not substitute another section, period, entity scope, currency or unit; do not double count a parent and its children.</t>
        </is>
      </c>
      <c r="K152" s="2" t="inlineStr"/>
      <c r="L152" s="2" t="inlineStr">
        <is>
          <t>as_reported</t>
        </is>
      </c>
      <c r="M152" s="2" t="inlineStr">
        <is>
          <t>direct_exclusive</t>
        </is>
      </c>
      <c r="N152" s="2" t="n">
        <v>90</v>
      </c>
      <c r="O152" s="2" t="inlineStr">
        <is>
          <t>normalized_exact_then_regex</t>
        </is>
      </c>
      <c r="P152" s="3" t="inlineStr">
        <is>
          <t>extract</t>
        </is>
      </c>
      <c r="Q152" s="2" t="inlineStr">
        <is>
          <t>currency_amount</t>
        </is>
      </c>
      <c r="R152" s="2" t="inlineStr">
        <is>
          <t>period_end</t>
        </is>
      </c>
      <c r="S152" s="2" t="inlineStr">
        <is>
          <t>allowed_with_provenance</t>
        </is>
      </c>
      <c r="T152" s="2" t="b">
        <v>0</v>
      </c>
      <c r="U152" s="2" t="b">
        <v>0</v>
      </c>
      <c r="V152" s="2" t="inlineStr"/>
      <c r="W152" s="2" t="inlineStr"/>
      <c r="X152" s="2" t="inlineStr">
        <is>
          <t>Decompose only from explicit face or note evidence; never fabricate a split.</t>
        </is>
      </c>
      <c r="Y152" s="2" t="inlineStr">
        <is>
          <t>Aggregate only mutually exclusive facts with identical period, scope, currency and unit.</t>
        </is>
      </c>
      <c r="Z152" s="2" t="inlineStr">
        <is>
          <t>Bind only to Balance Sheet / bs_ncl.</t>
        </is>
      </c>
      <c r="AA152" s="2" t="inlineStr"/>
      <c r="AB152" s="2" t="b">
        <v>1</v>
      </c>
      <c r="AC152" s="2" t="inlineStr"/>
      <c r="AD152" s="2" t="inlineStr">
        <is>
          <t>Exact field from Balance Sheet!A141; value cell B141.</t>
        </is>
      </c>
      <c r="AE152" s="2" t="inlineStr">
        <is>
          <t>Notes may support direct extraction or decomposition with provenance. Formula outputs must be derived only from template dependencies.</t>
        </is>
      </c>
      <c r="AF152" s="2" t="inlineStr"/>
      <c r="AG152" s="2" t="inlineStr">
        <is>
          <t>[]</t>
        </is>
      </c>
      <c r="AH152" s="2" t="inlineStr">
        <is>
          <t>Due to Related Parties(LTP)</t>
        </is>
      </c>
      <c r="AI152" s="2" t="inlineStr"/>
      <c r="AJ152" s="2" t="inlineStr">
        <is>
          <t>{"template_sheet": "Balance Sheet", "template_row": 141, "template_cell": "B141", "template_value_or_formula": 42, "calculation_type": "reported_input", "dependencies": [], "source_template": "Copy of Output_CSV Template.xlsx"}</t>
        </is>
      </c>
    </row>
    <row r="153">
      <c r="A153" s="2" t="inlineStr">
        <is>
          <t>bs_ncl__entrusted_loan_payables_shareholders_ltp</t>
        </is>
      </c>
      <c r="B153" s="2" t="inlineStr">
        <is>
          <t>Entrusted loan payables- shareholders(LTP)</t>
        </is>
      </c>
      <c r="C153" s="2" t="inlineStr">
        <is>
          <t>bs_ncl</t>
        </is>
      </c>
      <c r="D153" s="2" t="inlineStr">
        <is>
          <t>Extract the reported value for 'Entrusted loan payables- shareholders(LTP)' from the stated section. Do not calculate or replace it from other rows, because the revised template does not designate this field as formula-driven.</t>
        </is>
      </c>
      <c r="E153" s="2" t="inlineStr">
        <is>
          <t>Entrusted loan payables- shareholders(LTP)</t>
        </is>
      </c>
      <c r="F153" s="2" t="inlineStr">
        <is>
          <t>Entrusted loan payables- shareholders(LTP)</t>
        </is>
      </c>
      <c r="G153" s="2" t="inlineStr">
        <is>
          <t>^Entrusted\s+loan\s+payables[\-–—]?\s+shareholders\(LTP\)$</t>
        </is>
      </c>
      <c r="H153" s="2" t="inlineStr"/>
      <c r="I153" s="2" t="inlineStr">
        <is>
          <t>Amounts or disclosures explicitly reported for Entrusted loan payables- shareholders(LTP) in Balance Sheet / bs_ncl.</t>
        </is>
      </c>
      <c r="J153" s="2" t="inlineStr">
        <is>
          <t>Do not substitute another section, period, entity scope, currency or unit; do not double count a parent and its children.</t>
        </is>
      </c>
      <c r="K153" s="2" t="inlineStr"/>
      <c r="L153" s="2" t="inlineStr">
        <is>
          <t>as_reported</t>
        </is>
      </c>
      <c r="M153" s="2" t="inlineStr">
        <is>
          <t>direct_exclusive</t>
        </is>
      </c>
      <c r="N153" s="2" t="n">
        <v>90</v>
      </c>
      <c r="O153" s="2" t="inlineStr">
        <is>
          <t>normalized_exact_then_regex</t>
        </is>
      </c>
      <c r="P153" s="3" t="inlineStr">
        <is>
          <t>extract</t>
        </is>
      </c>
      <c r="Q153" s="2" t="inlineStr">
        <is>
          <t>currency_amount</t>
        </is>
      </c>
      <c r="R153" s="2" t="inlineStr">
        <is>
          <t>period_end</t>
        </is>
      </c>
      <c r="S153" s="2" t="inlineStr">
        <is>
          <t>allowed_with_provenance</t>
        </is>
      </c>
      <c r="T153" s="2" t="b">
        <v>0</v>
      </c>
      <c r="U153" s="2" t="b">
        <v>0</v>
      </c>
      <c r="V153" s="2" t="inlineStr"/>
      <c r="W153" s="2" t="inlineStr"/>
      <c r="X153" s="2" t="inlineStr">
        <is>
          <t>Decompose only from explicit face or note evidence; never fabricate a split.</t>
        </is>
      </c>
      <c r="Y153" s="2" t="inlineStr">
        <is>
          <t>Aggregate only mutually exclusive facts with identical period, scope, currency and unit.</t>
        </is>
      </c>
      <c r="Z153" s="2" t="inlineStr">
        <is>
          <t>Bind only to Balance Sheet / bs_ncl.</t>
        </is>
      </c>
      <c r="AA153" s="2" t="inlineStr"/>
      <c r="AB153" s="2" t="b">
        <v>1</v>
      </c>
      <c r="AC153" s="2" t="inlineStr"/>
      <c r="AD153" s="2" t="inlineStr">
        <is>
          <t>Exact field from Balance Sheet!A142; value cell B142.</t>
        </is>
      </c>
      <c r="AE153" s="2" t="inlineStr">
        <is>
          <t>Notes may support direct extraction or decomposition with provenance. Formula outputs must be derived only from template dependencies.</t>
        </is>
      </c>
      <c r="AF153" s="2" t="inlineStr"/>
      <c r="AG153" s="2" t="inlineStr">
        <is>
          <t>[]</t>
        </is>
      </c>
      <c r="AH153" s="2" t="inlineStr">
        <is>
          <t>Entrusted loan payables- shareholders(LTP)</t>
        </is>
      </c>
      <c r="AI153" s="2" t="inlineStr"/>
      <c r="AJ153" s="2" t="inlineStr">
        <is>
          <t>{"template_sheet": "Balance Sheet", "template_row": 142, "template_cell": "B142", "template_value_or_formula": 16, "calculation_type": "reported_input", "dependencies": [], "source_template": "Copy of Output_CSV Template.xlsx"}</t>
        </is>
      </c>
    </row>
    <row r="154">
      <c r="A154" s="2" t="inlineStr">
        <is>
          <t>bs_ncl__due_to_mi_ltp</t>
        </is>
      </c>
      <c r="B154" s="2" t="inlineStr">
        <is>
          <t>Due to MI(LTP)</t>
        </is>
      </c>
      <c r="C154" s="2" t="inlineStr">
        <is>
          <t>bs_ncl</t>
        </is>
      </c>
      <c r="D154" s="2" t="inlineStr">
        <is>
          <t>Extract the reported value for 'Due to MI(LTP)' from the stated section. Do not calculate or replace it from other rows, because the revised template does not designate this field as formula-driven.</t>
        </is>
      </c>
      <c r="E154" s="2" t="inlineStr">
        <is>
          <t>Due to MI(LTP)</t>
        </is>
      </c>
      <c r="F154" s="2" t="inlineStr">
        <is>
          <t>Due to MI(LTP)</t>
        </is>
      </c>
      <c r="G154" s="2" t="inlineStr">
        <is>
          <t>^Due\s+to\s+MI\(LTP\)$</t>
        </is>
      </c>
      <c r="H154" s="2" t="inlineStr"/>
      <c r="I154" s="2" t="inlineStr">
        <is>
          <t>Amounts or disclosures explicitly reported for Due to MI(LTP) in Balance Sheet / bs_ncl.</t>
        </is>
      </c>
      <c r="J154" s="2" t="inlineStr">
        <is>
          <t>Do not substitute another section, period, entity scope, currency or unit; do not double count a parent and its children.</t>
        </is>
      </c>
      <c r="K154" s="2" t="inlineStr"/>
      <c r="L154" s="2" t="inlineStr">
        <is>
          <t>as_reported</t>
        </is>
      </c>
      <c r="M154" s="2" t="inlineStr">
        <is>
          <t>direct_exclusive</t>
        </is>
      </c>
      <c r="N154" s="2" t="n">
        <v>90</v>
      </c>
      <c r="O154" s="2" t="inlineStr">
        <is>
          <t>normalized_exact_then_regex</t>
        </is>
      </c>
      <c r="P154" s="3" t="inlineStr">
        <is>
          <t>extract</t>
        </is>
      </c>
      <c r="Q154" s="2" t="inlineStr">
        <is>
          <t>currency_amount</t>
        </is>
      </c>
      <c r="R154" s="2" t="inlineStr">
        <is>
          <t>period_end</t>
        </is>
      </c>
      <c r="S154" s="2" t="inlineStr">
        <is>
          <t>allowed_with_provenance</t>
        </is>
      </c>
      <c r="T154" s="2" t="b">
        <v>0</v>
      </c>
      <c r="U154" s="2" t="b">
        <v>0</v>
      </c>
      <c r="V154" s="2" t="inlineStr"/>
      <c r="W154" s="2" t="inlineStr"/>
      <c r="X154" s="2" t="inlineStr">
        <is>
          <t>Decompose only from explicit face or note evidence; never fabricate a split.</t>
        </is>
      </c>
      <c r="Y154" s="2" t="inlineStr">
        <is>
          <t>Aggregate only mutually exclusive facts with identical period, scope, currency and unit.</t>
        </is>
      </c>
      <c r="Z154" s="2" t="inlineStr">
        <is>
          <t>Bind only to Balance Sheet / bs_ncl.</t>
        </is>
      </c>
      <c r="AA154" s="2" t="inlineStr"/>
      <c r="AB154" s="2" t="b">
        <v>1</v>
      </c>
      <c r="AC154" s="2" t="inlineStr"/>
      <c r="AD154" s="2" t="inlineStr">
        <is>
          <t>Exact field from Balance Sheet!A143; value cell B143.</t>
        </is>
      </c>
      <c r="AE154" s="2" t="inlineStr">
        <is>
          <t>Notes may support direct extraction or decomposition with provenance. Formula outputs must be derived only from template dependencies.</t>
        </is>
      </c>
      <c r="AF154" s="2" t="inlineStr"/>
      <c r="AG154" s="2" t="inlineStr">
        <is>
          <t>[]</t>
        </is>
      </c>
      <c r="AH154" s="2" t="inlineStr">
        <is>
          <t>Due to MI(LTP)</t>
        </is>
      </c>
      <c r="AI154" s="2" t="inlineStr"/>
      <c r="AJ154" s="2" t="inlineStr">
        <is>
          <t>{"template_sheet": "Balance Sheet", "template_row": 143, "template_cell": "B143", "template_value_or_formula": 33, "calculation_type": "reported_input", "dependencies": [], "source_template": "Copy of Output_CSV Template.xlsx"}</t>
        </is>
      </c>
    </row>
    <row r="155">
      <c r="A155" s="2" t="inlineStr">
        <is>
          <t>bs_ncl__due_to_sholder_ltp</t>
        </is>
      </c>
      <c r="B155" s="2" t="inlineStr">
        <is>
          <t>Due to S'holder(LTP)</t>
        </is>
      </c>
      <c r="C155" s="2" t="inlineStr">
        <is>
          <t>bs_ncl</t>
        </is>
      </c>
      <c r="D155" s="2" t="inlineStr">
        <is>
          <t>Extract the reported value for 'Due to S'holder(LTP)' from the stated section. Do not calculate or replace it from other rows, because the revised template does not designate this field as formula-driven.</t>
        </is>
      </c>
      <c r="E155" s="2" t="inlineStr">
        <is>
          <t>Due to S'holder(LTP)</t>
        </is>
      </c>
      <c r="F155" s="2" t="inlineStr">
        <is>
          <t>Due to S'holder(LTP)</t>
        </is>
      </c>
      <c r="G155" s="2" t="inlineStr">
        <is>
          <t>^Due\s+to\s+S'holder\(LTP\)$</t>
        </is>
      </c>
      <c r="H155" s="2" t="inlineStr"/>
      <c r="I155" s="2" t="inlineStr">
        <is>
          <t>Amounts or disclosures explicitly reported for Due to S'holder(LTP) in Balance Sheet / bs_ncl.</t>
        </is>
      </c>
      <c r="J155" s="2" t="inlineStr">
        <is>
          <t>Do not substitute another section, period, entity scope, currency or unit; do not double count a parent and its children.</t>
        </is>
      </c>
      <c r="K155" s="2" t="inlineStr"/>
      <c r="L155" s="2" t="inlineStr">
        <is>
          <t>as_reported</t>
        </is>
      </c>
      <c r="M155" s="2" t="inlineStr">
        <is>
          <t>direct_exclusive</t>
        </is>
      </c>
      <c r="N155" s="2" t="n">
        <v>90</v>
      </c>
      <c r="O155" s="2" t="inlineStr">
        <is>
          <t>normalized_exact_then_regex</t>
        </is>
      </c>
      <c r="P155" s="3" t="inlineStr">
        <is>
          <t>extract</t>
        </is>
      </c>
      <c r="Q155" s="2" t="inlineStr">
        <is>
          <t>currency_amount</t>
        </is>
      </c>
      <c r="R155" s="2" t="inlineStr">
        <is>
          <t>period_end</t>
        </is>
      </c>
      <c r="S155" s="2" t="inlineStr">
        <is>
          <t>allowed_with_provenance</t>
        </is>
      </c>
      <c r="T155" s="2" t="b">
        <v>0</v>
      </c>
      <c r="U155" s="2" t="b">
        <v>0</v>
      </c>
      <c r="V155" s="2" t="inlineStr"/>
      <c r="W155" s="2" t="inlineStr"/>
      <c r="X155" s="2" t="inlineStr">
        <is>
          <t>Decompose only from explicit face or note evidence; never fabricate a split.</t>
        </is>
      </c>
      <c r="Y155" s="2" t="inlineStr">
        <is>
          <t>Aggregate only mutually exclusive facts with identical period, scope, currency and unit.</t>
        </is>
      </c>
      <c r="Z155" s="2" t="inlineStr">
        <is>
          <t>Bind only to Balance Sheet / bs_ncl.</t>
        </is>
      </c>
      <c r="AA155" s="2" t="inlineStr"/>
      <c r="AB155" s="2" t="b">
        <v>1</v>
      </c>
      <c r="AC155" s="2" t="inlineStr"/>
      <c r="AD155" s="2" t="inlineStr">
        <is>
          <t>Exact field from Balance Sheet!A144; value cell B144.</t>
        </is>
      </c>
      <c r="AE155" s="2" t="inlineStr">
        <is>
          <t>Notes may support direct extraction or decomposition with provenance. Formula outputs must be derived only from template dependencies.</t>
        </is>
      </c>
      <c r="AF155" s="2" t="inlineStr"/>
      <c r="AG155" s="2" t="inlineStr">
        <is>
          <t>[]</t>
        </is>
      </c>
      <c r="AH155" s="2" t="inlineStr">
        <is>
          <t>Due to S'holder(LTP)</t>
        </is>
      </c>
      <c r="AI155" s="2" t="inlineStr"/>
      <c r="AJ155" s="2" t="inlineStr">
        <is>
          <t>{"template_sheet": "Balance Sheet", "template_row": 144, "template_cell": "B144", "template_value_or_formula": 50, "calculation_type": "reported_input", "dependencies": [], "source_template": "Copy of Output_CSV Template.xlsx"}</t>
        </is>
      </c>
    </row>
    <row r="156">
      <c r="A156" s="2" t="inlineStr">
        <is>
          <t>bs_ncl__lease_liabilities_ltp</t>
        </is>
      </c>
      <c r="B156" s="2" t="inlineStr">
        <is>
          <t>Lease liabilities(LTP)</t>
        </is>
      </c>
      <c r="C156" s="2" t="inlineStr">
        <is>
          <t>bs_ncl</t>
        </is>
      </c>
      <c r="D156" s="2" t="inlineStr">
        <is>
          <t>Extract the reported value for 'Lease liabilities(LTP)' from the stated section. Do not calculate or replace it from other rows, because the revised template does not designate this field as formula-driven.</t>
        </is>
      </c>
      <c r="E156" s="2" t="inlineStr">
        <is>
          <t>Lease liabilities(LTP)</t>
        </is>
      </c>
      <c r="F156" s="2" t="inlineStr">
        <is>
          <t>Lease liabilities(LTP)</t>
        </is>
      </c>
      <c r="G156" s="2" t="inlineStr">
        <is>
          <t>^Lease\s+liabilities\(LTP\)$</t>
        </is>
      </c>
      <c r="H156" s="2" t="inlineStr"/>
      <c r="I156" s="2" t="inlineStr">
        <is>
          <t>Amounts or disclosures explicitly reported for Lease liabilities(LTP) in Balance Sheet / bs_ncl.</t>
        </is>
      </c>
      <c r="J156" s="2" t="inlineStr">
        <is>
          <t>Do not substitute another section, period, entity scope, currency or unit; do not double count a parent and its children.</t>
        </is>
      </c>
      <c r="K156" s="2" t="inlineStr"/>
      <c r="L156" s="2" t="inlineStr">
        <is>
          <t>as_reported</t>
        </is>
      </c>
      <c r="M156" s="2" t="inlineStr">
        <is>
          <t>direct_exclusive</t>
        </is>
      </c>
      <c r="N156" s="2" t="n">
        <v>90</v>
      </c>
      <c r="O156" s="2" t="inlineStr">
        <is>
          <t>normalized_exact_then_regex</t>
        </is>
      </c>
      <c r="P156" s="3" t="inlineStr">
        <is>
          <t>extract</t>
        </is>
      </c>
      <c r="Q156" s="2" t="inlineStr">
        <is>
          <t>currency_amount</t>
        </is>
      </c>
      <c r="R156" s="2" t="inlineStr">
        <is>
          <t>period_end</t>
        </is>
      </c>
      <c r="S156" s="2" t="inlineStr">
        <is>
          <t>allowed_with_provenance</t>
        </is>
      </c>
      <c r="T156" s="2" t="b">
        <v>0</v>
      </c>
      <c r="U156" s="2" t="b">
        <v>0</v>
      </c>
      <c r="V156" s="2" t="inlineStr"/>
      <c r="W156" s="2" t="inlineStr"/>
      <c r="X156" s="2" t="inlineStr">
        <is>
          <t>Decompose only from explicit face or note evidence; never fabricate a split.</t>
        </is>
      </c>
      <c r="Y156" s="2" t="inlineStr">
        <is>
          <t>Aggregate only mutually exclusive facts with identical period, scope, currency and unit.</t>
        </is>
      </c>
      <c r="Z156" s="2" t="inlineStr">
        <is>
          <t>Bind only to Balance Sheet / bs_ncl.</t>
        </is>
      </c>
      <c r="AA156" s="2" t="inlineStr"/>
      <c r="AB156" s="2" t="b">
        <v>1</v>
      </c>
      <c r="AC156" s="2" t="inlineStr"/>
      <c r="AD156" s="2" t="inlineStr">
        <is>
          <t>Exact field from Balance Sheet!A145; value cell B145.</t>
        </is>
      </c>
      <c r="AE156" s="2" t="inlineStr">
        <is>
          <t>Notes may support direct extraction or decomposition with provenance. Formula outputs must be derived only from template dependencies.</t>
        </is>
      </c>
      <c r="AF156" s="2" t="inlineStr"/>
      <c r="AG156" s="2" t="inlineStr">
        <is>
          <t>[]</t>
        </is>
      </c>
      <c r="AH156" s="2" t="inlineStr">
        <is>
          <t>Lease liabilities(LTP)</t>
        </is>
      </c>
      <c r="AI156" s="2" t="inlineStr"/>
      <c r="AJ156" s="2" t="inlineStr">
        <is>
          <t>{"template_sheet": "Balance Sheet", "template_row": 145, "template_cell": "B145", "template_value_or_formula": 24, "calculation_type": "reported_input", "dependencies": [], "source_template": "Copy of Output_CSV Template.xlsx"}</t>
        </is>
      </c>
    </row>
    <row r="157">
      <c r="A157" s="2" t="inlineStr">
        <is>
          <t>bs_ncl__other_non_current_liabilities</t>
        </is>
      </c>
      <c r="B157" s="2" t="inlineStr">
        <is>
          <t>Other Non-Current Liabilities</t>
        </is>
      </c>
      <c r="C157" s="2" t="inlineStr">
        <is>
          <t>bs_ncl</t>
        </is>
      </c>
      <c r="D157" s="2" t="inlineStr">
        <is>
          <t>Extract the reported value for 'Other Non-Current Liabilities' from the stated section. Do not calculate or replace it from other rows, because the revised template does not designate this field as formula-driven.</t>
        </is>
      </c>
      <c r="E157" s="2" t="inlineStr">
        <is>
          <t>Other Non-Current Liabilities</t>
        </is>
      </c>
      <c r="F157" s="2" t="inlineStr">
        <is>
          <t>Other Non-Current Liabilities</t>
        </is>
      </c>
      <c r="G157" s="2" t="inlineStr">
        <is>
          <t>^Other\s+Non[\-–—]?Current\s+Liabilities$</t>
        </is>
      </c>
      <c r="H157" s="2" t="inlineStr"/>
      <c r="I157" s="2" t="inlineStr">
        <is>
          <t>Amounts or disclosures explicitly reported for Other Non-Current Liabilities in Balance Sheet / bs_ncl.</t>
        </is>
      </c>
      <c r="J157" s="2" t="inlineStr">
        <is>
          <t>Do not substitute another section, period, entity scope, currency or unit; do not double count a parent and its children.</t>
        </is>
      </c>
      <c r="K157" s="2" t="inlineStr"/>
      <c r="L157" s="2" t="inlineStr">
        <is>
          <t>as_reported</t>
        </is>
      </c>
      <c r="M157" s="2" t="inlineStr">
        <is>
          <t>direct_exclusive</t>
        </is>
      </c>
      <c r="N157" s="2" t="n">
        <v>90</v>
      </c>
      <c r="O157" s="2" t="inlineStr">
        <is>
          <t>normalized_exact_then_regex</t>
        </is>
      </c>
      <c r="P157" s="3" t="inlineStr">
        <is>
          <t>extract</t>
        </is>
      </c>
      <c r="Q157" s="2" t="inlineStr">
        <is>
          <t>currency_amount</t>
        </is>
      </c>
      <c r="R157" s="2" t="inlineStr">
        <is>
          <t>period_end</t>
        </is>
      </c>
      <c r="S157" s="2" t="inlineStr">
        <is>
          <t>allowed_with_provenance</t>
        </is>
      </c>
      <c r="T157" s="2" t="b">
        <v>0</v>
      </c>
      <c r="U157" s="2" t="b">
        <v>0</v>
      </c>
      <c r="V157" s="2" t="inlineStr"/>
      <c r="W157" s="2" t="inlineStr"/>
      <c r="X157" s="2" t="inlineStr">
        <is>
          <t>Decompose only from explicit face or note evidence; never fabricate a split.</t>
        </is>
      </c>
      <c r="Y157" s="2" t="inlineStr">
        <is>
          <t>Aggregate only mutually exclusive facts with identical period, scope, currency and unit.</t>
        </is>
      </c>
      <c r="Z157" s="2" t="inlineStr">
        <is>
          <t>Bind only to Balance Sheet / bs_ncl.</t>
        </is>
      </c>
      <c r="AA157" s="2" t="inlineStr"/>
      <c r="AB157" s="2" t="b">
        <v>1</v>
      </c>
      <c r="AC157" s="2" t="inlineStr"/>
      <c r="AD157" s="2" t="inlineStr">
        <is>
          <t>Exact field from Balance Sheet!A146; value cell B146.</t>
        </is>
      </c>
      <c r="AE157" s="2" t="inlineStr">
        <is>
          <t>Notes may support direct extraction or decomposition with provenance. Formula outputs must be derived only from template dependencies.</t>
        </is>
      </c>
      <c r="AF157" s="2" t="inlineStr">
        <is>
          <t>{"mode": "no_balancing_plug", "negative_result": "review"}</t>
        </is>
      </c>
      <c r="AG157" s="2" t="inlineStr">
        <is>
          <t>[]</t>
        </is>
      </c>
      <c r="AH157" s="2" t="inlineStr">
        <is>
          <t>Other Non-Current Liabilities</t>
        </is>
      </c>
      <c r="AI157" s="2" t="inlineStr"/>
      <c r="AJ157" s="2" t="inlineStr">
        <is>
          <t>{"template_sheet": "Balance Sheet", "template_row": 146, "template_cell": "B146", "template_value_or_formula": 41, "calculation_type": "reported_input", "dependencies": [], "source_template": "Copy of Output_CSV Template.xlsx"}</t>
        </is>
      </c>
    </row>
    <row r="158">
      <c r="A158" s="2" t="inlineStr">
        <is>
          <t>bs_ncl__customer_advances_ltp</t>
        </is>
      </c>
      <c r="B158" s="2" t="inlineStr">
        <is>
          <t>Customer Advances(LTP)</t>
        </is>
      </c>
      <c r="C158" s="2" t="inlineStr">
        <is>
          <t>bs_ncl</t>
        </is>
      </c>
      <c r="D158" s="2" t="inlineStr">
        <is>
          <t>Extract the reported value for 'Customer Advances(LTP)' from the stated section. Do not calculate or replace it from other rows, because the revised template does not designate this field as formula-driven.</t>
        </is>
      </c>
      <c r="E158" s="2" t="inlineStr">
        <is>
          <t>Customer Advances(LTP)</t>
        </is>
      </c>
      <c r="F158" s="2" t="inlineStr">
        <is>
          <t>Customer Advances(LTP)</t>
        </is>
      </c>
      <c r="G158" s="2" t="inlineStr">
        <is>
          <t>^Customer\s+Advances\(LTP\)$</t>
        </is>
      </c>
      <c r="H158" s="2" t="inlineStr"/>
      <c r="I158" s="2" t="inlineStr">
        <is>
          <t>Amounts or disclosures explicitly reported for Customer Advances(LTP) in Balance Sheet / bs_ncl.</t>
        </is>
      </c>
      <c r="J158" s="2" t="inlineStr">
        <is>
          <t>Do not substitute another section, period, entity scope, currency or unit; do not double count a parent and its children.</t>
        </is>
      </c>
      <c r="K158" s="2" t="inlineStr"/>
      <c r="L158" s="2" t="inlineStr">
        <is>
          <t>as_reported</t>
        </is>
      </c>
      <c r="M158" s="2" t="inlineStr">
        <is>
          <t>direct_exclusive</t>
        </is>
      </c>
      <c r="N158" s="2" t="n">
        <v>90</v>
      </c>
      <c r="O158" s="2" t="inlineStr">
        <is>
          <t>normalized_exact_then_regex</t>
        </is>
      </c>
      <c r="P158" s="3" t="inlineStr">
        <is>
          <t>extract</t>
        </is>
      </c>
      <c r="Q158" s="2" t="inlineStr">
        <is>
          <t>currency_amount</t>
        </is>
      </c>
      <c r="R158" s="2" t="inlineStr">
        <is>
          <t>period_end</t>
        </is>
      </c>
      <c r="S158" s="2" t="inlineStr">
        <is>
          <t>allowed_with_provenance</t>
        </is>
      </c>
      <c r="T158" s="2" t="b">
        <v>0</v>
      </c>
      <c r="U158" s="2" t="b">
        <v>0</v>
      </c>
      <c r="V158" s="2" t="inlineStr"/>
      <c r="W158" s="2" t="inlineStr"/>
      <c r="X158" s="2" t="inlineStr">
        <is>
          <t>Decompose only from explicit face or note evidence; never fabricate a split.</t>
        </is>
      </c>
      <c r="Y158" s="2" t="inlineStr">
        <is>
          <t>Aggregate only mutually exclusive facts with identical period, scope, currency and unit.</t>
        </is>
      </c>
      <c r="Z158" s="2" t="inlineStr">
        <is>
          <t>Bind only to Balance Sheet / bs_ncl.</t>
        </is>
      </c>
      <c r="AA158" s="2" t="inlineStr"/>
      <c r="AB158" s="2" t="b">
        <v>1</v>
      </c>
      <c r="AC158" s="2" t="inlineStr"/>
      <c r="AD158" s="2" t="inlineStr">
        <is>
          <t>Exact field from Balance Sheet!A147; value cell B147.</t>
        </is>
      </c>
      <c r="AE158" s="2" t="inlineStr">
        <is>
          <t>Notes may support direct extraction or decomposition with provenance. Formula outputs must be derived only from template dependencies.</t>
        </is>
      </c>
      <c r="AF158" s="2" t="inlineStr"/>
      <c r="AG158" s="2" t="inlineStr">
        <is>
          <t>[]</t>
        </is>
      </c>
      <c r="AH158" s="2" t="inlineStr">
        <is>
          <t>Customer Advances(LTP)</t>
        </is>
      </c>
      <c r="AI158" s="2" t="inlineStr"/>
      <c r="AJ158" s="2" t="inlineStr">
        <is>
          <t>{"template_sheet": "Balance Sheet", "template_row": 147, "template_cell": "B147", "template_value_or_formula": 15, "calculation_type": "reported_input", "dependencies": [], "source_template": "Copy of Output_CSV Template.xlsx"}</t>
        </is>
      </c>
    </row>
    <row r="159">
      <c r="A159" s="2" t="inlineStr">
        <is>
          <t>bs_ncl__deferred_income_ltp</t>
        </is>
      </c>
      <c r="B159" s="2" t="inlineStr">
        <is>
          <t>Deferred Income(LTP)</t>
        </is>
      </c>
      <c r="C159" s="2" t="inlineStr">
        <is>
          <t>bs_ncl</t>
        </is>
      </c>
      <c r="D159" s="2" t="inlineStr">
        <is>
          <t>Extract the reported value for 'Deferred Income(LTP)' from the stated section. Do not calculate or replace it from other rows, because the revised template does not designate this field as formula-driven.</t>
        </is>
      </c>
      <c r="E159" s="2" t="inlineStr">
        <is>
          <t>Deferred Income(LTP)</t>
        </is>
      </c>
      <c r="F159" s="2" t="inlineStr">
        <is>
          <t>Deferred Income(LTP)</t>
        </is>
      </c>
      <c r="G159" s="2" t="inlineStr">
        <is>
          <t>^Deferred\s+Income\(LTP\)$</t>
        </is>
      </c>
      <c r="H159" s="2" t="inlineStr"/>
      <c r="I159" s="2" t="inlineStr">
        <is>
          <t>Amounts or disclosures explicitly reported for Deferred Income(LTP) in Balance Sheet / bs_ncl.</t>
        </is>
      </c>
      <c r="J159" s="2" t="inlineStr">
        <is>
          <t>Do not substitute another section, period, entity scope, currency or unit; do not double count a parent and its children.</t>
        </is>
      </c>
      <c r="K159" s="2" t="inlineStr"/>
      <c r="L159" s="2" t="inlineStr">
        <is>
          <t>as_reported</t>
        </is>
      </c>
      <c r="M159" s="2" t="inlineStr">
        <is>
          <t>direct_exclusive</t>
        </is>
      </c>
      <c r="N159" s="2" t="n">
        <v>90</v>
      </c>
      <c r="O159" s="2" t="inlineStr">
        <is>
          <t>normalized_exact_then_regex</t>
        </is>
      </c>
      <c r="P159" s="3" t="inlineStr">
        <is>
          <t>extract</t>
        </is>
      </c>
      <c r="Q159" s="2" t="inlineStr">
        <is>
          <t>currency_amount</t>
        </is>
      </c>
      <c r="R159" s="2" t="inlineStr">
        <is>
          <t>period_end</t>
        </is>
      </c>
      <c r="S159" s="2" t="inlineStr">
        <is>
          <t>allowed_with_provenance</t>
        </is>
      </c>
      <c r="T159" s="2" t="b">
        <v>0</v>
      </c>
      <c r="U159" s="2" t="b">
        <v>0</v>
      </c>
      <c r="V159" s="2" t="inlineStr"/>
      <c r="W159" s="2" t="inlineStr"/>
      <c r="X159" s="2" t="inlineStr">
        <is>
          <t>Decompose only from explicit face or note evidence; never fabricate a split.</t>
        </is>
      </c>
      <c r="Y159" s="2" t="inlineStr">
        <is>
          <t>Aggregate only mutually exclusive facts with identical period, scope, currency and unit.</t>
        </is>
      </c>
      <c r="Z159" s="2" t="inlineStr">
        <is>
          <t>Bind only to Balance Sheet / bs_ncl.</t>
        </is>
      </c>
      <c r="AA159" s="2" t="inlineStr"/>
      <c r="AB159" s="2" t="b">
        <v>1</v>
      </c>
      <c r="AC159" s="2" t="inlineStr"/>
      <c r="AD159" s="2" t="inlineStr">
        <is>
          <t>Exact field from Balance Sheet!A148; value cell B148.</t>
        </is>
      </c>
      <c r="AE159" s="2" t="inlineStr">
        <is>
          <t>Notes may support direct extraction or decomposition with provenance. Formula outputs must be derived only from template dependencies.</t>
        </is>
      </c>
      <c r="AF159" s="2" t="inlineStr"/>
      <c r="AG159" s="2" t="inlineStr">
        <is>
          <t>[]</t>
        </is>
      </c>
      <c r="AH159" s="2" t="inlineStr">
        <is>
          <t>Deferred Income(LTP)</t>
        </is>
      </c>
      <c r="AI159" s="2" t="inlineStr"/>
      <c r="AJ159" s="2" t="inlineStr">
        <is>
          <t>{"template_sheet": "Balance Sheet", "template_row": 148, "template_cell": "B148", "template_value_or_formula": 32, "calculation_type": "reported_input", "dependencies": [], "source_template": "Copy of Output_CSV Template.xlsx"}</t>
        </is>
      </c>
    </row>
    <row r="160">
      <c r="A160" s="2" t="inlineStr">
        <is>
          <t>bs_ncl__futures_ncl</t>
        </is>
      </c>
      <c r="B160" s="2" t="inlineStr">
        <is>
          <t>Futures(NCL)</t>
        </is>
      </c>
      <c r="C160" s="2" t="inlineStr">
        <is>
          <t>bs_ncl</t>
        </is>
      </c>
      <c r="D160" s="2" t="inlineStr">
        <is>
          <t>Extract the reported value for 'Futures(NCL)' from the stated section. Do not calculate or replace it from other rows, because the revised template does not designate this field as formula-driven.</t>
        </is>
      </c>
      <c r="E160" s="2" t="inlineStr">
        <is>
          <t>Futures(NCL)</t>
        </is>
      </c>
      <c r="F160" s="2" t="inlineStr">
        <is>
          <t>Futures(NCL)</t>
        </is>
      </c>
      <c r="G160" s="2" t="inlineStr">
        <is>
          <t>^Futures\(NCL\)$</t>
        </is>
      </c>
      <c r="H160" s="2" t="inlineStr"/>
      <c r="I160" s="2" t="inlineStr">
        <is>
          <t>Amounts or disclosures explicitly reported for Futures(NCL) in Balance Sheet / bs_ncl.</t>
        </is>
      </c>
      <c r="J160" s="2" t="inlineStr">
        <is>
          <t>Do not substitute another section, period, entity scope, currency or unit; do not double count a parent and its children.</t>
        </is>
      </c>
      <c r="K160" s="2" t="inlineStr"/>
      <c r="L160" s="2" t="inlineStr">
        <is>
          <t>as_reported</t>
        </is>
      </c>
      <c r="M160" s="2" t="inlineStr">
        <is>
          <t>direct_exclusive</t>
        </is>
      </c>
      <c r="N160" s="2" t="n">
        <v>90</v>
      </c>
      <c r="O160" s="2" t="inlineStr">
        <is>
          <t>normalized_exact_then_regex</t>
        </is>
      </c>
      <c r="P160" s="3" t="inlineStr">
        <is>
          <t>extract</t>
        </is>
      </c>
      <c r="Q160" s="2" t="inlineStr">
        <is>
          <t>currency_amount</t>
        </is>
      </c>
      <c r="R160" s="2" t="inlineStr">
        <is>
          <t>period_end</t>
        </is>
      </c>
      <c r="S160" s="2" t="inlineStr">
        <is>
          <t>allowed_with_provenance</t>
        </is>
      </c>
      <c r="T160" s="2" t="b">
        <v>0</v>
      </c>
      <c r="U160" s="2" t="b">
        <v>0</v>
      </c>
      <c r="V160" s="2" t="inlineStr"/>
      <c r="W160" s="2" t="inlineStr"/>
      <c r="X160" s="2" t="inlineStr">
        <is>
          <t>Decompose only from explicit face or note evidence; never fabricate a split.</t>
        </is>
      </c>
      <c r="Y160" s="2" t="inlineStr">
        <is>
          <t>Aggregate only mutually exclusive facts with identical period, scope, currency and unit.</t>
        </is>
      </c>
      <c r="Z160" s="2" t="inlineStr">
        <is>
          <t>Bind only to Balance Sheet / bs_ncl.</t>
        </is>
      </c>
      <c r="AA160" s="2" t="inlineStr"/>
      <c r="AB160" s="2" t="b">
        <v>1</v>
      </c>
      <c r="AC160" s="2" t="inlineStr"/>
      <c r="AD160" s="2" t="inlineStr">
        <is>
          <t>Exact field from Balance Sheet!A149; value cell B149.</t>
        </is>
      </c>
      <c r="AE160" s="2" t="inlineStr">
        <is>
          <t>Notes may support direct extraction or decomposition with provenance. Formula outputs must be derived only from template dependencies.</t>
        </is>
      </c>
      <c r="AF160" s="2" t="inlineStr"/>
      <c r="AG160" s="2" t="inlineStr">
        <is>
          <t>[]</t>
        </is>
      </c>
      <c r="AH160" s="2" t="inlineStr">
        <is>
          <t>Futures(NCL)</t>
        </is>
      </c>
      <c r="AI160" s="2" t="inlineStr"/>
      <c r="AJ160" s="2" t="inlineStr">
        <is>
          <t>{"template_sheet": "Balance Sheet", "template_row": 149, "template_cell": "B149", "template_value_or_formula": 49, "calculation_type": "reported_input", "dependencies": [], "source_template": "Copy of Output_CSV Template.xlsx"}</t>
        </is>
      </c>
    </row>
    <row r="161">
      <c r="A161" s="2" t="inlineStr">
        <is>
          <t>bs_ncl__options_ncl</t>
        </is>
      </c>
      <c r="B161" s="2" t="inlineStr">
        <is>
          <t>Options(NCL)</t>
        </is>
      </c>
      <c r="C161" s="2" t="inlineStr">
        <is>
          <t>bs_ncl</t>
        </is>
      </c>
      <c r="D161" s="2" t="inlineStr">
        <is>
          <t>Extract the reported value for 'Options(NCL)' from the stated section. Do not calculate or replace it from other rows, because the revised template does not designate this field as formula-driven.</t>
        </is>
      </c>
      <c r="E161" s="2" t="inlineStr">
        <is>
          <t>Options(NCL)</t>
        </is>
      </c>
      <c r="F161" s="2" t="inlineStr">
        <is>
          <t>Options(NCL)</t>
        </is>
      </c>
      <c r="G161" s="2" t="inlineStr">
        <is>
          <t>^Options\(NCL\)$</t>
        </is>
      </c>
      <c r="H161" s="2" t="inlineStr"/>
      <c r="I161" s="2" t="inlineStr">
        <is>
          <t>Amounts or disclosures explicitly reported for Options(NCL) in Balance Sheet / bs_ncl.</t>
        </is>
      </c>
      <c r="J161" s="2" t="inlineStr">
        <is>
          <t>Do not substitute another section, period, entity scope, currency or unit; do not double count a parent and its children.</t>
        </is>
      </c>
      <c r="K161" s="2" t="inlineStr"/>
      <c r="L161" s="2" t="inlineStr">
        <is>
          <t>as_reported</t>
        </is>
      </c>
      <c r="M161" s="2" t="inlineStr">
        <is>
          <t>direct_exclusive</t>
        </is>
      </c>
      <c r="N161" s="2" t="n">
        <v>90</v>
      </c>
      <c r="O161" s="2" t="inlineStr">
        <is>
          <t>normalized_exact_then_regex</t>
        </is>
      </c>
      <c r="P161" s="3" t="inlineStr">
        <is>
          <t>extract</t>
        </is>
      </c>
      <c r="Q161" s="2" t="inlineStr">
        <is>
          <t>currency_amount</t>
        </is>
      </c>
      <c r="R161" s="2" t="inlineStr">
        <is>
          <t>period_end</t>
        </is>
      </c>
      <c r="S161" s="2" t="inlineStr">
        <is>
          <t>allowed_with_provenance</t>
        </is>
      </c>
      <c r="T161" s="2" t="b">
        <v>0</v>
      </c>
      <c r="U161" s="2" t="b">
        <v>0</v>
      </c>
      <c r="V161" s="2" t="inlineStr"/>
      <c r="W161" s="2" t="inlineStr"/>
      <c r="X161" s="2" t="inlineStr">
        <is>
          <t>Decompose only from explicit face or note evidence; never fabricate a split.</t>
        </is>
      </c>
      <c r="Y161" s="2" t="inlineStr">
        <is>
          <t>Aggregate only mutually exclusive facts with identical period, scope, currency and unit.</t>
        </is>
      </c>
      <c r="Z161" s="2" t="inlineStr">
        <is>
          <t>Bind only to Balance Sheet / bs_ncl.</t>
        </is>
      </c>
      <c r="AA161" s="2" t="inlineStr"/>
      <c r="AB161" s="2" t="b">
        <v>1</v>
      </c>
      <c r="AC161" s="2" t="inlineStr"/>
      <c r="AD161" s="2" t="inlineStr">
        <is>
          <t>Exact field from Balance Sheet!A150; value cell B150.</t>
        </is>
      </c>
      <c r="AE161" s="2" t="inlineStr">
        <is>
          <t>Notes may support direct extraction or decomposition with provenance. Formula outputs must be derived only from template dependencies.</t>
        </is>
      </c>
      <c r="AF161" s="2" t="inlineStr"/>
      <c r="AG161" s="2" t="inlineStr">
        <is>
          <t>[]</t>
        </is>
      </c>
      <c r="AH161" s="2" t="inlineStr">
        <is>
          <t>Options(NCL)</t>
        </is>
      </c>
      <c r="AI161" s="2" t="inlineStr"/>
      <c r="AJ161" s="2" t="inlineStr">
        <is>
          <t>{"template_sheet": "Balance Sheet", "template_row": 150, "template_cell": "B150", "template_value_or_formula": 23, "calculation_type": "reported_input", "dependencies": [], "source_template": "Copy of Output_CSV Template.xlsx"}</t>
        </is>
      </c>
    </row>
    <row r="162">
      <c r="A162" s="2" t="inlineStr">
        <is>
          <t>bs_ncl__forwards_ncl</t>
        </is>
      </c>
      <c r="B162" s="2" t="inlineStr">
        <is>
          <t>Forwards(NCL)</t>
        </is>
      </c>
      <c r="C162" s="2" t="inlineStr">
        <is>
          <t>bs_ncl</t>
        </is>
      </c>
      <c r="D162" s="2" t="inlineStr">
        <is>
          <t>Extract the reported value for 'Forwards(NCL)' from the stated section. Do not calculate or replace it from other rows, because the revised template does not designate this field as formula-driven.</t>
        </is>
      </c>
      <c r="E162" s="2" t="inlineStr">
        <is>
          <t>Forwards(NCL)</t>
        </is>
      </c>
      <c r="F162" s="2" t="inlineStr">
        <is>
          <t>Forwards(NCL)</t>
        </is>
      </c>
      <c r="G162" s="2" t="inlineStr">
        <is>
          <t>^Forwards\(NCL\)$</t>
        </is>
      </c>
      <c r="H162" s="2" t="inlineStr"/>
      <c r="I162" s="2" t="inlineStr">
        <is>
          <t>Amounts or disclosures explicitly reported for Forwards(NCL) in Balance Sheet / bs_ncl.</t>
        </is>
      </c>
      <c r="J162" s="2" t="inlineStr">
        <is>
          <t>Do not substitute another section, period, entity scope, currency or unit; do not double count a parent and its children.</t>
        </is>
      </c>
      <c r="K162" s="2" t="inlineStr"/>
      <c r="L162" s="2" t="inlineStr">
        <is>
          <t>as_reported</t>
        </is>
      </c>
      <c r="M162" s="2" t="inlineStr">
        <is>
          <t>direct_exclusive</t>
        </is>
      </c>
      <c r="N162" s="2" t="n">
        <v>90</v>
      </c>
      <c r="O162" s="2" t="inlineStr">
        <is>
          <t>normalized_exact_then_regex</t>
        </is>
      </c>
      <c r="P162" s="3" t="inlineStr">
        <is>
          <t>extract</t>
        </is>
      </c>
      <c r="Q162" s="2" t="inlineStr">
        <is>
          <t>currency_amount</t>
        </is>
      </c>
      <c r="R162" s="2" t="inlineStr">
        <is>
          <t>period_end</t>
        </is>
      </c>
      <c r="S162" s="2" t="inlineStr">
        <is>
          <t>allowed_with_provenance</t>
        </is>
      </c>
      <c r="T162" s="2" t="b">
        <v>0</v>
      </c>
      <c r="U162" s="2" t="b">
        <v>0</v>
      </c>
      <c r="V162" s="2" t="inlineStr"/>
      <c r="W162" s="2" t="inlineStr"/>
      <c r="X162" s="2" t="inlineStr">
        <is>
          <t>Decompose only from explicit face or note evidence; never fabricate a split.</t>
        </is>
      </c>
      <c r="Y162" s="2" t="inlineStr">
        <is>
          <t>Aggregate only mutually exclusive facts with identical period, scope, currency and unit.</t>
        </is>
      </c>
      <c r="Z162" s="2" t="inlineStr">
        <is>
          <t>Bind only to Balance Sheet / bs_ncl.</t>
        </is>
      </c>
      <c r="AA162" s="2" t="inlineStr"/>
      <c r="AB162" s="2" t="b">
        <v>1</v>
      </c>
      <c r="AC162" s="2" t="inlineStr"/>
      <c r="AD162" s="2" t="inlineStr">
        <is>
          <t>Exact field from Balance Sheet!A151; value cell B151.</t>
        </is>
      </c>
      <c r="AE162" s="2" t="inlineStr">
        <is>
          <t>Notes may support direct extraction or decomposition with provenance. Formula outputs must be derived only from template dependencies.</t>
        </is>
      </c>
      <c r="AF162" s="2" t="inlineStr"/>
      <c r="AG162" s="2" t="inlineStr">
        <is>
          <t>[]</t>
        </is>
      </c>
      <c r="AH162" s="2" t="inlineStr">
        <is>
          <t>Forwards(NCL)</t>
        </is>
      </c>
      <c r="AI162" s="2" t="inlineStr"/>
      <c r="AJ162" s="2" t="inlineStr">
        <is>
          <t>{"template_sheet": "Balance Sheet", "template_row": 151, "template_cell": "B151", "template_value_or_formula": 40, "calculation_type": "reported_input", "dependencies": [], "source_template": "Copy of Output_CSV Template.xlsx"}</t>
        </is>
      </c>
    </row>
    <row r="163">
      <c r="A163" s="2" t="inlineStr">
        <is>
          <t>bs_ncl__commodities_ncl</t>
        </is>
      </c>
      <c r="B163" s="2" t="inlineStr">
        <is>
          <t>Commodities(NCL)</t>
        </is>
      </c>
      <c r="C163" s="2" t="inlineStr">
        <is>
          <t>bs_ncl</t>
        </is>
      </c>
      <c r="D163" s="2" t="inlineStr">
        <is>
          <t>Extract the reported value for 'Commodities(NCL)' from the stated section. Do not calculate or replace it from other rows, because the revised template does not designate this field as formula-driven.</t>
        </is>
      </c>
      <c r="E163" s="2" t="inlineStr">
        <is>
          <t>Commodities(NCL)</t>
        </is>
      </c>
      <c r="F163" s="2" t="inlineStr">
        <is>
          <t>Commodities(NCL)</t>
        </is>
      </c>
      <c r="G163" s="2" t="inlineStr">
        <is>
          <t>^Commodities\(NCL\)$</t>
        </is>
      </c>
      <c r="H163" s="2" t="inlineStr"/>
      <c r="I163" s="2" t="inlineStr">
        <is>
          <t>Amounts or disclosures explicitly reported for Commodities(NCL) in Balance Sheet / bs_ncl.</t>
        </is>
      </c>
      <c r="J163" s="2" t="inlineStr">
        <is>
          <t>Do not substitute another section, period, entity scope, currency or unit; do not double count a parent and its children.</t>
        </is>
      </c>
      <c r="K163" s="2" t="inlineStr"/>
      <c r="L163" s="2" t="inlineStr">
        <is>
          <t>as_reported</t>
        </is>
      </c>
      <c r="M163" s="2" t="inlineStr">
        <is>
          <t>direct_exclusive</t>
        </is>
      </c>
      <c r="N163" s="2" t="n">
        <v>90</v>
      </c>
      <c r="O163" s="2" t="inlineStr">
        <is>
          <t>normalized_exact_then_regex</t>
        </is>
      </c>
      <c r="P163" s="3" t="inlineStr">
        <is>
          <t>extract</t>
        </is>
      </c>
      <c r="Q163" s="2" t="inlineStr">
        <is>
          <t>currency_amount</t>
        </is>
      </c>
      <c r="R163" s="2" t="inlineStr">
        <is>
          <t>period_end</t>
        </is>
      </c>
      <c r="S163" s="2" t="inlineStr">
        <is>
          <t>allowed_with_provenance</t>
        </is>
      </c>
      <c r="T163" s="2" t="b">
        <v>0</v>
      </c>
      <c r="U163" s="2" t="b">
        <v>0</v>
      </c>
      <c r="V163" s="2" t="inlineStr"/>
      <c r="W163" s="2" t="inlineStr"/>
      <c r="X163" s="2" t="inlineStr">
        <is>
          <t>Decompose only from explicit face or note evidence; never fabricate a split.</t>
        </is>
      </c>
      <c r="Y163" s="2" t="inlineStr">
        <is>
          <t>Aggregate only mutually exclusive facts with identical period, scope, currency and unit.</t>
        </is>
      </c>
      <c r="Z163" s="2" t="inlineStr">
        <is>
          <t>Bind only to Balance Sheet / bs_ncl.</t>
        </is>
      </c>
      <c r="AA163" s="2" t="inlineStr"/>
      <c r="AB163" s="2" t="b">
        <v>1</v>
      </c>
      <c r="AC163" s="2" t="inlineStr"/>
      <c r="AD163" s="2" t="inlineStr">
        <is>
          <t>Exact field from Balance Sheet!A152; value cell B152.</t>
        </is>
      </c>
      <c r="AE163" s="2" t="inlineStr">
        <is>
          <t>Notes may support direct extraction or decomposition with provenance. Formula outputs must be derived only from template dependencies.</t>
        </is>
      </c>
      <c r="AF163" s="2" t="inlineStr"/>
      <c r="AG163" s="2" t="inlineStr">
        <is>
          <t>[]</t>
        </is>
      </c>
      <c r="AH163" s="2" t="inlineStr">
        <is>
          <t>Commodities(NCL)</t>
        </is>
      </c>
      <c r="AI163" s="2" t="inlineStr"/>
      <c r="AJ163" s="2" t="inlineStr">
        <is>
          <t>{"template_sheet": "Balance Sheet", "template_row": 152, "template_cell": "B152", "template_value_or_formula": 14, "calculation_type": "reported_input", "dependencies": [], "source_template": "Copy of Output_CSV Template.xlsx"}</t>
        </is>
      </c>
    </row>
    <row r="164">
      <c r="A164" s="2" t="inlineStr">
        <is>
          <t>bs_ncl__swaps_ncl</t>
        </is>
      </c>
      <c r="B164" s="2" t="inlineStr">
        <is>
          <t>Swaps(NCL)</t>
        </is>
      </c>
      <c r="C164" s="2" t="inlineStr">
        <is>
          <t>bs_ncl</t>
        </is>
      </c>
      <c r="D164" s="2" t="inlineStr">
        <is>
          <t>Extract the reported value for 'Swaps(NCL)' from the stated section. Do not calculate or replace it from other rows, because the revised template does not designate this field as formula-driven.</t>
        </is>
      </c>
      <c r="E164" s="2" t="inlineStr">
        <is>
          <t>Swaps(NCL)</t>
        </is>
      </c>
      <c r="F164" s="2" t="inlineStr">
        <is>
          <t>Swaps(NCL)</t>
        </is>
      </c>
      <c r="G164" s="2" t="inlineStr">
        <is>
          <t>^Swaps\(NCL\)$</t>
        </is>
      </c>
      <c r="H164" s="2" t="inlineStr"/>
      <c r="I164" s="2" t="inlineStr">
        <is>
          <t>Amounts or disclosures explicitly reported for Swaps(NCL) in Balance Sheet / bs_ncl.</t>
        </is>
      </c>
      <c r="J164" s="2" t="inlineStr">
        <is>
          <t>Do not substitute another section, period, entity scope, currency or unit; do not double count a parent and its children.</t>
        </is>
      </c>
      <c r="K164" s="2" t="inlineStr"/>
      <c r="L164" s="2" t="inlineStr">
        <is>
          <t>as_reported</t>
        </is>
      </c>
      <c r="M164" s="2" t="inlineStr">
        <is>
          <t>direct_exclusive</t>
        </is>
      </c>
      <c r="N164" s="2" t="n">
        <v>90</v>
      </c>
      <c r="O164" s="2" t="inlineStr">
        <is>
          <t>normalized_exact_then_regex</t>
        </is>
      </c>
      <c r="P164" s="3" t="inlineStr">
        <is>
          <t>extract</t>
        </is>
      </c>
      <c r="Q164" s="2" t="inlineStr">
        <is>
          <t>currency_amount</t>
        </is>
      </c>
      <c r="R164" s="2" t="inlineStr">
        <is>
          <t>period_end</t>
        </is>
      </c>
      <c r="S164" s="2" t="inlineStr">
        <is>
          <t>allowed_with_provenance</t>
        </is>
      </c>
      <c r="T164" s="2" t="b">
        <v>0</v>
      </c>
      <c r="U164" s="2" t="b">
        <v>0</v>
      </c>
      <c r="V164" s="2" t="inlineStr"/>
      <c r="W164" s="2" t="inlineStr"/>
      <c r="X164" s="2" t="inlineStr">
        <is>
          <t>Decompose only from explicit face or note evidence; never fabricate a split.</t>
        </is>
      </c>
      <c r="Y164" s="2" t="inlineStr">
        <is>
          <t>Aggregate only mutually exclusive facts with identical period, scope, currency and unit.</t>
        </is>
      </c>
      <c r="Z164" s="2" t="inlineStr">
        <is>
          <t>Bind only to Balance Sheet / bs_ncl.</t>
        </is>
      </c>
      <c r="AA164" s="2" t="inlineStr"/>
      <c r="AB164" s="2" t="b">
        <v>1</v>
      </c>
      <c r="AC164" s="2" t="inlineStr"/>
      <c r="AD164" s="2" t="inlineStr">
        <is>
          <t>Exact field from Balance Sheet!A153; value cell B153.</t>
        </is>
      </c>
      <c r="AE164" s="2" t="inlineStr">
        <is>
          <t>Notes may support direct extraction or decomposition with provenance. Formula outputs must be derived only from template dependencies.</t>
        </is>
      </c>
      <c r="AF164" s="2" t="inlineStr"/>
      <c r="AG164" s="2" t="inlineStr">
        <is>
          <t>[]</t>
        </is>
      </c>
      <c r="AH164" s="2" t="inlineStr">
        <is>
          <t>Swaps(NCL)</t>
        </is>
      </c>
      <c r="AI164" s="2" t="inlineStr"/>
      <c r="AJ164" s="2" t="inlineStr">
        <is>
          <t>{"template_sheet": "Balance Sheet", "template_row": 153, "template_cell": "B153", "template_value_or_formula": 31, "calculation_type": "reported_input", "dependencies": [], "source_template": "Copy of Output_CSV Template.xlsx"}</t>
        </is>
      </c>
    </row>
    <row r="165">
      <c r="A165" s="2" t="inlineStr">
        <is>
          <t>bs_ncl__deriv_and_hedg_liab_ltp</t>
        </is>
      </c>
      <c r="B165" s="2" t="inlineStr">
        <is>
          <t>Deriv &amp; Hedg Liab(LTP)</t>
        </is>
      </c>
      <c r="C165" s="2" t="inlineStr">
        <is>
          <t>bs_ncl</t>
        </is>
      </c>
      <c r="D165" s="2" t="inlineStr">
        <is>
          <t>Extract the reported value for 'Deriv &amp; Hedg Liab(LTP)' from the stated section. Do not calculate or replace it from other rows, because the revised template does not designate this field as formula-driven.</t>
        </is>
      </c>
      <c r="E165" s="2" t="inlineStr">
        <is>
          <t>Deriv &amp; Hedg Liab(LTP)</t>
        </is>
      </c>
      <c r="F165" s="2" t="inlineStr">
        <is>
          <t>Deriv &amp; Hedg Liab(LTP)</t>
        </is>
      </c>
      <c r="G165" s="2" t="inlineStr">
        <is>
          <t>^Deriv\s+\&amp;\s+Hedg\s+Liab\(LTP\)$</t>
        </is>
      </c>
      <c r="H165" s="2" t="inlineStr"/>
      <c r="I165" s="2" t="inlineStr">
        <is>
          <t>Amounts or disclosures explicitly reported for Deriv &amp; Hedg Liab(LTP) in Balance Sheet / bs_ncl.</t>
        </is>
      </c>
      <c r="J165" s="2" t="inlineStr">
        <is>
          <t>Do not substitute another section, period, entity scope, currency or unit; do not double count a parent and its children.</t>
        </is>
      </c>
      <c r="K165" s="2" t="inlineStr"/>
      <c r="L165" s="2" t="inlineStr">
        <is>
          <t>as_reported</t>
        </is>
      </c>
      <c r="M165" s="2" t="inlineStr">
        <is>
          <t>direct_exclusive</t>
        </is>
      </c>
      <c r="N165" s="2" t="n">
        <v>90</v>
      </c>
      <c r="O165" s="2" t="inlineStr">
        <is>
          <t>normalized_exact_then_regex</t>
        </is>
      </c>
      <c r="P165" s="3" t="inlineStr">
        <is>
          <t>extract</t>
        </is>
      </c>
      <c r="Q165" s="2" t="inlineStr">
        <is>
          <t>currency_amount</t>
        </is>
      </c>
      <c r="R165" s="2" t="inlineStr">
        <is>
          <t>period_end</t>
        </is>
      </c>
      <c r="S165" s="2" t="inlineStr">
        <is>
          <t>allowed_with_provenance</t>
        </is>
      </c>
      <c r="T165" s="2" t="b">
        <v>0</v>
      </c>
      <c r="U165" s="2" t="b">
        <v>0</v>
      </c>
      <c r="V165" s="2" t="inlineStr"/>
      <c r="W165" s="2" t="inlineStr"/>
      <c r="X165" s="2" t="inlineStr">
        <is>
          <t>Decompose only from explicit face or note evidence; never fabricate a split.</t>
        </is>
      </c>
      <c r="Y165" s="2" t="inlineStr">
        <is>
          <t>Aggregate only mutually exclusive facts with identical period, scope, currency and unit.</t>
        </is>
      </c>
      <c r="Z165" s="2" t="inlineStr">
        <is>
          <t>Bind only to Balance Sheet / bs_ncl.</t>
        </is>
      </c>
      <c r="AA165" s="2" t="inlineStr"/>
      <c r="AB165" s="2" t="b">
        <v>1</v>
      </c>
      <c r="AC165" s="2" t="inlineStr"/>
      <c r="AD165" s="2" t="inlineStr">
        <is>
          <t>Exact field from Balance Sheet!A154; value cell B154.</t>
        </is>
      </c>
      <c r="AE165" s="2" t="inlineStr">
        <is>
          <t>Notes may support direct extraction or decomposition with provenance. Formula outputs must be derived only from template dependencies.</t>
        </is>
      </c>
      <c r="AF165" s="2" t="inlineStr"/>
      <c r="AG165" s="2" t="inlineStr">
        <is>
          <t>[]</t>
        </is>
      </c>
      <c r="AH165" s="2" t="inlineStr">
        <is>
          <t>Deriv &amp; Hedg Liab(LTP)</t>
        </is>
      </c>
      <c r="AI165" s="2" t="inlineStr"/>
      <c r="AJ165" s="2" t="inlineStr">
        <is>
          <t>{"template_sheet": "Balance Sheet", "template_row": 154, "template_cell": "B154", "template_value_or_formula": 48, "calculation_type": "reported_input", "dependencies": [], "source_template": "Copy of Output_CSV Template.xlsx"}</t>
        </is>
      </c>
    </row>
    <row r="166">
      <c r="A166" s="2" t="inlineStr">
        <is>
          <t>bs_ncl__trade_and_other_payables_ltp</t>
        </is>
      </c>
      <c r="B166" s="2" t="inlineStr">
        <is>
          <t>Trade and other payables(LTP)</t>
        </is>
      </c>
      <c r="C166" s="2" t="inlineStr">
        <is>
          <t>bs_ncl</t>
        </is>
      </c>
      <c r="D166" s="2" t="inlineStr">
        <is>
          <t>Extract the reported value for 'Trade and other payables(LTP)' from the stated section. Do not calculate or replace it from other rows, because the revised template does not designate this field as formula-driven.</t>
        </is>
      </c>
      <c r="E166" s="2" t="inlineStr">
        <is>
          <t>Trade and other payables(LTP)</t>
        </is>
      </c>
      <c r="F166" s="2" t="inlineStr">
        <is>
          <t>Trade and other payables(LTP)</t>
        </is>
      </c>
      <c r="G166" s="2" t="inlineStr">
        <is>
          <t>^Trade\s+and\s+other\s+payables\(LTP\)$</t>
        </is>
      </c>
      <c r="H166" s="2" t="inlineStr"/>
      <c r="I166" s="2" t="inlineStr">
        <is>
          <t>Amounts or disclosures explicitly reported for Trade and other payables(LTP) in Balance Sheet / bs_ncl.</t>
        </is>
      </c>
      <c r="J166" s="2" t="inlineStr">
        <is>
          <t>Do not substitute another section, period, entity scope, currency or unit; do not double count a parent and its children.</t>
        </is>
      </c>
      <c r="K166" s="2" t="inlineStr"/>
      <c r="L166" s="2" t="inlineStr">
        <is>
          <t>as_reported</t>
        </is>
      </c>
      <c r="M166" s="2" t="inlineStr">
        <is>
          <t>direct_exclusive</t>
        </is>
      </c>
      <c r="N166" s="2" t="n">
        <v>90</v>
      </c>
      <c r="O166" s="2" t="inlineStr">
        <is>
          <t>normalized_exact_then_regex</t>
        </is>
      </c>
      <c r="P166" s="3" t="inlineStr">
        <is>
          <t>extract</t>
        </is>
      </c>
      <c r="Q166" s="2" t="inlineStr">
        <is>
          <t>currency_amount</t>
        </is>
      </c>
      <c r="R166" s="2" t="inlineStr">
        <is>
          <t>period_end</t>
        </is>
      </c>
      <c r="S166" s="2" t="inlineStr">
        <is>
          <t>allowed_with_provenance</t>
        </is>
      </c>
      <c r="T166" s="2" t="b">
        <v>0</v>
      </c>
      <c r="U166" s="2" t="b">
        <v>0</v>
      </c>
      <c r="V166" s="2" t="inlineStr"/>
      <c r="W166" s="2" t="inlineStr"/>
      <c r="X166" s="2" t="inlineStr">
        <is>
          <t>Decompose only from explicit face or note evidence; never fabricate a split.</t>
        </is>
      </c>
      <c r="Y166" s="2" t="inlineStr">
        <is>
          <t>Aggregate only mutually exclusive facts with identical period, scope, currency and unit.</t>
        </is>
      </c>
      <c r="Z166" s="2" t="inlineStr">
        <is>
          <t>Bind only to Balance Sheet / bs_ncl.</t>
        </is>
      </c>
      <c r="AA166" s="2" t="inlineStr"/>
      <c r="AB166" s="2" t="b">
        <v>1</v>
      </c>
      <c r="AC166" s="2" t="inlineStr"/>
      <c r="AD166" s="2" t="inlineStr">
        <is>
          <t>Exact field from Balance Sheet!A155; value cell B155.</t>
        </is>
      </c>
      <c r="AE166" s="2" t="inlineStr">
        <is>
          <t>Notes may support direct extraction or decomposition with provenance. Formula outputs must be derived only from template dependencies.</t>
        </is>
      </c>
      <c r="AF166" s="2" t="inlineStr"/>
      <c r="AG166" s="2" t="inlineStr">
        <is>
          <t>[]</t>
        </is>
      </c>
      <c r="AH166" s="2" t="inlineStr">
        <is>
          <t>Trade and other payables(LTP)</t>
        </is>
      </c>
      <c r="AI166" s="2" t="inlineStr"/>
      <c r="AJ166" s="2" t="inlineStr">
        <is>
          <t>{"template_sheet": "Balance Sheet", "template_row": 155, "template_cell": "B155", "template_value_or_formula": 22, "calculation_type": "reported_input", "dependencies": [], "source_template": "Copy of Output_CSV Template.xlsx"}</t>
        </is>
      </c>
    </row>
    <row r="167">
      <c r="A167" s="2" t="inlineStr">
        <is>
          <t>bs_ncl__trade_payables_ltp</t>
        </is>
      </c>
      <c r="B167" s="2" t="inlineStr">
        <is>
          <t>Trade Payables(LTP)</t>
        </is>
      </c>
      <c r="C167" s="2" t="inlineStr">
        <is>
          <t>bs_ncl</t>
        </is>
      </c>
      <c r="D167" s="2" t="inlineStr">
        <is>
          <t>Extract the reported value for 'Trade Payables(LTP)' from the stated section. Do not calculate or replace it from other rows, because the revised template does not designate this field as formula-driven.</t>
        </is>
      </c>
      <c r="E167" s="2" t="inlineStr">
        <is>
          <t>Trade Payables(LTP)</t>
        </is>
      </c>
      <c r="F167" s="2" t="inlineStr">
        <is>
          <t>Trade Payables(LTP)</t>
        </is>
      </c>
      <c r="G167" s="2" t="inlineStr">
        <is>
          <t>^Trade\s+Payables\(LTP\)$</t>
        </is>
      </c>
      <c r="H167" s="2" t="inlineStr"/>
      <c r="I167" s="2" t="inlineStr">
        <is>
          <t>Amounts or disclosures explicitly reported for Trade Payables(LTP) in Balance Sheet / bs_ncl.</t>
        </is>
      </c>
      <c r="J167" s="2" t="inlineStr">
        <is>
          <t>Do not substitute another section, period, entity scope, currency or unit; do not double count a parent and its children.</t>
        </is>
      </c>
      <c r="K167" s="2" t="inlineStr"/>
      <c r="L167" s="2" t="inlineStr">
        <is>
          <t>as_reported</t>
        </is>
      </c>
      <c r="M167" s="2" t="inlineStr">
        <is>
          <t>direct_exclusive</t>
        </is>
      </c>
      <c r="N167" s="2" t="n">
        <v>90</v>
      </c>
      <c r="O167" s="2" t="inlineStr">
        <is>
          <t>normalized_exact_then_regex</t>
        </is>
      </c>
      <c r="P167" s="3" t="inlineStr">
        <is>
          <t>extract</t>
        </is>
      </c>
      <c r="Q167" s="2" t="inlineStr">
        <is>
          <t>currency_amount</t>
        </is>
      </c>
      <c r="R167" s="2" t="inlineStr">
        <is>
          <t>period_end</t>
        </is>
      </c>
      <c r="S167" s="2" t="inlineStr">
        <is>
          <t>allowed_with_provenance</t>
        </is>
      </c>
      <c r="T167" s="2" t="b">
        <v>0</v>
      </c>
      <c r="U167" s="2" t="b">
        <v>0</v>
      </c>
      <c r="V167" s="2" t="inlineStr"/>
      <c r="W167" s="2" t="inlineStr"/>
      <c r="X167" s="2" t="inlineStr">
        <is>
          <t>Decompose only from explicit face or note evidence; never fabricate a split.</t>
        </is>
      </c>
      <c r="Y167" s="2" t="inlineStr">
        <is>
          <t>Aggregate only mutually exclusive facts with identical period, scope, currency and unit.</t>
        </is>
      </c>
      <c r="Z167" s="2" t="inlineStr">
        <is>
          <t>Bind only to Balance Sheet / bs_ncl.</t>
        </is>
      </c>
      <c r="AA167" s="2" t="inlineStr"/>
      <c r="AB167" s="2" t="b">
        <v>1</v>
      </c>
      <c r="AC167" s="2" t="inlineStr"/>
      <c r="AD167" s="2" t="inlineStr">
        <is>
          <t>Exact field from Balance Sheet!A156; value cell B156.</t>
        </is>
      </c>
      <c r="AE167" s="2" t="inlineStr">
        <is>
          <t>Notes may support direct extraction or decomposition with provenance. Formula outputs must be derived only from template dependencies.</t>
        </is>
      </c>
      <c r="AF167" s="2" t="inlineStr"/>
      <c r="AG167" s="2" t="inlineStr">
        <is>
          <t>[]</t>
        </is>
      </c>
      <c r="AH167" s="2" t="inlineStr">
        <is>
          <t>Trade Payables(LTP)</t>
        </is>
      </c>
      <c r="AI167" s="2" t="inlineStr"/>
      <c r="AJ167" s="2" t="inlineStr">
        <is>
          <t>{"template_sheet": "Balance Sheet", "template_row": 156, "template_cell": "B156", "template_value_or_formula": 39, "calculation_type": "reported_input", "dependencies": [], "source_template": "Copy of Output_CSV Template.xlsx"}</t>
        </is>
      </c>
    </row>
    <row r="168">
      <c r="A168" s="2" t="inlineStr">
        <is>
          <t>bs_ncl__soc_sec_and_other_taxes_ltp</t>
        </is>
      </c>
      <c r="B168" s="2" t="inlineStr">
        <is>
          <t>Soc Sec &amp; Other Taxes(LTP)</t>
        </is>
      </c>
      <c r="C168" s="2" t="inlineStr">
        <is>
          <t>bs_ncl</t>
        </is>
      </c>
      <c r="D168" s="2" t="inlineStr">
        <is>
          <t>Extract the reported value for 'Soc Sec &amp; Other Taxes(LTP)' from the stated section. Do not calculate or replace it from other rows, because the revised template does not designate this field as formula-driven.</t>
        </is>
      </c>
      <c r="E168" s="2" t="inlineStr">
        <is>
          <t>Soc Sec &amp; Other Taxes(LTP)</t>
        </is>
      </c>
      <c r="F168" s="2" t="inlineStr">
        <is>
          <t>Soc Sec &amp; Other Taxes(LTP)</t>
        </is>
      </c>
      <c r="G168" s="2" t="inlineStr">
        <is>
          <t>^Soc\s+Sec\s+\&amp;\s+Other\s+Taxes\(LTP\)$</t>
        </is>
      </c>
      <c r="H168" s="2" t="inlineStr"/>
      <c r="I168" s="2" t="inlineStr">
        <is>
          <t>Amounts or disclosures explicitly reported for Soc Sec &amp; Other Taxes(LTP) in Balance Sheet / bs_ncl.</t>
        </is>
      </c>
      <c r="J168" s="2" t="inlineStr">
        <is>
          <t>Do not substitute another section, period, entity scope, currency or unit; do not double count a parent and its children.</t>
        </is>
      </c>
      <c r="K168" s="2" t="inlineStr"/>
      <c r="L168" s="2" t="inlineStr">
        <is>
          <t>as_reported</t>
        </is>
      </c>
      <c r="M168" s="2" t="inlineStr">
        <is>
          <t>direct_exclusive</t>
        </is>
      </c>
      <c r="N168" s="2" t="n">
        <v>90</v>
      </c>
      <c r="O168" s="2" t="inlineStr">
        <is>
          <t>normalized_exact_then_regex</t>
        </is>
      </c>
      <c r="P168" s="3" t="inlineStr">
        <is>
          <t>extract</t>
        </is>
      </c>
      <c r="Q168" s="2" t="inlineStr">
        <is>
          <t>currency_amount</t>
        </is>
      </c>
      <c r="R168" s="2" t="inlineStr">
        <is>
          <t>period_end</t>
        </is>
      </c>
      <c r="S168" s="2" t="inlineStr">
        <is>
          <t>allowed_with_provenance</t>
        </is>
      </c>
      <c r="T168" s="2" t="b">
        <v>0</v>
      </c>
      <c r="U168" s="2" t="b">
        <v>0</v>
      </c>
      <c r="V168" s="2" t="inlineStr"/>
      <c r="W168" s="2" t="inlineStr"/>
      <c r="X168" s="2" t="inlineStr">
        <is>
          <t>Decompose only from explicit face or note evidence; never fabricate a split.</t>
        </is>
      </c>
      <c r="Y168" s="2" t="inlineStr">
        <is>
          <t>Aggregate only mutually exclusive facts with identical period, scope, currency and unit.</t>
        </is>
      </c>
      <c r="Z168" s="2" t="inlineStr">
        <is>
          <t>Bind only to Balance Sheet / bs_ncl.</t>
        </is>
      </c>
      <c r="AA168" s="2" t="inlineStr"/>
      <c r="AB168" s="2" t="b">
        <v>1</v>
      </c>
      <c r="AC168" s="2" t="inlineStr"/>
      <c r="AD168" s="2" t="inlineStr">
        <is>
          <t>Exact field from Balance Sheet!A157; value cell B157.</t>
        </is>
      </c>
      <c r="AE168" s="2" t="inlineStr">
        <is>
          <t>Notes may support direct extraction or decomposition with provenance. Formula outputs must be derived only from template dependencies.</t>
        </is>
      </c>
      <c r="AF168" s="2" t="inlineStr"/>
      <c r="AG168" s="2" t="inlineStr">
        <is>
          <t>[]</t>
        </is>
      </c>
      <c r="AH168" s="2" t="inlineStr">
        <is>
          <t>Soc Sec &amp; Other Taxes(LTP)</t>
        </is>
      </c>
      <c r="AI168" s="2" t="inlineStr"/>
      <c r="AJ168" s="2" t="inlineStr">
        <is>
          <t>{"template_sheet": "Balance Sheet", "template_row": 157, "template_cell": "B157", "template_value_or_formula": 13, "calculation_type": "reported_input", "dependencies": [], "source_template": "Copy of Output_CSV Template.xlsx"}</t>
        </is>
      </c>
    </row>
    <row r="169">
      <c r="A169" s="2" t="inlineStr">
        <is>
          <t>bs_ncl__decomm_and_envir_costs_ltp</t>
        </is>
      </c>
      <c r="B169" s="2" t="inlineStr">
        <is>
          <t>Decomm &amp; Envir Costs(LTP)</t>
        </is>
      </c>
      <c r="C169" s="2" t="inlineStr">
        <is>
          <t>bs_ncl</t>
        </is>
      </c>
      <c r="D169" s="2" t="inlineStr">
        <is>
          <t>Extract the reported value for 'Decomm &amp; Envir Costs(LTP)' from the stated section. Do not calculate or replace it from other rows, because the revised template does not designate this field as formula-driven.</t>
        </is>
      </c>
      <c r="E169" s="2" t="inlineStr">
        <is>
          <t>Decomm &amp; Envir Costs(LTP)</t>
        </is>
      </c>
      <c r="F169" s="2" t="inlineStr">
        <is>
          <t>Decomm &amp; Envir Costs(LTP)</t>
        </is>
      </c>
      <c r="G169" s="2" t="inlineStr">
        <is>
          <t>^Decomm\s+\&amp;\s+Envir\s+Costs\(LTP\)$</t>
        </is>
      </c>
      <c r="H169" s="2" t="inlineStr"/>
      <c r="I169" s="2" t="inlineStr">
        <is>
          <t>Amounts or disclosures explicitly reported for Decomm &amp; Envir Costs(LTP) in Balance Sheet / bs_ncl.</t>
        </is>
      </c>
      <c r="J169" s="2" t="inlineStr">
        <is>
          <t>Do not substitute another section, period, entity scope, currency or unit; do not double count a parent and its children.</t>
        </is>
      </c>
      <c r="K169" s="2" t="inlineStr"/>
      <c r="L169" s="2" t="inlineStr">
        <is>
          <t>as_reported</t>
        </is>
      </c>
      <c r="M169" s="2" t="inlineStr">
        <is>
          <t>direct_exclusive</t>
        </is>
      </c>
      <c r="N169" s="2" t="n">
        <v>90</v>
      </c>
      <c r="O169" s="2" t="inlineStr">
        <is>
          <t>normalized_exact_then_regex</t>
        </is>
      </c>
      <c r="P169" s="3" t="inlineStr">
        <is>
          <t>extract</t>
        </is>
      </c>
      <c r="Q169" s="2" t="inlineStr">
        <is>
          <t>currency_amount</t>
        </is>
      </c>
      <c r="R169" s="2" t="inlineStr">
        <is>
          <t>period_end</t>
        </is>
      </c>
      <c r="S169" s="2" t="inlineStr">
        <is>
          <t>allowed_with_provenance</t>
        </is>
      </c>
      <c r="T169" s="2" t="b">
        <v>0</v>
      </c>
      <c r="U169" s="2" t="b">
        <v>0</v>
      </c>
      <c r="V169" s="2" t="inlineStr"/>
      <c r="W169" s="2" t="inlineStr"/>
      <c r="X169" s="2" t="inlineStr">
        <is>
          <t>Decompose only from explicit face or note evidence; never fabricate a split.</t>
        </is>
      </c>
      <c r="Y169" s="2" t="inlineStr">
        <is>
          <t>Aggregate only mutually exclusive facts with identical period, scope, currency and unit.</t>
        </is>
      </c>
      <c r="Z169" s="2" t="inlineStr">
        <is>
          <t>Bind only to Balance Sheet / bs_ncl.</t>
        </is>
      </c>
      <c r="AA169" s="2" t="inlineStr"/>
      <c r="AB169" s="2" t="b">
        <v>1</v>
      </c>
      <c r="AC169" s="2" t="inlineStr"/>
      <c r="AD169" s="2" t="inlineStr">
        <is>
          <t>Exact field from Balance Sheet!A158; value cell B158.</t>
        </is>
      </c>
      <c r="AE169" s="2" t="inlineStr">
        <is>
          <t>Notes may support direct extraction or decomposition with provenance. Formula outputs must be derived only from template dependencies.</t>
        </is>
      </c>
      <c r="AF169" s="2" t="inlineStr"/>
      <c r="AG169" s="2" t="inlineStr">
        <is>
          <t>[]</t>
        </is>
      </c>
      <c r="AH169" s="2" t="inlineStr">
        <is>
          <t>Decomm &amp; Envir Costs(LTP)</t>
        </is>
      </c>
      <c r="AI169" s="2" t="inlineStr"/>
      <c r="AJ169" s="2" t="inlineStr">
        <is>
          <t>{"template_sheet": "Balance Sheet", "template_row": 158, "template_cell": "B158", "template_value_or_formula": 30, "calculation_type": "reported_input", "dependencies": [], "source_template": "Copy of Output_CSV Template.xlsx"}</t>
        </is>
      </c>
    </row>
    <row r="170">
      <c r="A170" s="2" t="inlineStr">
        <is>
          <t>bs_ncl__share_option_costs_ltp</t>
        </is>
      </c>
      <c r="B170" s="2" t="inlineStr">
        <is>
          <t>Share Option Costs(LTP)</t>
        </is>
      </c>
      <c r="C170" s="2" t="inlineStr">
        <is>
          <t>bs_ncl</t>
        </is>
      </c>
      <c r="D170" s="2" t="inlineStr">
        <is>
          <t>Extract the reported value for 'Share Option Costs(LTP)' from the stated section. Do not calculate or replace it from other rows, because the revised template does not designate this field as formula-driven.</t>
        </is>
      </c>
      <c r="E170" s="2" t="inlineStr">
        <is>
          <t>Share Option Costs(LTP)</t>
        </is>
      </c>
      <c r="F170" s="2" t="inlineStr">
        <is>
          <t>Share Option Costs(LTP)</t>
        </is>
      </c>
      <c r="G170" s="2" t="inlineStr">
        <is>
          <t>^Share\s+Option\s+Costs\(LTP\)$</t>
        </is>
      </c>
      <c r="H170" s="2" t="inlineStr"/>
      <c r="I170" s="2" t="inlineStr">
        <is>
          <t>Amounts or disclosures explicitly reported for Share Option Costs(LTP) in Balance Sheet / bs_ncl.</t>
        </is>
      </c>
      <c r="J170" s="2" t="inlineStr">
        <is>
          <t>Do not substitute another section, period, entity scope, currency or unit; do not double count a parent and its children.</t>
        </is>
      </c>
      <c r="K170" s="2" t="inlineStr"/>
      <c r="L170" s="2" t="inlineStr">
        <is>
          <t>as_reported</t>
        </is>
      </c>
      <c r="M170" s="2" t="inlineStr">
        <is>
          <t>direct_exclusive</t>
        </is>
      </c>
      <c r="N170" s="2" t="n">
        <v>90</v>
      </c>
      <c r="O170" s="2" t="inlineStr">
        <is>
          <t>normalized_exact_then_regex</t>
        </is>
      </c>
      <c r="P170" s="3" t="inlineStr">
        <is>
          <t>extract</t>
        </is>
      </c>
      <c r="Q170" s="2" t="inlineStr">
        <is>
          <t>currency_amount</t>
        </is>
      </c>
      <c r="R170" s="2" t="inlineStr">
        <is>
          <t>period_end</t>
        </is>
      </c>
      <c r="S170" s="2" t="inlineStr">
        <is>
          <t>allowed_with_provenance</t>
        </is>
      </c>
      <c r="T170" s="2" t="b">
        <v>0</v>
      </c>
      <c r="U170" s="2" t="b">
        <v>0</v>
      </c>
      <c r="V170" s="2" t="inlineStr"/>
      <c r="W170" s="2" t="inlineStr"/>
      <c r="X170" s="2" t="inlineStr">
        <is>
          <t>Decompose only from explicit face or note evidence; never fabricate a split.</t>
        </is>
      </c>
      <c r="Y170" s="2" t="inlineStr">
        <is>
          <t>Aggregate only mutually exclusive facts with identical period, scope, currency and unit.</t>
        </is>
      </c>
      <c r="Z170" s="2" t="inlineStr">
        <is>
          <t>Bind only to Balance Sheet / bs_ncl.</t>
        </is>
      </c>
      <c r="AA170" s="2" t="inlineStr"/>
      <c r="AB170" s="2" t="b">
        <v>1</v>
      </c>
      <c r="AC170" s="2" t="inlineStr"/>
      <c r="AD170" s="2" t="inlineStr">
        <is>
          <t>Exact field from Balance Sheet!A159; value cell B159.</t>
        </is>
      </c>
      <c r="AE170" s="2" t="inlineStr">
        <is>
          <t>Notes may support direct extraction or decomposition with provenance. Formula outputs must be derived only from template dependencies.</t>
        </is>
      </c>
      <c r="AF170" s="2" t="inlineStr"/>
      <c r="AG170" s="2" t="inlineStr">
        <is>
          <t>[]</t>
        </is>
      </c>
      <c r="AH170" s="2" t="inlineStr">
        <is>
          <t>Share Option Costs(LTP)</t>
        </is>
      </c>
      <c r="AI170" s="2" t="inlineStr"/>
      <c r="AJ170" s="2" t="inlineStr">
        <is>
          <t>{"template_sheet": "Balance Sheet", "template_row": 159, "template_cell": "B159", "template_value_or_formula": 47, "calculation_type": "reported_input", "dependencies": [], "source_template": "Copy of Output_CSV Template.xlsx"}</t>
        </is>
      </c>
    </row>
    <row r="171">
      <c r="A171" s="2" t="inlineStr">
        <is>
          <t>bs_ncl__retirement_benefits_ltp</t>
        </is>
      </c>
      <c r="B171" s="2" t="inlineStr">
        <is>
          <t>Retirement Benefits(LTP)</t>
        </is>
      </c>
      <c r="C171" s="2" t="inlineStr">
        <is>
          <t>bs_ncl</t>
        </is>
      </c>
      <c r="D171" s="2" t="inlineStr">
        <is>
          <t>Extract the reported value for 'Retirement Benefits(LTP)' from the stated section. Do not calculate or replace it from other rows, because the revised template does not designate this field as formula-driven.</t>
        </is>
      </c>
      <c r="E171" s="2" t="inlineStr">
        <is>
          <t>Retirement Benefits(LTP)</t>
        </is>
      </c>
      <c r="F171" s="2" t="inlineStr">
        <is>
          <t>Retirement Benefits(LTP)</t>
        </is>
      </c>
      <c r="G171" s="2" t="inlineStr">
        <is>
          <t>^Retirement\s+Benefits\(LTP\)$</t>
        </is>
      </c>
      <c r="H171" s="2" t="inlineStr"/>
      <c r="I171" s="2" t="inlineStr">
        <is>
          <t>Amounts or disclosures explicitly reported for Retirement Benefits(LTP) in Balance Sheet / bs_ncl.</t>
        </is>
      </c>
      <c r="J171" s="2" t="inlineStr">
        <is>
          <t>Do not substitute another section, period, entity scope, currency or unit; do not double count a parent and its children.</t>
        </is>
      </c>
      <c r="K171" s="2" t="inlineStr"/>
      <c r="L171" s="2" t="inlineStr">
        <is>
          <t>as_reported</t>
        </is>
      </c>
      <c r="M171" s="2" t="inlineStr">
        <is>
          <t>direct_exclusive</t>
        </is>
      </c>
      <c r="N171" s="2" t="n">
        <v>90</v>
      </c>
      <c r="O171" s="2" t="inlineStr">
        <is>
          <t>normalized_exact_then_regex</t>
        </is>
      </c>
      <c r="P171" s="3" t="inlineStr">
        <is>
          <t>extract</t>
        </is>
      </c>
      <c r="Q171" s="2" t="inlineStr">
        <is>
          <t>currency_amount</t>
        </is>
      </c>
      <c r="R171" s="2" t="inlineStr">
        <is>
          <t>period_end</t>
        </is>
      </c>
      <c r="S171" s="2" t="inlineStr">
        <is>
          <t>allowed_with_provenance</t>
        </is>
      </c>
      <c r="T171" s="2" t="b">
        <v>0</v>
      </c>
      <c r="U171" s="2" t="b">
        <v>0</v>
      </c>
      <c r="V171" s="2" t="inlineStr"/>
      <c r="W171" s="2" t="inlineStr"/>
      <c r="X171" s="2" t="inlineStr">
        <is>
          <t>Decompose only from explicit face or note evidence; never fabricate a split.</t>
        </is>
      </c>
      <c r="Y171" s="2" t="inlineStr">
        <is>
          <t>Aggregate only mutually exclusive facts with identical period, scope, currency and unit.</t>
        </is>
      </c>
      <c r="Z171" s="2" t="inlineStr">
        <is>
          <t>Bind only to Balance Sheet / bs_ncl.</t>
        </is>
      </c>
      <c r="AA171" s="2" t="inlineStr"/>
      <c r="AB171" s="2" t="b">
        <v>1</v>
      </c>
      <c r="AC171" s="2" t="inlineStr"/>
      <c r="AD171" s="2" t="inlineStr">
        <is>
          <t>Exact field from Balance Sheet!A160; value cell B160.</t>
        </is>
      </c>
      <c r="AE171" s="2" t="inlineStr">
        <is>
          <t>Notes may support direct extraction or decomposition with provenance. Formula outputs must be derived only from template dependencies.</t>
        </is>
      </c>
      <c r="AF171" s="2" t="inlineStr"/>
      <c r="AG171" s="2" t="inlineStr">
        <is>
          <t>[]</t>
        </is>
      </c>
      <c r="AH171" s="2" t="inlineStr">
        <is>
          <t>Retirement Benefits(LTP)</t>
        </is>
      </c>
      <c r="AI171" s="2" t="inlineStr"/>
      <c r="AJ171" s="2" t="inlineStr">
        <is>
          <t>{"template_sheet": "Balance Sheet", "template_row": 160, "template_cell": "B160", "template_value_or_formula": 21, "calculation_type": "reported_input", "dependencies": [], "source_template": "Copy of Output_CSV Template.xlsx"}</t>
        </is>
      </c>
    </row>
    <row r="172">
      <c r="A172" s="2" t="inlineStr">
        <is>
          <t>bs_ncl__deferred_tax_liability</t>
        </is>
      </c>
      <c r="B172" s="2" t="inlineStr">
        <is>
          <t>Deferred Tax Liability</t>
        </is>
      </c>
      <c r="C172" s="2" t="inlineStr">
        <is>
          <t>bs_ncl</t>
        </is>
      </c>
      <c r="D172" s="2" t="inlineStr">
        <is>
          <t>Extract the reported value for 'Deferred Tax Liability' from the stated section. Do not calculate or replace it from other rows, because the revised template does not designate this field as formula-driven.</t>
        </is>
      </c>
      <c r="E172" s="2" t="inlineStr">
        <is>
          <t>Deferred Tax Liability</t>
        </is>
      </c>
      <c r="F172" s="2" t="inlineStr">
        <is>
          <t>Deferred Tax Liability</t>
        </is>
      </c>
      <c r="G172" s="2" t="inlineStr">
        <is>
          <t>^Deferred\s+Tax\s+Liability$</t>
        </is>
      </c>
      <c r="H172" s="2" t="inlineStr"/>
      <c r="I172" s="2" t="inlineStr">
        <is>
          <t>Amounts or disclosures explicitly reported for Deferred Tax Liability in Balance Sheet / bs_ncl.</t>
        </is>
      </c>
      <c r="J172" s="2" t="inlineStr">
        <is>
          <t>Do not substitute another section, period, entity scope, currency or unit; do not double count a parent and its children.</t>
        </is>
      </c>
      <c r="K172" s="2" t="inlineStr"/>
      <c r="L172" s="2" t="inlineStr">
        <is>
          <t>as_reported</t>
        </is>
      </c>
      <c r="M172" s="2" t="inlineStr">
        <is>
          <t>direct_exclusive</t>
        </is>
      </c>
      <c r="N172" s="2" t="n">
        <v>90</v>
      </c>
      <c r="O172" s="2" t="inlineStr">
        <is>
          <t>normalized_exact_then_regex</t>
        </is>
      </c>
      <c r="P172" s="3" t="inlineStr">
        <is>
          <t>extract</t>
        </is>
      </c>
      <c r="Q172" s="2" t="inlineStr">
        <is>
          <t>currency_amount</t>
        </is>
      </c>
      <c r="R172" s="2" t="inlineStr">
        <is>
          <t>period_end</t>
        </is>
      </c>
      <c r="S172" s="2" t="inlineStr">
        <is>
          <t>allowed_with_provenance</t>
        </is>
      </c>
      <c r="T172" s="2" t="b">
        <v>0</v>
      </c>
      <c r="U172" s="2" t="b">
        <v>0</v>
      </c>
      <c r="V172" s="2" t="inlineStr"/>
      <c r="W172" s="2" t="inlineStr"/>
      <c r="X172" s="2" t="inlineStr">
        <is>
          <t>Decompose only from explicit face or note evidence; never fabricate a split.</t>
        </is>
      </c>
      <c r="Y172" s="2" t="inlineStr">
        <is>
          <t>Aggregate only mutually exclusive facts with identical period, scope, currency and unit.</t>
        </is>
      </c>
      <c r="Z172" s="2" t="inlineStr">
        <is>
          <t>Bind only to Balance Sheet / bs_ncl.</t>
        </is>
      </c>
      <c r="AA172" s="2" t="inlineStr"/>
      <c r="AB172" s="2" t="b">
        <v>1</v>
      </c>
      <c r="AC172" s="2" t="inlineStr"/>
      <c r="AD172" s="2" t="inlineStr">
        <is>
          <t>Exact field from Balance Sheet!A161; value cell B161.</t>
        </is>
      </c>
      <c r="AE172" s="2" t="inlineStr">
        <is>
          <t>Notes may support direct extraction or decomposition with provenance. Formula outputs must be derived only from template dependencies.</t>
        </is>
      </c>
      <c r="AF172" s="2" t="inlineStr"/>
      <c r="AG172" s="2" t="inlineStr">
        <is>
          <t>[]</t>
        </is>
      </c>
      <c r="AH172" s="2" t="inlineStr">
        <is>
          <t>Deferred Tax Liability</t>
        </is>
      </c>
      <c r="AI172" s="2" t="inlineStr"/>
      <c r="AJ172" s="2" t="inlineStr">
        <is>
          <t>{"template_sheet": "Balance Sheet", "template_row": 161, "template_cell": "B161", "template_value_or_formula": 38, "calculation_type": "reported_input", "dependencies": [], "source_template": "Copy of Output_CSV Template.xlsx"}</t>
        </is>
      </c>
    </row>
    <row r="173">
      <c r="A173" s="2" t="inlineStr">
        <is>
          <t>bs_ncl__restruct_provision_ltp</t>
        </is>
      </c>
      <c r="B173" s="2" t="inlineStr">
        <is>
          <t>Restruct Provision(LTP)</t>
        </is>
      </c>
      <c r="C173" s="2" t="inlineStr">
        <is>
          <t>bs_ncl</t>
        </is>
      </c>
      <c r="D173" s="2" t="inlineStr">
        <is>
          <t>Extract the reported value for 'Restruct Provision(LTP)' from the stated section. Do not calculate or replace it from other rows, because the revised template does not designate this field as formula-driven.</t>
        </is>
      </c>
      <c r="E173" s="2" t="inlineStr">
        <is>
          <t>Restruct Provision(LTP)</t>
        </is>
      </c>
      <c r="F173" s="2" t="inlineStr">
        <is>
          <t>Restruct Provision(LTP)</t>
        </is>
      </c>
      <c r="G173" s="2" t="inlineStr">
        <is>
          <t>^Restruct\s+Provision\(LTP\)$</t>
        </is>
      </c>
      <c r="H173" s="2" t="inlineStr"/>
      <c r="I173" s="2" t="inlineStr">
        <is>
          <t>Amounts or disclosures explicitly reported for Restruct Provision(LTP) in Balance Sheet / bs_ncl.</t>
        </is>
      </c>
      <c r="J173" s="2" t="inlineStr">
        <is>
          <t>Do not substitute another section, period, entity scope, currency or unit; do not double count a parent and its children.</t>
        </is>
      </c>
      <c r="K173" s="2" t="inlineStr"/>
      <c r="L173" s="2" t="inlineStr">
        <is>
          <t>as_reported</t>
        </is>
      </c>
      <c r="M173" s="2" t="inlineStr">
        <is>
          <t>direct_exclusive</t>
        </is>
      </c>
      <c r="N173" s="2" t="n">
        <v>90</v>
      </c>
      <c r="O173" s="2" t="inlineStr">
        <is>
          <t>normalized_exact_then_regex</t>
        </is>
      </c>
      <c r="P173" s="3" t="inlineStr">
        <is>
          <t>extract</t>
        </is>
      </c>
      <c r="Q173" s="2" t="inlineStr">
        <is>
          <t>currency_amount</t>
        </is>
      </c>
      <c r="R173" s="2" t="inlineStr">
        <is>
          <t>period_end</t>
        </is>
      </c>
      <c r="S173" s="2" t="inlineStr">
        <is>
          <t>allowed_with_provenance</t>
        </is>
      </c>
      <c r="T173" s="2" t="b">
        <v>0</v>
      </c>
      <c r="U173" s="2" t="b">
        <v>0</v>
      </c>
      <c r="V173" s="2" t="inlineStr"/>
      <c r="W173" s="2" t="inlineStr"/>
      <c r="X173" s="2" t="inlineStr">
        <is>
          <t>Decompose only from explicit face or note evidence; never fabricate a split.</t>
        </is>
      </c>
      <c r="Y173" s="2" t="inlineStr">
        <is>
          <t>Aggregate only mutually exclusive facts with identical period, scope, currency and unit.</t>
        </is>
      </c>
      <c r="Z173" s="2" t="inlineStr">
        <is>
          <t>Bind only to Balance Sheet / bs_ncl.</t>
        </is>
      </c>
      <c r="AA173" s="2" t="inlineStr"/>
      <c r="AB173" s="2" t="b">
        <v>1</v>
      </c>
      <c r="AC173" s="2" t="inlineStr"/>
      <c r="AD173" s="2" t="inlineStr">
        <is>
          <t>Exact field from Balance Sheet!A162; value cell B162.</t>
        </is>
      </c>
      <c r="AE173" s="2" t="inlineStr">
        <is>
          <t>Notes may support direct extraction or decomposition with provenance. Formula outputs must be derived only from template dependencies.</t>
        </is>
      </c>
      <c r="AF173" s="2" t="inlineStr"/>
      <c r="AG173" s="2" t="inlineStr">
        <is>
          <t>[]</t>
        </is>
      </c>
      <c r="AH173" s="2" t="inlineStr">
        <is>
          <t>Restruct Provision(LTP)</t>
        </is>
      </c>
      <c r="AI173" s="2" t="inlineStr"/>
      <c r="AJ173" s="2" t="inlineStr">
        <is>
          <t>{"template_sheet": "Balance Sheet", "template_row": 162, "template_cell": "B162", "template_value_or_formula": 12, "calculation_type": "reported_input", "dependencies": [], "source_template": "Copy of Output_CSV Template.xlsx"}</t>
        </is>
      </c>
    </row>
    <row r="174">
      <c r="A174" s="2" t="inlineStr">
        <is>
          <t>bs_ncl__tax_provision_ltp</t>
        </is>
      </c>
      <c r="B174" s="2" t="inlineStr">
        <is>
          <t>Tax Provision(LTP)</t>
        </is>
      </c>
      <c r="C174" s="2" t="inlineStr">
        <is>
          <t>bs_ncl</t>
        </is>
      </c>
      <c r="D174" s="2" t="inlineStr">
        <is>
          <t>Extract the reported value for 'Tax Provision(LTP)' from the stated section. Do not calculate or replace it from other rows, because the revised template does not designate this field as formula-driven.</t>
        </is>
      </c>
      <c r="E174" s="2" t="inlineStr">
        <is>
          <t>Tax Provision(LTP)</t>
        </is>
      </c>
      <c r="F174" s="2" t="inlineStr">
        <is>
          <t>Tax Provision(LTP)</t>
        </is>
      </c>
      <c r="G174" s="2" t="inlineStr">
        <is>
          <t>^Tax\s+Provision\(LTP\)$</t>
        </is>
      </c>
      <c r="H174" s="2" t="inlineStr"/>
      <c r="I174" s="2" t="inlineStr">
        <is>
          <t>Amounts or disclosures explicitly reported for Tax Provision(LTP) in Balance Sheet / bs_ncl.</t>
        </is>
      </c>
      <c r="J174" s="2" t="inlineStr">
        <is>
          <t>Do not substitute another section, period, entity scope, currency or unit; do not double count a parent and its children.</t>
        </is>
      </c>
      <c r="K174" s="2" t="inlineStr"/>
      <c r="L174" s="2" t="inlineStr">
        <is>
          <t>as_reported</t>
        </is>
      </c>
      <c r="M174" s="2" t="inlineStr">
        <is>
          <t>direct_exclusive</t>
        </is>
      </c>
      <c r="N174" s="2" t="n">
        <v>90</v>
      </c>
      <c r="O174" s="2" t="inlineStr">
        <is>
          <t>normalized_exact_then_regex</t>
        </is>
      </c>
      <c r="P174" s="3" t="inlineStr">
        <is>
          <t>extract</t>
        </is>
      </c>
      <c r="Q174" s="2" t="inlineStr">
        <is>
          <t>currency_amount</t>
        </is>
      </c>
      <c r="R174" s="2" t="inlineStr">
        <is>
          <t>period_end</t>
        </is>
      </c>
      <c r="S174" s="2" t="inlineStr">
        <is>
          <t>allowed_with_provenance</t>
        </is>
      </c>
      <c r="T174" s="2" t="b">
        <v>0</v>
      </c>
      <c r="U174" s="2" t="b">
        <v>0</v>
      </c>
      <c r="V174" s="2" t="inlineStr"/>
      <c r="W174" s="2" t="inlineStr"/>
      <c r="X174" s="2" t="inlineStr">
        <is>
          <t>Decompose only from explicit face or note evidence; never fabricate a split.</t>
        </is>
      </c>
      <c r="Y174" s="2" t="inlineStr">
        <is>
          <t>Aggregate only mutually exclusive facts with identical period, scope, currency and unit.</t>
        </is>
      </c>
      <c r="Z174" s="2" t="inlineStr">
        <is>
          <t>Bind only to Balance Sheet / bs_ncl.</t>
        </is>
      </c>
      <c r="AA174" s="2" t="inlineStr"/>
      <c r="AB174" s="2" t="b">
        <v>1</v>
      </c>
      <c r="AC174" s="2" t="inlineStr"/>
      <c r="AD174" s="2" t="inlineStr">
        <is>
          <t>Exact field from Balance Sheet!A163; value cell B163.</t>
        </is>
      </c>
      <c r="AE174" s="2" t="inlineStr">
        <is>
          <t>Notes may support direct extraction or decomposition with provenance. Formula outputs must be derived only from template dependencies.</t>
        </is>
      </c>
      <c r="AF174" s="2" t="inlineStr"/>
      <c r="AG174" s="2" t="inlineStr">
        <is>
          <t>[]</t>
        </is>
      </c>
      <c r="AH174" s="2" t="inlineStr">
        <is>
          <t>Tax Provision(LTP)</t>
        </is>
      </c>
      <c r="AI174" s="2" t="inlineStr"/>
      <c r="AJ174" s="2" t="inlineStr">
        <is>
          <t>{"template_sheet": "Balance Sheet", "template_row": 163, "template_cell": "B163", "template_value_or_formula": 29, "calculation_type": "reported_input", "dependencies": [], "source_template": "Copy of Output_CSV Template.xlsx"}</t>
        </is>
      </c>
    </row>
    <row r="175">
      <c r="A175" s="2" t="inlineStr">
        <is>
          <t>bs_ncl__other_provisions_ltp</t>
        </is>
      </c>
      <c r="B175" s="2" t="inlineStr">
        <is>
          <t>Other Provisions(LTP)</t>
        </is>
      </c>
      <c r="C175" s="2" t="inlineStr">
        <is>
          <t>bs_ncl</t>
        </is>
      </c>
      <c r="D175" s="2" t="inlineStr">
        <is>
          <t>Extract the reported value for 'Other Provisions(LTP)' from the stated section. Do not calculate or replace it from other rows, because the revised template does not designate this field as formula-driven.</t>
        </is>
      </c>
      <c r="E175" s="2" t="inlineStr">
        <is>
          <t>Other Provisions(LTP)</t>
        </is>
      </c>
      <c r="F175" s="2" t="inlineStr">
        <is>
          <t>Other Provisions(LTP)</t>
        </is>
      </c>
      <c r="G175" s="2" t="inlineStr">
        <is>
          <t>^Other\s+Provisions\(LTP\)$</t>
        </is>
      </c>
      <c r="H175" s="2" t="inlineStr"/>
      <c r="I175" s="2" t="inlineStr">
        <is>
          <t>Amounts or disclosures explicitly reported for Other Provisions(LTP) in Balance Sheet / bs_ncl.</t>
        </is>
      </c>
      <c r="J175" s="2" t="inlineStr">
        <is>
          <t>Do not substitute another section, period, entity scope, currency or unit; do not double count a parent and its children.</t>
        </is>
      </c>
      <c r="K175" s="2" t="inlineStr"/>
      <c r="L175" s="2" t="inlineStr">
        <is>
          <t>as_reported</t>
        </is>
      </c>
      <c r="M175" s="2" t="inlineStr">
        <is>
          <t>direct_exclusive</t>
        </is>
      </c>
      <c r="N175" s="2" t="n">
        <v>90</v>
      </c>
      <c r="O175" s="2" t="inlineStr">
        <is>
          <t>normalized_exact_then_regex</t>
        </is>
      </c>
      <c r="P175" s="3" t="inlineStr">
        <is>
          <t>extract</t>
        </is>
      </c>
      <c r="Q175" s="2" t="inlineStr">
        <is>
          <t>currency_amount</t>
        </is>
      </c>
      <c r="R175" s="2" t="inlineStr">
        <is>
          <t>period_end</t>
        </is>
      </c>
      <c r="S175" s="2" t="inlineStr">
        <is>
          <t>allowed_with_provenance</t>
        </is>
      </c>
      <c r="T175" s="2" t="b">
        <v>0</v>
      </c>
      <c r="U175" s="2" t="b">
        <v>0</v>
      </c>
      <c r="V175" s="2" t="inlineStr"/>
      <c r="W175" s="2" t="inlineStr"/>
      <c r="X175" s="2" t="inlineStr">
        <is>
          <t>Decompose only from explicit face or note evidence; never fabricate a split.</t>
        </is>
      </c>
      <c r="Y175" s="2" t="inlineStr">
        <is>
          <t>Aggregate only mutually exclusive facts with identical period, scope, currency and unit.</t>
        </is>
      </c>
      <c r="Z175" s="2" t="inlineStr">
        <is>
          <t>Bind only to Balance Sheet / bs_ncl.</t>
        </is>
      </c>
      <c r="AA175" s="2" t="inlineStr"/>
      <c r="AB175" s="2" t="b">
        <v>1</v>
      </c>
      <c r="AC175" s="2" t="inlineStr"/>
      <c r="AD175" s="2" t="inlineStr">
        <is>
          <t>Exact field from Balance Sheet!A164; value cell B164.</t>
        </is>
      </c>
      <c r="AE175" s="2" t="inlineStr">
        <is>
          <t>Notes may support direct extraction or decomposition with provenance. Formula outputs must be derived only from template dependencies.</t>
        </is>
      </c>
      <c r="AF175" s="2" t="inlineStr">
        <is>
          <t>{"mode": "no_balancing_plug", "negative_result": "review"}</t>
        </is>
      </c>
      <c r="AG175" s="2" t="inlineStr">
        <is>
          <t>[]</t>
        </is>
      </c>
      <c r="AH175" s="2" t="inlineStr">
        <is>
          <t>Other Provisions(LTP)</t>
        </is>
      </c>
      <c r="AI175" s="2" t="inlineStr"/>
      <c r="AJ175" s="2" t="inlineStr">
        <is>
          <t>{"template_sheet": "Balance Sheet", "template_row": 164, "template_cell": "B164", "template_value_or_formula": 46, "calculation_type": "reported_input", "dependencies": [], "source_template": "Copy of Output_CSV Template.xlsx"}</t>
        </is>
      </c>
    </row>
    <row r="176">
      <c r="A176" s="2" t="inlineStr">
        <is>
          <t>bs_ncl__total_non_current_liabilities</t>
        </is>
      </c>
      <c r="B176" s="2" t="inlineStr">
        <is>
          <t>Total Non-Current Liabilities</t>
        </is>
      </c>
      <c r="C176" s="2" t="inlineStr">
        <is>
          <t>bs_ncl</t>
        </is>
      </c>
      <c r="D176" s="2" t="inlineStr">
        <is>
          <t>Calculated target using the exact formula retained in the supplied template: =SUM({bs_ncl__ltd_bank}:{bs_ncl__other_provisions_ltp})</t>
        </is>
      </c>
      <c r="E176" s="2" t="inlineStr">
        <is>
          <t>Total Non-Current Liabilities</t>
        </is>
      </c>
      <c r="F176" s="2" t="inlineStr">
        <is>
          <t>Total Non-Current Liabilities</t>
        </is>
      </c>
      <c r="G176" s="2" t="inlineStr">
        <is>
          <t>^Total\s+Non[\-–—]?Current\s+Liabilities$</t>
        </is>
      </c>
      <c r="H176" s="2" t="inlineStr"/>
      <c r="I176" s="2" t="inlineStr">
        <is>
          <t>Amounts or disclosures explicitly reported for Total Non-Current Liabilities in Balance Sheet / bs_ncl.</t>
        </is>
      </c>
      <c r="J176" s="2" t="inlineStr">
        <is>
          <t>Do not substitute another section, period, entity scope, currency or unit; do not double count a parent and its children.</t>
        </is>
      </c>
      <c r="K176" s="2" t="inlineStr"/>
      <c r="L176" s="2" t="inlineStr">
        <is>
          <t>as_reported</t>
        </is>
      </c>
      <c r="M176" s="2" t="inlineStr">
        <is>
          <t>derived_total</t>
        </is>
      </c>
      <c r="N176" s="2" t="n">
        <v>100</v>
      </c>
      <c r="O176" s="2" t="inlineStr">
        <is>
          <t>disabled</t>
        </is>
      </c>
      <c r="P176" s="4" t="inlineStr">
        <is>
          <t>derive</t>
        </is>
      </c>
      <c r="Q176" s="2" t="inlineStr">
        <is>
          <t>currency_amount</t>
        </is>
      </c>
      <c r="R176" s="2" t="inlineStr">
        <is>
          <t>period_end</t>
        </is>
      </c>
      <c r="S176" s="2" t="inlineStr">
        <is>
          <t>allowed_with_provenance</t>
        </is>
      </c>
      <c r="T176" s="2" t="b">
        <v>0</v>
      </c>
      <c r="U176" s="2" t="b">
        <v>1</v>
      </c>
      <c r="V176" s="2" t="inlineStr">
        <is>
          <t>bs_ncl__ltd_bank | bs_ncl__other_provisions_ltp</t>
        </is>
      </c>
      <c r="W176" s="2">
        <f>SUM({bs_ncl__ltd_bank}:{bs_ncl__other_provisions_ltp})</f>
        <v/>
      </c>
      <c r="X176" s="2" t="inlineStr">
        <is>
          <t>Use only dependencies stated in the formula; never fabricate missing components.</t>
        </is>
      </c>
      <c r="Y176" s="2" t="inlineStr">
        <is>
          <t>Calculate only after every dependency is populated and validated.</t>
        </is>
      </c>
      <c r="Z176" s="2" t="inlineStr">
        <is>
          <t>Bind only to Balance Sheet / bs_ncl.</t>
        </is>
      </c>
      <c r="AA176" s="2" t="inlineStr"/>
      <c r="AB176" s="2" t="b">
        <v>0</v>
      </c>
      <c r="AC176" s="2" t="inlineStr">
        <is>
          <t>bs_ncl__ltd_bank | bs_ncl__other_provisions_ltp</t>
        </is>
      </c>
      <c r="AD176" s="2" t="inlineStr">
        <is>
          <t>Exact field from Balance Sheet!A165; value cell B165.</t>
        </is>
      </c>
      <c r="AE176" s="2" t="inlineStr">
        <is>
          <t>Notes may support direct extraction or decomposition with provenance. Formula outputs must be derived only from template dependencies.</t>
        </is>
      </c>
      <c r="AF176" s="2" t="inlineStr"/>
      <c r="AG176" s="2" t="inlineStr">
        <is>
          <t>[]</t>
        </is>
      </c>
      <c r="AH176" s="2" t="inlineStr">
        <is>
          <t>Total Non-Current Liabilities</t>
        </is>
      </c>
      <c r="AI176" s="2" t="inlineStr"/>
      <c r="AJ176" s="2" t="inlineStr">
        <is>
          <t>{"template_sheet": "Balance Sheet", "template_row": 165, "template_cell": "B165", "template_value_or_formula": "=SUM(B130:B164)", "calculation_type": "formula", "dependencies": ["bs_ncl__ltd_bank", "bs_ncl__other_provisions_ltp"], "source_template": "Copy of Output_CSV Template.xlsx"}</t>
        </is>
      </c>
    </row>
    <row r="177">
      <c r="A177" s="2" t="inlineStr">
        <is>
          <t>bs_cl__cpltd_bank</t>
        </is>
      </c>
      <c r="B177" s="2" t="inlineStr">
        <is>
          <t>CPLTD Bank</t>
        </is>
      </c>
      <c r="C177" s="2" t="inlineStr">
        <is>
          <t>bs_cl</t>
        </is>
      </c>
      <c r="D177" s="2" t="inlineStr">
        <is>
          <t>Extract the reported value for 'CPLTD Bank' from the stated section. Do not calculate or replace it from other rows, because the revised template does not designate this field as formula-driven.</t>
        </is>
      </c>
      <c r="E177" s="2" t="inlineStr">
        <is>
          <t>CPLTD Bank</t>
        </is>
      </c>
      <c r="F177" s="2" t="inlineStr">
        <is>
          <t>CPLTD Bank</t>
        </is>
      </c>
      <c r="G177" s="2" t="inlineStr">
        <is>
          <t>^CPLTD\s+Bank$</t>
        </is>
      </c>
      <c r="H177" s="2" t="inlineStr"/>
      <c r="I177" s="2" t="inlineStr">
        <is>
          <t>Amounts or disclosures explicitly reported for CPLTD Bank in Balance Sheet / bs_cl.</t>
        </is>
      </c>
      <c r="J177" s="2" t="inlineStr">
        <is>
          <t>Do not substitute another section, period, entity scope, currency or unit; do not double count a parent and its children.</t>
        </is>
      </c>
      <c r="K177" s="2" t="inlineStr"/>
      <c r="L177" s="2" t="inlineStr">
        <is>
          <t>as_reported</t>
        </is>
      </c>
      <c r="M177" s="2" t="inlineStr">
        <is>
          <t>direct_exclusive</t>
        </is>
      </c>
      <c r="N177" s="2" t="n">
        <v>90</v>
      </c>
      <c r="O177" s="2" t="inlineStr">
        <is>
          <t>normalized_exact_then_regex</t>
        </is>
      </c>
      <c r="P177" s="3" t="inlineStr">
        <is>
          <t>extract</t>
        </is>
      </c>
      <c r="Q177" s="2" t="inlineStr">
        <is>
          <t>currency_amount</t>
        </is>
      </c>
      <c r="R177" s="2" t="inlineStr">
        <is>
          <t>period_end</t>
        </is>
      </c>
      <c r="S177" s="2" t="inlineStr">
        <is>
          <t>allowed_with_provenance</t>
        </is>
      </c>
      <c r="T177" s="2" t="b">
        <v>0</v>
      </c>
      <c r="U177" s="2" t="b">
        <v>0</v>
      </c>
      <c r="V177" s="2" t="inlineStr"/>
      <c r="W177" s="2" t="inlineStr"/>
      <c r="X177" s="2" t="inlineStr">
        <is>
          <t>Decompose only from explicit face or note evidence; never fabricate a split.</t>
        </is>
      </c>
      <c r="Y177" s="2" t="inlineStr">
        <is>
          <t>Aggregate only mutually exclusive facts with identical period, scope, currency and unit.</t>
        </is>
      </c>
      <c r="Z177" s="2" t="inlineStr">
        <is>
          <t>Bind only to Balance Sheet / bs_cl.</t>
        </is>
      </c>
      <c r="AA177" s="2" t="inlineStr"/>
      <c r="AB177" s="2" t="b">
        <v>1</v>
      </c>
      <c r="AC177" s="2" t="inlineStr"/>
      <c r="AD177" s="2" t="inlineStr">
        <is>
          <t>Exact field from Balance Sheet!A167; value cell B167.</t>
        </is>
      </c>
      <c r="AE177" s="2" t="inlineStr">
        <is>
          <t>Notes may support direct extraction or decomposition with provenance. Formula outputs must be derived only from template dependencies.</t>
        </is>
      </c>
      <c r="AF177" s="2" t="inlineStr"/>
      <c r="AG177" s="2" t="inlineStr">
        <is>
          <t>[]</t>
        </is>
      </c>
      <c r="AH177" s="2" t="inlineStr">
        <is>
          <t>CPLTD Bank</t>
        </is>
      </c>
      <c r="AI177" s="2" t="inlineStr"/>
      <c r="AJ177" s="2" t="inlineStr">
        <is>
          <t>{"template_sheet": "Balance Sheet", "template_row": 167, "template_cell": "B167", "template_value_or_formula": 11, "calculation_type": "reported_input", "dependencies": [], "source_template": "Copy of Output_CSV Template.xlsx"}</t>
        </is>
      </c>
    </row>
    <row r="178">
      <c r="A178" s="2" t="inlineStr">
        <is>
          <t>bs_cl__entrusted_loan_payables_third_parties_cp</t>
        </is>
      </c>
      <c r="B178" s="2" t="inlineStr">
        <is>
          <t>Entrusted loan payables- third parties(CP)</t>
        </is>
      </c>
      <c r="C178" s="2" t="inlineStr">
        <is>
          <t>bs_cl</t>
        </is>
      </c>
      <c r="D178" s="2" t="inlineStr">
        <is>
          <t>Extract the reported value for 'Entrusted loan payables- third parties(CP)' from the stated section. Do not calculate or replace it from other rows, because the revised template does not designate this field as formula-driven.</t>
        </is>
      </c>
      <c r="E178" s="2" t="inlineStr">
        <is>
          <t>Entrusted loan payables- third parties(CP)</t>
        </is>
      </c>
      <c r="F178" s="2" t="inlineStr">
        <is>
          <t>Entrusted loan payables- third parties(CP)</t>
        </is>
      </c>
      <c r="G178" s="2" t="inlineStr">
        <is>
          <t>^Entrusted\s+loan\s+payables[\-–—]?\s+third\s+parties\(CP\)$</t>
        </is>
      </c>
      <c r="H178" s="2" t="inlineStr"/>
      <c r="I178" s="2" t="inlineStr">
        <is>
          <t>Amounts or disclosures explicitly reported for Entrusted loan payables- third parties(CP) in Balance Sheet / bs_cl.</t>
        </is>
      </c>
      <c r="J178" s="2" t="inlineStr">
        <is>
          <t>Do not substitute another section, period, entity scope, currency or unit; do not double count a parent and its children.</t>
        </is>
      </c>
      <c r="K178" s="2" t="inlineStr"/>
      <c r="L178" s="2" t="inlineStr">
        <is>
          <t>as_reported</t>
        </is>
      </c>
      <c r="M178" s="2" t="inlineStr">
        <is>
          <t>direct_exclusive</t>
        </is>
      </c>
      <c r="N178" s="2" t="n">
        <v>90</v>
      </c>
      <c r="O178" s="2" t="inlineStr">
        <is>
          <t>normalized_exact_then_regex</t>
        </is>
      </c>
      <c r="P178" s="3" t="inlineStr">
        <is>
          <t>extract</t>
        </is>
      </c>
      <c r="Q178" s="2" t="inlineStr">
        <is>
          <t>currency_amount</t>
        </is>
      </c>
      <c r="R178" s="2" t="inlineStr">
        <is>
          <t>period_end</t>
        </is>
      </c>
      <c r="S178" s="2" t="inlineStr">
        <is>
          <t>allowed_with_provenance</t>
        </is>
      </c>
      <c r="T178" s="2" t="b">
        <v>0</v>
      </c>
      <c r="U178" s="2" t="b">
        <v>0</v>
      </c>
      <c r="V178" s="2" t="inlineStr"/>
      <c r="W178" s="2" t="inlineStr"/>
      <c r="X178" s="2" t="inlineStr">
        <is>
          <t>Decompose only from explicit face or note evidence; never fabricate a split.</t>
        </is>
      </c>
      <c r="Y178" s="2" t="inlineStr">
        <is>
          <t>Aggregate only mutually exclusive facts with identical period, scope, currency and unit.</t>
        </is>
      </c>
      <c r="Z178" s="2" t="inlineStr">
        <is>
          <t>Bind only to Balance Sheet / bs_cl.</t>
        </is>
      </c>
      <c r="AA178" s="2" t="inlineStr"/>
      <c r="AB178" s="2" t="b">
        <v>1</v>
      </c>
      <c r="AC178" s="2" t="inlineStr"/>
      <c r="AD178" s="2" t="inlineStr">
        <is>
          <t>Exact field from Balance Sheet!A168; value cell B168.</t>
        </is>
      </c>
      <c r="AE178" s="2" t="inlineStr">
        <is>
          <t>Notes may support direct extraction or decomposition with provenance. Formula outputs must be derived only from template dependencies.</t>
        </is>
      </c>
      <c r="AF178" s="2" t="inlineStr"/>
      <c r="AG178" s="2" t="inlineStr">
        <is>
          <t>[]</t>
        </is>
      </c>
      <c r="AH178" s="2" t="inlineStr">
        <is>
          <t>Entrusted loan payables- third parties(CP)</t>
        </is>
      </c>
      <c r="AI178" s="2" t="inlineStr"/>
      <c r="AJ178" s="2" t="inlineStr">
        <is>
          <t>{"template_sheet": "Balance Sheet", "template_row": 168, "template_cell": "B168", "template_value_or_formula": 28, "calculation_type": "reported_input", "dependencies": [], "source_template": "Copy of Output_CSV Template.xlsx"}</t>
        </is>
      </c>
    </row>
    <row r="179">
      <c r="A179" s="2" t="inlineStr">
        <is>
          <t>bs_cl__cpltd_other</t>
        </is>
      </c>
      <c r="B179" s="2" t="inlineStr">
        <is>
          <t>CPLTD Other</t>
        </is>
      </c>
      <c r="C179" s="2" t="inlineStr">
        <is>
          <t>bs_cl</t>
        </is>
      </c>
      <c r="D179" s="2" t="inlineStr">
        <is>
          <t>Extract the reported value for 'CPLTD Other' from the stated section. Do not calculate or replace it from other rows, because the revised template does not designate this field as formula-driven.</t>
        </is>
      </c>
      <c r="E179" s="2" t="inlineStr">
        <is>
          <t>CPLTD Other</t>
        </is>
      </c>
      <c r="F179" s="2" t="inlineStr">
        <is>
          <t>CPLTD Other</t>
        </is>
      </c>
      <c r="G179" s="2" t="inlineStr">
        <is>
          <t>^CPLTD\s+Other$</t>
        </is>
      </c>
      <c r="H179" s="2" t="inlineStr"/>
      <c r="I179" s="2" t="inlineStr">
        <is>
          <t>Amounts or disclosures explicitly reported for CPLTD Other in Balance Sheet / bs_cl.</t>
        </is>
      </c>
      <c r="J179" s="2" t="inlineStr">
        <is>
          <t>Do not substitute another section, period, entity scope, currency or unit; do not double count a parent and its children.</t>
        </is>
      </c>
      <c r="K179" s="2" t="inlineStr"/>
      <c r="L179" s="2" t="inlineStr">
        <is>
          <t>as_reported</t>
        </is>
      </c>
      <c r="M179" s="2" t="inlineStr">
        <is>
          <t>direct_exclusive</t>
        </is>
      </c>
      <c r="N179" s="2" t="n">
        <v>90</v>
      </c>
      <c r="O179" s="2" t="inlineStr">
        <is>
          <t>normalized_exact_then_regex</t>
        </is>
      </c>
      <c r="P179" s="3" t="inlineStr">
        <is>
          <t>extract</t>
        </is>
      </c>
      <c r="Q179" s="2" t="inlineStr">
        <is>
          <t>currency_amount</t>
        </is>
      </c>
      <c r="R179" s="2" t="inlineStr">
        <is>
          <t>period_end</t>
        </is>
      </c>
      <c r="S179" s="2" t="inlineStr">
        <is>
          <t>allowed_with_provenance</t>
        </is>
      </c>
      <c r="T179" s="2" t="b">
        <v>0</v>
      </c>
      <c r="U179" s="2" t="b">
        <v>0</v>
      </c>
      <c r="V179" s="2" t="inlineStr"/>
      <c r="W179" s="2" t="inlineStr"/>
      <c r="X179" s="2" t="inlineStr">
        <is>
          <t>Decompose only from explicit face or note evidence; never fabricate a split.</t>
        </is>
      </c>
      <c r="Y179" s="2" t="inlineStr">
        <is>
          <t>Aggregate only mutually exclusive facts with identical period, scope, currency and unit.</t>
        </is>
      </c>
      <c r="Z179" s="2" t="inlineStr">
        <is>
          <t>Bind only to Balance Sheet / bs_cl.</t>
        </is>
      </c>
      <c r="AA179" s="2" t="inlineStr"/>
      <c r="AB179" s="2" t="b">
        <v>1</v>
      </c>
      <c r="AC179" s="2" t="inlineStr"/>
      <c r="AD179" s="2" t="inlineStr">
        <is>
          <t>Exact field from Balance Sheet!A169; value cell B169.</t>
        </is>
      </c>
      <c r="AE179" s="2" t="inlineStr">
        <is>
          <t>Notes may support direct extraction or decomposition with provenance. Formula outputs must be derived only from template dependencies.</t>
        </is>
      </c>
      <c r="AF179" s="2" t="inlineStr"/>
      <c r="AG179" s="2" t="inlineStr">
        <is>
          <t>[]</t>
        </is>
      </c>
      <c r="AH179" s="2" t="inlineStr">
        <is>
          <t>CPLTD Other</t>
        </is>
      </c>
      <c r="AI179" s="2" t="inlineStr"/>
      <c r="AJ179" s="2" t="inlineStr">
        <is>
          <t>{"template_sheet": "Balance Sheet", "template_row": 169, "template_cell": "B169", "template_value_or_formula": 45, "calculation_type": "reported_input", "dependencies": [], "source_template": "Copy of Output_CSV Template.xlsx"}</t>
        </is>
      </c>
    </row>
    <row r="180">
      <c r="A180" s="2" t="inlineStr">
        <is>
          <t>bs_cl__cpltd_convertible</t>
        </is>
      </c>
      <c r="B180" s="2" t="inlineStr">
        <is>
          <t>CPLTD Convertible</t>
        </is>
      </c>
      <c r="C180" s="2" t="inlineStr">
        <is>
          <t>bs_cl</t>
        </is>
      </c>
      <c r="D180" s="2" t="inlineStr">
        <is>
          <t>Extract the reported value for 'CPLTD Convertible' from the stated section. Do not calculate or replace it from other rows, because the revised template does not designate this field as formula-driven.</t>
        </is>
      </c>
      <c r="E180" s="2" t="inlineStr">
        <is>
          <t>CPLTD Convertible</t>
        </is>
      </c>
      <c r="F180" s="2" t="inlineStr">
        <is>
          <t>CPLTD Convertible</t>
        </is>
      </c>
      <c r="G180" s="2" t="inlineStr">
        <is>
          <t>^CPLTD\s+Convertible$</t>
        </is>
      </c>
      <c r="H180" s="2" t="inlineStr"/>
      <c r="I180" s="2" t="inlineStr">
        <is>
          <t>Amounts or disclosures explicitly reported for CPLTD Convertible in Balance Sheet / bs_cl.</t>
        </is>
      </c>
      <c r="J180" s="2" t="inlineStr">
        <is>
          <t>Do not substitute another section, period, entity scope, currency or unit; do not double count a parent and its children.</t>
        </is>
      </c>
      <c r="K180" s="2" t="inlineStr"/>
      <c r="L180" s="2" t="inlineStr">
        <is>
          <t>as_reported</t>
        </is>
      </c>
      <c r="M180" s="2" t="inlineStr">
        <is>
          <t>direct_exclusive</t>
        </is>
      </c>
      <c r="N180" s="2" t="n">
        <v>90</v>
      </c>
      <c r="O180" s="2" t="inlineStr">
        <is>
          <t>normalized_exact_then_regex</t>
        </is>
      </c>
      <c r="P180" s="3" t="inlineStr">
        <is>
          <t>extract</t>
        </is>
      </c>
      <c r="Q180" s="2" t="inlineStr">
        <is>
          <t>currency_amount</t>
        </is>
      </c>
      <c r="R180" s="2" t="inlineStr">
        <is>
          <t>period_end</t>
        </is>
      </c>
      <c r="S180" s="2" t="inlineStr">
        <is>
          <t>allowed_with_provenance</t>
        </is>
      </c>
      <c r="T180" s="2" t="b">
        <v>0</v>
      </c>
      <c r="U180" s="2" t="b">
        <v>0</v>
      </c>
      <c r="V180" s="2" t="inlineStr"/>
      <c r="W180" s="2" t="inlineStr"/>
      <c r="X180" s="2" t="inlineStr">
        <is>
          <t>Decompose only from explicit face or note evidence; never fabricate a split.</t>
        </is>
      </c>
      <c r="Y180" s="2" t="inlineStr">
        <is>
          <t>Aggregate only mutually exclusive facts with identical period, scope, currency and unit.</t>
        </is>
      </c>
      <c r="Z180" s="2" t="inlineStr">
        <is>
          <t>Bind only to Balance Sheet / bs_cl.</t>
        </is>
      </c>
      <c r="AA180" s="2" t="inlineStr"/>
      <c r="AB180" s="2" t="b">
        <v>1</v>
      </c>
      <c r="AC180" s="2" t="inlineStr"/>
      <c r="AD180" s="2" t="inlineStr">
        <is>
          <t>Exact field from Balance Sheet!A170; value cell B170.</t>
        </is>
      </c>
      <c r="AE180" s="2" t="inlineStr">
        <is>
          <t>Notes may support direct extraction or decomposition with provenance. Formula outputs must be derived only from template dependencies.</t>
        </is>
      </c>
      <c r="AF180" s="2" t="inlineStr"/>
      <c r="AG180" s="2" t="inlineStr">
        <is>
          <t>[]</t>
        </is>
      </c>
      <c r="AH180" s="2" t="inlineStr">
        <is>
          <t>CPLTD Convertible</t>
        </is>
      </c>
      <c r="AI180" s="2" t="inlineStr"/>
      <c r="AJ180" s="2" t="inlineStr">
        <is>
          <t>{"template_sheet": "Balance Sheet", "template_row": 170, "template_cell": "B170", "template_value_or_formula": 19, "calculation_type": "reported_input", "dependencies": [], "source_template": "Copy of Output_CSV Template.xlsx"}</t>
        </is>
      </c>
    </row>
    <row r="181">
      <c r="A181" s="2" t="inlineStr">
        <is>
          <t>bs_cl__cpltd_subordinated</t>
        </is>
      </c>
      <c r="B181" s="2" t="inlineStr">
        <is>
          <t>CPLTD Subordinated</t>
        </is>
      </c>
      <c r="C181" s="2" t="inlineStr">
        <is>
          <t>bs_cl</t>
        </is>
      </c>
      <c r="D181" s="2" t="inlineStr">
        <is>
          <t>Extract the reported value for 'CPLTD Subordinated' from the stated section. Do not calculate or replace it from other rows, because the revised template does not designate this field as formula-driven.</t>
        </is>
      </c>
      <c r="E181" s="2" t="inlineStr">
        <is>
          <t>CPLTD Subordinated</t>
        </is>
      </c>
      <c r="F181" s="2" t="inlineStr">
        <is>
          <t>CPLTD Subordinated</t>
        </is>
      </c>
      <c r="G181" s="2" t="inlineStr">
        <is>
          <t>^CPLTD\s+Subordinated$</t>
        </is>
      </c>
      <c r="H181" s="2" t="inlineStr"/>
      <c r="I181" s="2" t="inlineStr">
        <is>
          <t>Amounts or disclosures explicitly reported for CPLTD Subordinated in Balance Sheet / bs_cl.</t>
        </is>
      </c>
      <c r="J181" s="2" t="inlineStr">
        <is>
          <t>Do not substitute another section, period, entity scope, currency or unit; do not double count a parent and its children.</t>
        </is>
      </c>
      <c r="K181" s="2" t="inlineStr"/>
      <c r="L181" s="2" t="inlineStr">
        <is>
          <t>as_reported</t>
        </is>
      </c>
      <c r="M181" s="2" t="inlineStr">
        <is>
          <t>direct_exclusive</t>
        </is>
      </c>
      <c r="N181" s="2" t="n">
        <v>90</v>
      </c>
      <c r="O181" s="2" t="inlineStr">
        <is>
          <t>normalized_exact_then_regex</t>
        </is>
      </c>
      <c r="P181" s="3" t="inlineStr">
        <is>
          <t>extract</t>
        </is>
      </c>
      <c r="Q181" s="2" t="inlineStr">
        <is>
          <t>currency_amount</t>
        </is>
      </c>
      <c r="R181" s="2" t="inlineStr">
        <is>
          <t>period_end</t>
        </is>
      </c>
      <c r="S181" s="2" t="inlineStr">
        <is>
          <t>allowed_with_provenance</t>
        </is>
      </c>
      <c r="T181" s="2" t="b">
        <v>0</v>
      </c>
      <c r="U181" s="2" t="b">
        <v>0</v>
      </c>
      <c r="V181" s="2" t="inlineStr"/>
      <c r="W181" s="2" t="inlineStr"/>
      <c r="X181" s="2" t="inlineStr">
        <is>
          <t>Decompose only from explicit face or note evidence; never fabricate a split.</t>
        </is>
      </c>
      <c r="Y181" s="2" t="inlineStr">
        <is>
          <t>Aggregate only mutually exclusive facts with identical period, scope, currency and unit.</t>
        </is>
      </c>
      <c r="Z181" s="2" t="inlineStr">
        <is>
          <t>Bind only to Balance Sheet / bs_cl.</t>
        </is>
      </c>
      <c r="AA181" s="2" t="inlineStr"/>
      <c r="AB181" s="2" t="b">
        <v>1</v>
      </c>
      <c r="AC181" s="2" t="inlineStr"/>
      <c r="AD181" s="2" t="inlineStr">
        <is>
          <t>Exact field from Balance Sheet!A171; value cell B171.</t>
        </is>
      </c>
      <c r="AE181" s="2" t="inlineStr">
        <is>
          <t>Notes may support direct extraction or decomposition with provenance. Formula outputs must be derived only from template dependencies.</t>
        </is>
      </c>
      <c r="AF181" s="2" t="inlineStr"/>
      <c r="AG181" s="2" t="inlineStr">
        <is>
          <t>[]</t>
        </is>
      </c>
      <c r="AH181" s="2" t="inlineStr">
        <is>
          <t>CPLTD Subordinated</t>
        </is>
      </c>
      <c r="AI181" s="2" t="inlineStr"/>
      <c r="AJ181" s="2" t="inlineStr">
        <is>
          <t>{"template_sheet": "Balance Sheet", "template_row": 171, "template_cell": "B171", "template_value_or_formula": 36, "calculation_type": "reported_input", "dependencies": [], "source_template": "Copy of Output_CSV Template.xlsx"}</t>
        </is>
      </c>
    </row>
    <row r="182">
      <c r="A182" s="2" t="inlineStr">
        <is>
          <t>bs_cl__trade_financing</t>
        </is>
      </c>
      <c r="B182" s="2" t="inlineStr">
        <is>
          <t>Trade financing</t>
        </is>
      </c>
      <c r="C182" s="2" t="inlineStr">
        <is>
          <t>bs_cl</t>
        </is>
      </c>
      <c r="D182" s="2" t="inlineStr">
        <is>
          <t>Extract the reported value for 'Trade financing' from the stated section. Do not calculate or replace it from other rows, because the revised template does not designate this field as formula-driven.</t>
        </is>
      </c>
      <c r="E182" s="2" t="inlineStr">
        <is>
          <t>Trade financing</t>
        </is>
      </c>
      <c r="F182" s="2" t="inlineStr">
        <is>
          <t>Trade financing</t>
        </is>
      </c>
      <c r="G182" s="2" t="inlineStr">
        <is>
          <t>^Trade\s+financing$</t>
        </is>
      </c>
      <c r="H182" s="2" t="inlineStr"/>
      <c r="I182" s="2" t="inlineStr">
        <is>
          <t>Amounts or disclosures explicitly reported for Trade financing in Balance Sheet / bs_cl.</t>
        </is>
      </c>
      <c r="J182" s="2" t="inlineStr">
        <is>
          <t>Do not substitute another section, period, entity scope, currency or unit; do not double count a parent and its children.</t>
        </is>
      </c>
      <c r="K182" s="2" t="inlineStr"/>
      <c r="L182" s="2" t="inlineStr">
        <is>
          <t>as_reported</t>
        </is>
      </c>
      <c r="M182" s="2" t="inlineStr">
        <is>
          <t>direct_exclusive</t>
        </is>
      </c>
      <c r="N182" s="2" t="n">
        <v>90</v>
      </c>
      <c r="O182" s="2" t="inlineStr">
        <is>
          <t>normalized_exact_then_regex</t>
        </is>
      </c>
      <c r="P182" s="3" t="inlineStr">
        <is>
          <t>extract</t>
        </is>
      </c>
      <c r="Q182" s="2" t="inlineStr">
        <is>
          <t>currency_amount</t>
        </is>
      </c>
      <c r="R182" s="2" t="inlineStr">
        <is>
          <t>period_end</t>
        </is>
      </c>
      <c r="S182" s="2" t="inlineStr">
        <is>
          <t>allowed_with_provenance</t>
        </is>
      </c>
      <c r="T182" s="2" t="b">
        <v>0</v>
      </c>
      <c r="U182" s="2" t="b">
        <v>0</v>
      </c>
      <c r="V182" s="2" t="inlineStr"/>
      <c r="W182" s="2" t="inlineStr"/>
      <c r="X182" s="2" t="inlineStr">
        <is>
          <t>Decompose only from explicit face or note evidence; never fabricate a split.</t>
        </is>
      </c>
      <c r="Y182" s="2" t="inlineStr">
        <is>
          <t>Aggregate only mutually exclusive facts with identical period, scope, currency and unit.</t>
        </is>
      </c>
      <c r="Z182" s="2" t="inlineStr">
        <is>
          <t>Bind only to Balance Sheet / bs_cl.</t>
        </is>
      </c>
      <c r="AA182" s="2" t="inlineStr"/>
      <c r="AB182" s="2" t="b">
        <v>1</v>
      </c>
      <c r="AC182" s="2" t="inlineStr"/>
      <c r="AD182" s="2" t="inlineStr">
        <is>
          <t>Exact field from Balance Sheet!A172; value cell B172.</t>
        </is>
      </c>
      <c r="AE182" s="2" t="inlineStr">
        <is>
          <t>Notes may support direct extraction or decomposition with provenance. Formula outputs must be derived only from template dependencies.</t>
        </is>
      </c>
      <c r="AF182" s="2" t="inlineStr"/>
      <c r="AG182" s="2" t="inlineStr">
        <is>
          <t>[]</t>
        </is>
      </c>
      <c r="AH182" s="2" t="inlineStr">
        <is>
          <t>Trade financing</t>
        </is>
      </c>
      <c r="AI182" s="2" t="inlineStr"/>
      <c r="AJ182" s="2" t="inlineStr">
        <is>
          <t>{"template_sheet": "Balance Sheet", "template_row": 172, "template_cell": "B172", "template_value_or_formula": 10, "calculation_type": "reported_input", "dependencies": [], "source_template": "Copy of Output_CSV Template.xlsx"}</t>
        </is>
      </c>
    </row>
    <row r="183">
      <c r="A183" s="2" t="inlineStr">
        <is>
          <t>bs_cl__st_bank_loans_payable</t>
        </is>
      </c>
      <c r="B183" s="2" t="inlineStr">
        <is>
          <t>ST Bank Loans Payable</t>
        </is>
      </c>
      <c r="C183" s="2" t="inlineStr">
        <is>
          <t>bs_cl</t>
        </is>
      </c>
      <c r="D183" s="2" t="inlineStr">
        <is>
          <t>Extract the reported value for 'ST Bank Loans Payable' from the stated section. Do not calculate or replace it from other rows, because the revised template does not designate this field as formula-driven.</t>
        </is>
      </c>
      <c r="E183" s="2" t="inlineStr">
        <is>
          <t>ST Bank Loans Payable</t>
        </is>
      </c>
      <c r="F183" s="2" t="inlineStr">
        <is>
          <t>ST Bank Loans Payable</t>
        </is>
      </c>
      <c r="G183" s="2" t="inlineStr">
        <is>
          <t>^ST\s+Bank\s+Loans\s+Payable$</t>
        </is>
      </c>
      <c r="H183" s="2" t="inlineStr"/>
      <c r="I183" s="2" t="inlineStr">
        <is>
          <t>Amounts or disclosures explicitly reported for ST Bank Loans Payable in Balance Sheet / bs_cl.</t>
        </is>
      </c>
      <c r="J183" s="2" t="inlineStr">
        <is>
          <t>Do not substitute another section, period, entity scope, currency or unit; do not double count a parent and its children.</t>
        </is>
      </c>
      <c r="K183" s="2" t="inlineStr"/>
      <c r="L183" s="2" t="inlineStr">
        <is>
          <t>as_reported</t>
        </is>
      </c>
      <c r="M183" s="2" t="inlineStr">
        <is>
          <t>direct_exclusive</t>
        </is>
      </c>
      <c r="N183" s="2" t="n">
        <v>90</v>
      </c>
      <c r="O183" s="2" t="inlineStr">
        <is>
          <t>normalized_exact_then_regex</t>
        </is>
      </c>
      <c r="P183" s="3" t="inlineStr">
        <is>
          <t>extract</t>
        </is>
      </c>
      <c r="Q183" s="2" t="inlineStr">
        <is>
          <t>currency_amount</t>
        </is>
      </c>
      <c r="R183" s="2" t="inlineStr">
        <is>
          <t>period_end</t>
        </is>
      </c>
      <c r="S183" s="2" t="inlineStr">
        <is>
          <t>allowed_with_provenance</t>
        </is>
      </c>
      <c r="T183" s="2" t="b">
        <v>0</v>
      </c>
      <c r="U183" s="2" t="b">
        <v>0</v>
      </c>
      <c r="V183" s="2" t="inlineStr"/>
      <c r="W183" s="2" t="inlineStr"/>
      <c r="X183" s="2" t="inlineStr">
        <is>
          <t>Decompose only from explicit face or note evidence; never fabricate a split.</t>
        </is>
      </c>
      <c r="Y183" s="2" t="inlineStr">
        <is>
          <t>Aggregate only mutually exclusive facts with identical period, scope, currency and unit.</t>
        </is>
      </c>
      <c r="Z183" s="2" t="inlineStr">
        <is>
          <t>Bind only to Balance Sheet / bs_cl.</t>
        </is>
      </c>
      <c r="AA183" s="2" t="inlineStr"/>
      <c r="AB183" s="2" t="b">
        <v>1</v>
      </c>
      <c r="AC183" s="2" t="inlineStr"/>
      <c r="AD183" s="2" t="inlineStr">
        <is>
          <t>Exact field from Balance Sheet!A173; value cell B173.</t>
        </is>
      </c>
      <c r="AE183" s="2" t="inlineStr">
        <is>
          <t>Notes may support direct extraction or decomposition with provenance. Formula outputs must be derived only from template dependencies.</t>
        </is>
      </c>
      <c r="AF183" s="2" t="inlineStr"/>
      <c r="AG183" s="2" t="inlineStr">
        <is>
          <t>[]</t>
        </is>
      </c>
      <c r="AH183" s="2" t="inlineStr">
        <is>
          <t>ST Bank Loans Payable</t>
        </is>
      </c>
      <c r="AI183" s="2" t="inlineStr"/>
      <c r="AJ183" s="2" t="inlineStr">
        <is>
          <t>{"template_sheet": "Balance Sheet", "template_row": 173, "template_cell": "B173", "template_value_or_formula": 27, "calculation_type": "reported_input", "dependencies": [], "source_template": "Copy of Output_CSV Template.xlsx"}</t>
        </is>
      </c>
    </row>
    <row r="184">
      <c r="A184" s="2" t="inlineStr">
        <is>
          <t>bs_cl__ipo_loans_st_bank_loans_pay</t>
        </is>
      </c>
      <c r="B184" s="2" t="inlineStr">
        <is>
          <t>IPO Loans (ST Bank Loans Pay)</t>
        </is>
      </c>
      <c r="C184" s="2" t="inlineStr">
        <is>
          <t>bs_cl</t>
        </is>
      </c>
      <c r="D184" s="2" t="inlineStr">
        <is>
          <t>Extract the reported value for 'IPO Loans (ST Bank Loans Pay)' from the stated section. Do not calculate or replace it from other rows, because the revised template does not designate this field as formula-driven.</t>
        </is>
      </c>
      <c r="E184" s="2" t="inlineStr">
        <is>
          <t>IPO Loans (ST Bank Loans Pay)</t>
        </is>
      </c>
      <c r="F184" s="2" t="inlineStr">
        <is>
          <t>IPO Loans (ST Bank Loans Pay)</t>
        </is>
      </c>
      <c r="G184" s="2" t="inlineStr">
        <is>
          <t>^IPO\s+Loans\s+\(ST\s+Bank\s+Loans\s+Pay\)$</t>
        </is>
      </c>
      <c r="H184" s="2" t="inlineStr"/>
      <c r="I184" s="2" t="inlineStr">
        <is>
          <t>Amounts or disclosures explicitly reported for IPO Loans (ST Bank Loans Pay) in Balance Sheet / bs_cl.</t>
        </is>
      </c>
      <c r="J184" s="2" t="inlineStr">
        <is>
          <t>Do not substitute another section, period, entity scope, currency or unit; do not double count a parent and its children.</t>
        </is>
      </c>
      <c r="K184" s="2" t="inlineStr"/>
      <c r="L184" s="2" t="inlineStr">
        <is>
          <t>as_reported</t>
        </is>
      </c>
      <c r="M184" s="2" t="inlineStr">
        <is>
          <t>direct_exclusive</t>
        </is>
      </c>
      <c r="N184" s="2" t="n">
        <v>90</v>
      </c>
      <c r="O184" s="2" t="inlineStr">
        <is>
          <t>normalized_exact_then_regex</t>
        </is>
      </c>
      <c r="P184" s="3" t="inlineStr">
        <is>
          <t>extract</t>
        </is>
      </c>
      <c r="Q184" s="2" t="inlineStr">
        <is>
          <t>currency_amount</t>
        </is>
      </c>
      <c r="R184" s="2" t="inlineStr">
        <is>
          <t>period_end</t>
        </is>
      </c>
      <c r="S184" s="2" t="inlineStr">
        <is>
          <t>allowed_with_provenance</t>
        </is>
      </c>
      <c r="T184" s="2" t="b">
        <v>0</v>
      </c>
      <c r="U184" s="2" t="b">
        <v>0</v>
      </c>
      <c r="V184" s="2" t="inlineStr"/>
      <c r="W184" s="2" t="inlineStr"/>
      <c r="X184" s="2" t="inlineStr">
        <is>
          <t>Decompose only from explicit face or note evidence; never fabricate a split.</t>
        </is>
      </c>
      <c r="Y184" s="2" t="inlineStr">
        <is>
          <t>Aggregate only mutually exclusive facts with identical period, scope, currency and unit.</t>
        </is>
      </c>
      <c r="Z184" s="2" t="inlineStr">
        <is>
          <t>Bind only to Balance Sheet / bs_cl.</t>
        </is>
      </c>
      <c r="AA184" s="2" t="inlineStr"/>
      <c r="AB184" s="2" t="b">
        <v>1</v>
      </c>
      <c r="AC184" s="2" t="inlineStr"/>
      <c r="AD184" s="2" t="inlineStr">
        <is>
          <t>Exact field from Balance Sheet!A174; value cell B174.</t>
        </is>
      </c>
      <c r="AE184" s="2" t="inlineStr">
        <is>
          <t>Notes may support direct extraction or decomposition with provenance. Formula outputs must be derived only from template dependencies.</t>
        </is>
      </c>
      <c r="AF184" s="2" t="inlineStr"/>
      <c r="AG184" s="2" t="inlineStr">
        <is>
          <t>[]</t>
        </is>
      </c>
      <c r="AH184" s="2" t="inlineStr">
        <is>
          <t>IPO Loans (ST Bank Loans Pay)</t>
        </is>
      </c>
      <c r="AI184" s="2" t="inlineStr"/>
      <c r="AJ184" s="2" t="inlineStr">
        <is>
          <t>{"template_sheet": "Balance Sheet", "template_row": 174, "template_cell": "B174", "template_value_or_formula": 44, "calculation_type": "reported_input", "dependencies": [], "source_template": "Copy of Output_CSV Template.xlsx"}</t>
        </is>
      </c>
    </row>
    <row r="185">
      <c r="A185" s="2" t="inlineStr">
        <is>
          <t>bs_cl__ipo_loans_st_other_loans_pay</t>
        </is>
      </c>
      <c r="B185" s="2" t="inlineStr">
        <is>
          <t>IPO Loans (ST Other Loans Pay)</t>
        </is>
      </c>
      <c r="C185" s="2" t="inlineStr">
        <is>
          <t>bs_cl</t>
        </is>
      </c>
      <c r="D185" s="2" t="inlineStr">
        <is>
          <t>Extract the reported value for 'IPO Loans (ST Other Loans Pay)' from the stated section. Do not calculate or replace it from other rows, because the revised template does not designate this field as formula-driven.</t>
        </is>
      </c>
      <c r="E185" s="2" t="inlineStr">
        <is>
          <t>IPO Loans (ST Other Loans Pay)</t>
        </is>
      </c>
      <c r="F185" s="2" t="inlineStr">
        <is>
          <t>IPO Loans (ST Other Loans Pay)</t>
        </is>
      </c>
      <c r="G185" s="2" t="inlineStr">
        <is>
          <t>^IPO\s+Loans\s+\(ST\s+Other\s+Loans\s+Pay\)$</t>
        </is>
      </c>
      <c r="H185" s="2" t="inlineStr"/>
      <c r="I185" s="2" t="inlineStr">
        <is>
          <t>Amounts or disclosures explicitly reported for IPO Loans (ST Other Loans Pay) in Balance Sheet / bs_cl.</t>
        </is>
      </c>
      <c r="J185" s="2" t="inlineStr">
        <is>
          <t>Do not substitute another section, period, entity scope, currency or unit; do not double count a parent and its children.</t>
        </is>
      </c>
      <c r="K185" s="2" t="inlineStr"/>
      <c r="L185" s="2" t="inlineStr">
        <is>
          <t>as_reported</t>
        </is>
      </c>
      <c r="M185" s="2" t="inlineStr">
        <is>
          <t>direct_exclusive</t>
        </is>
      </c>
      <c r="N185" s="2" t="n">
        <v>90</v>
      </c>
      <c r="O185" s="2" t="inlineStr">
        <is>
          <t>normalized_exact_then_regex</t>
        </is>
      </c>
      <c r="P185" s="3" t="inlineStr">
        <is>
          <t>extract</t>
        </is>
      </c>
      <c r="Q185" s="2" t="inlineStr">
        <is>
          <t>currency_amount</t>
        </is>
      </c>
      <c r="R185" s="2" t="inlineStr">
        <is>
          <t>period_end</t>
        </is>
      </c>
      <c r="S185" s="2" t="inlineStr">
        <is>
          <t>allowed_with_provenance</t>
        </is>
      </c>
      <c r="T185" s="2" t="b">
        <v>0</v>
      </c>
      <c r="U185" s="2" t="b">
        <v>0</v>
      </c>
      <c r="V185" s="2" t="inlineStr"/>
      <c r="W185" s="2" t="inlineStr"/>
      <c r="X185" s="2" t="inlineStr">
        <is>
          <t>Decompose only from explicit face or note evidence; never fabricate a split.</t>
        </is>
      </c>
      <c r="Y185" s="2" t="inlineStr">
        <is>
          <t>Aggregate only mutually exclusive facts with identical period, scope, currency and unit.</t>
        </is>
      </c>
      <c r="Z185" s="2" t="inlineStr">
        <is>
          <t>Bind only to Balance Sheet / bs_cl.</t>
        </is>
      </c>
      <c r="AA185" s="2" t="inlineStr"/>
      <c r="AB185" s="2" t="b">
        <v>1</v>
      </c>
      <c r="AC185" s="2" t="inlineStr"/>
      <c r="AD185" s="2" t="inlineStr">
        <is>
          <t>Exact field from Balance Sheet!A175; value cell B175.</t>
        </is>
      </c>
      <c r="AE185" s="2" t="inlineStr">
        <is>
          <t>Notes may support direct extraction or decomposition with provenance. Formula outputs must be derived only from template dependencies.</t>
        </is>
      </c>
      <c r="AF185" s="2" t="inlineStr"/>
      <c r="AG185" s="2" t="inlineStr">
        <is>
          <t>[]</t>
        </is>
      </c>
      <c r="AH185" s="2" t="inlineStr">
        <is>
          <t>IPO Loans (ST Other Loans Pay)</t>
        </is>
      </c>
      <c r="AI185" s="2" t="inlineStr"/>
      <c r="AJ185" s="2" t="inlineStr">
        <is>
          <t>{"template_sheet": "Balance Sheet", "template_row": 175, "template_cell": "B175", "template_value_or_formula": 18, "calculation_type": "reported_input", "dependencies": [], "source_template": "Copy of Output_CSV Template.xlsx"}</t>
        </is>
      </c>
    </row>
    <row r="186">
      <c r="A186" s="2" t="inlineStr">
        <is>
          <t>bs_cl__repo_cp</t>
        </is>
      </c>
      <c r="B186" s="2" t="inlineStr">
        <is>
          <t>Repo(CP)</t>
        </is>
      </c>
      <c r="C186" s="2" t="inlineStr">
        <is>
          <t>bs_cl</t>
        </is>
      </c>
      <c r="D186" s="2" t="inlineStr">
        <is>
          <t>Extract the reported value for 'Repo(CP)' from the stated section. Do not calculate or replace it from other rows, because the revised template does not designate this field as formula-driven.</t>
        </is>
      </c>
      <c r="E186" s="2" t="inlineStr">
        <is>
          <t>Repo(CP)</t>
        </is>
      </c>
      <c r="F186" s="2" t="inlineStr">
        <is>
          <t>Repo(CP)</t>
        </is>
      </c>
      <c r="G186" s="2" t="inlineStr">
        <is>
          <t>^Repo\(CP\)$</t>
        </is>
      </c>
      <c r="H186" s="2" t="inlineStr"/>
      <c r="I186" s="2" t="inlineStr">
        <is>
          <t>Amounts or disclosures explicitly reported for Repo(CP) in Balance Sheet / bs_cl.</t>
        </is>
      </c>
      <c r="J186" s="2" t="inlineStr">
        <is>
          <t>Do not substitute another section, period, entity scope, currency or unit; do not double count a parent and its children.</t>
        </is>
      </c>
      <c r="K186" s="2" t="inlineStr"/>
      <c r="L186" s="2" t="inlineStr">
        <is>
          <t>as_reported</t>
        </is>
      </c>
      <c r="M186" s="2" t="inlineStr">
        <is>
          <t>direct_exclusive</t>
        </is>
      </c>
      <c r="N186" s="2" t="n">
        <v>90</v>
      </c>
      <c r="O186" s="2" t="inlineStr">
        <is>
          <t>normalized_exact_then_regex</t>
        </is>
      </c>
      <c r="P186" s="3" t="inlineStr">
        <is>
          <t>extract</t>
        </is>
      </c>
      <c r="Q186" s="2" t="inlineStr">
        <is>
          <t>currency_amount</t>
        </is>
      </c>
      <c r="R186" s="2" t="inlineStr">
        <is>
          <t>period_end</t>
        </is>
      </c>
      <c r="S186" s="2" t="inlineStr">
        <is>
          <t>allowed_with_provenance</t>
        </is>
      </c>
      <c r="T186" s="2" t="b">
        <v>0</v>
      </c>
      <c r="U186" s="2" t="b">
        <v>0</v>
      </c>
      <c r="V186" s="2" t="inlineStr"/>
      <c r="W186" s="2" t="inlineStr"/>
      <c r="X186" s="2" t="inlineStr">
        <is>
          <t>Decompose only from explicit face or note evidence; never fabricate a split.</t>
        </is>
      </c>
      <c r="Y186" s="2" t="inlineStr">
        <is>
          <t>Aggregate only mutually exclusive facts with identical period, scope, currency and unit.</t>
        </is>
      </c>
      <c r="Z186" s="2" t="inlineStr">
        <is>
          <t>Bind only to Balance Sheet / bs_cl.</t>
        </is>
      </c>
      <c r="AA186" s="2" t="inlineStr"/>
      <c r="AB186" s="2" t="b">
        <v>1</v>
      </c>
      <c r="AC186" s="2" t="inlineStr"/>
      <c r="AD186" s="2" t="inlineStr">
        <is>
          <t>Exact field from Balance Sheet!A176; value cell B176.</t>
        </is>
      </c>
      <c r="AE186" s="2" t="inlineStr">
        <is>
          <t>Notes may support direct extraction or decomposition with provenance. Formula outputs must be derived only from template dependencies.</t>
        </is>
      </c>
      <c r="AF186" s="2" t="inlineStr"/>
      <c r="AG186" s="2" t="inlineStr">
        <is>
          <t>[]</t>
        </is>
      </c>
      <c r="AH186" s="2" t="inlineStr">
        <is>
          <t>Repo(CP)</t>
        </is>
      </c>
      <c r="AI186" s="2" t="inlineStr"/>
      <c r="AJ186" s="2" t="inlineStr">
        <is>
          <t>{"template_sheet": "Balance Sheet", "template_row": 176, "template_cell": "B176", "template_value_or_formula": 35, "calculation_type": "reported_input", "dependencies": [], "source_template": "Copy of Output_CSV Template.xlsx"}</t>
        </is>
      </c>
    </row>
    <row r="187">
      <c r="A187" s="2" t="inlineStr">
        <is>
          <t>bs_cl__st_other_loans_payable</t>
        </is>
      </c>
      <c r="B187" s="2" t="inlineStr">
        <is>
          <t>ST Other Loans Payable</t>
        </is>
      </c>
      <c r="C187" s="2" t="inlineStr">
        <is>
          <t>bs_cl</t>
        </is>
      </c>
      <c r="D187" s="2" t="inlineStr">
        <is>
          <t>Extract the reported value for 'ST Other Loans Payable' from the stated section. Do not calculate or replace it from other rows, because the revised template does not designate this field as formula-driven.</t>
        </is>
      </c>
      <c r="E187" s="2" t="inlineStr">
        <is>
          <t>ST Other Loans Payable</t>
        </is>
      </c>
      <c r="F187" s="2" t="inlineStr">
        <is>
          <t>ST Other Loans Payable</t>
        </is>
      </c>
      <c r="G187" s="2" t="inlineStr">
        <is>
          <t>^ST\s+Other\s+Loans\s+Payable$</t>
        </is>
      </c>
      <c r="H187" s="2" t="inlineStr"/>
      <c r="I187" s="2" t="inlineStr">
        <is>
          <t>Amounts or disclosures explicitly reported for ST Other Loans Payable in Balance Sheet / bs_cl.</t>
        </is>
      </c>
      <c r="J187" s="2" t="inlineStr">
        <is>
          <t>Do not substitute another section, period, entity scope, currency or unit; do not double count a parent and its children.</t>
        </is>
      </c>
      <c r="K187" s="2" t="inlineStr"/>
      <c r="L187" s="2" t="inlineStr">
        <is>
          <t>as_reported</t>
        </is>
      </c>
      <c r="M187" s="2" t="inlineStr">
        <is>
          <t>direct_exclusive</t>
        </is>
      </c>
      <c r="N187" s="2" t="n">
        <v>90</v>
      </c>
      <c r="O187" s="2" t="inlineStr">
        <is>
          <t>normalized_exact_then_regex</t>
        </is>
      </c>
      <c r="P187" s="3" t="inlineStr">
        <is>
          <t>extract</t>
        </is>
      </c>
      <c r="Q187" s="2" t="inlineStr">
        <is>
          <t>currency_amount</t>
        </is>
      </c>
      <c r="R187" s="2" t="inlineStr">
        <is>
          <t>period_end</t>
        </is>
      </c>
      <c r="S187" s="2" t="inlineStr">
        <is>
          <t>allowed_with_provenance</t>
        </is>
      </c>
      <c r="T187" s="2" t="b">
        <v>0</v>
      </c>
      <c r="U187" s="2" t="b">
        <v>0</v>
      </c>
      <c r="V187" s="2" t="inlineStr"/>
      <c r="W187" s="2" t="inlineStr"/>
      <c r="X187" s="2" t="inlineStr">
        <is>
          <t>Decompose only from explicit face or note evidence; never fabricate a split.</t>
        </is>
      </c>
      <c r="Y187" s="2" t="inlineStr">
        <is>
          <t>Aggregate only mutually exclusive facts with identical period, scope, currency and unit.</t>
        </is>
      </c>
      <c r="Z187" s="2" t="inlineStr">
        <is>
          <t>Bind only to Balance Sheet / bs_cl.</t>
        </is>
      </c>
      <c r="AA187" s="2" t="inlineStr"/>
      <c r="AB187" s="2" t="b">
        <v>1</v>
      </c>
      <c r="AC187" s="2" t="inlineStr"/>
      <c r="AD187" s="2" t="inlineStr">
        <is>
          <t>Exact field from Balance Sheet!A177; value cell B177.</t>
        </is>
      </c>
      <c r="AE187" s="2" t="inlineStr">
        <is>
          <t>Notes may support direct extraction or decomposition with provenance. Formula outputs must be derived only from template dependencies.</t>
        </is>
      </c>
      <c r="AF187" s="2" t="inlineStr"/>
      <c r="AG187" s="2" t="inlineStr">
        <is>
          <t>[]</t>
        </is>
      </c>
      <c r="AH187" s="2" t="inlineStr">
        <is>
          <t>ST Other Loans Payable</t>
        </is>
      </c>
      <c r="AI187" s="2" t="inlineStr"/>
      <c r="AJ187" s="2" t="inlineStr">
        <is>
          <t>{"template_sheet": "Balance Sheet", "template_row": 177, "template_cell": "B177", "template_value_or_formula": 52, "calculation_type": "reported_input", "dependencies": [], "source_template": "Copy of Output_CSV Template.xlsx"}</t>
        </is>
      </c>
    </row>
    <row r="188">
      <c r="A188" s="2" t="inlineStr">
        <is>
          <t>bs_cl__finance_leases_cp</t>
        </is>
      </c>
      <c r="B188" s="2" t="inlineStr">
        <is>
          <t>Finance Leases(CP)</t>
        </is>
      </c>
      <c r="C188" s="2" t="inlineStr">
        <is>
          <t>bs_cl</t>
        </is>
      </c>
      <c r="D188" s="2" t="inlineStr">
        <is>
          <t>Extract the reported value for 'Finance Leases(CP)' from the stated section. Do not calculate or replace it from other rows, because the revised template does not designate this field as formula-driven.</t>
        </is>
      </c>
      <c r="E188" s="2" t="inlineStr">
        <is>
          <t>Finance Leases(CP)</t>
        </is>
      </c>
      <c r="F188" s="2" t="inlineStr">
        <is>
          <t>Finance Leases(CP)</t>
        </is>
      </c>
      <c r="G188" s="2" t="inlineStr">
        <is>
          <t>^Finance\s+Leases\(CP\)$</t>
        </is>
      </c>
      <c r="H188" s="2" t="inlineStr"/>
      <c r="I188" s="2" t="inlineStr">
        <is>
          <t>Amounts or disclosures explicitly reported for Finance Leases(CP) in Balance Sheet / bs_cl.</t>
        </is>
      </c>
      <c r="J188" s="2" t="inlineStr">
        <is>
          <t>Do not substitute another section, period, entity scope, currency or unit; do not double count a parent and its children.</t>
        </is>
      </c>
      <c r="K188" s="2" t="inlineStr"/>
      <c r="L188" s="2" t="inlineStr">
        <is>
          <t>as_reported</t>
        </is>
      </c>
      <c r="M188" s="2" t="inlineStr">
        <is>
          <t>direct_exclusive</t>
        </is>
      </c>
      <c r="N188" s="2" t="n">
        <v>90</v>
      </c>
      <c r="O188" s="2" t="inlineStr">
        <is>
          <t>normalized_exact_then_regex</t>
        </is>
      </c>
      <c r="P188" s="3" t="inlineStr">
        <is>
          <t>extract</t>
        </is>
      </c>
      <c r="Q188" s="2" t="inlineStr">
        <is>
          <t>currency_amount</t>
        </is>
      </c>
      <c r="R188" s="2" t="inlineStr">
        <is>
          <t>period_end</t>
        </is>
      </c>
      <c r="S188" s="2" t="inlineStr">
        <is>
          <t>allowed_with_provenance</t>
        </is>
      </c>
      <c r="T188" s="2" t="b">
        <v>0</v>
      </c>
      <c r="U188" s="2" t="b">
        <v>0</v>
      </c>
      <c r="V188" s="2" t="inlineStr"/>
      <c r="W188" s="2" t="inlineStr"/>
      <c r="X188" s="2" t="inlineStr">
        <is>
          <t>Decompose only from explicit face or note evidence; never fabricate a split.</t>
        </is>
      </c>
      <c r="Y188" s="2" t="inlineStr">
        <is>
          <t>Aggregate only mutually exclusive facts with identical period, scope, currency and unit.</t>
        </is>
      </c>
      <c r="Z188" s="2" t="inlineStr">
        <is>
          <t>Bind only to Balance Sheet / bs_cl.</t>
        </is>
      </c>
      <c r="AA188" s="2" t="inlineStr"/>
      <c r="AB188" s="2" t="b">
        <v>1</v>
      </c>
      <c r="AC188" s="2" t="inlineStr"/>
      <c r="AD188" s="2" t="inlineStr">
        <is>
          <t>Exact field from Balance Sheet!A178; value cell B178.</t>
        </is>
      </c>
      <c r="AE188" s="2" t="inlineStr">
        <is>
          <t>Notes may support direct extraction or decomposition with provenance. Formula outputs must be derived only from template dependencies.</t>
        </is>
      </c>
      <c r="AF188" s="2" t="inlineStr"/>
      <c r="AG188" s="2" t="inlineStr">
        <is>
          <t>[]</t>
        </is>
      </c>
      <c r="AH188" s="2" t="inlineStr">
        <is>
          <t>Finance Leases(CP)</t>
        </is>
      </c>
      <c r="AI188" s="2" t="inlineStr"/>
      <c r="AJ188" s="2" t="inlineStr">
        <is>
          <t>{"template_sheet": "Balance Sheet", "template_row": 178, "template_cell": "B178", "template_value_or_formula": 26, "calculation_type": "reported_input", "dependencies": [], "source_template": "Copy of Output_CSV Template.xlsx"}</t>
        </is>
      </c>
    </row>
    <row r="189">
      <c r="A189" s="2" t="inlineStr">
        <is>
          <t>bs_cl__overdrafts</t>
        </is>
      </c>
      <c r="B189" s="2" t="inlineStr">
        <is>
          <t>Overdrafts</t>
        </is>
      </c>
      <c r="C189" s="2" t="inlineStr">
        <is>
          <t>bs_cl</t>
        </is>
      </c>
      <c r="D189" s="2" t="inlineStr">
        <is>
          <t>Extract the reported value for 'Overdrafts' from the stated section. Do not calculate or replace it from other rows, because the revised template does not designate this field as formula-driven.</t>
        </is>
      </c>
      <c r="E189" s="2" t="inlineStr">
        <is>
          <t>Overdrafts</t>
        </is>
      </c>
      <c r="F189" s="2" t="inlineStr">
        <is>
          <t>Overdrafts</t>
        </is>
      </c>
      <c r="G189" s="2" t="inlineStr">
        <is>
          <t>^Overdrafts$</t>
        </is>
      </c>
      <c r="H189" s="2" t="inlineStr"/>
      <c r="I189" s="2" t="inlineStr">
        <is>
          <t>Amounts or disclosures explicitly reported for Overdrafts in Balance Sheet / bs_cl.</t>
        </is>
      </c>
      <c r="J189" s="2" t="inlineStr">
        <is>
          <t>Do not substitute another section, period, entity scope, currency or unit; do not double count a parent and its children.</t>
        </is>
      </c>
      <c r="K189" s="2" t="inlineStr"/>
      <c r="L189" s="2" t="inlineStr">
        <is>
          <t>as_reported</t>
        </is>
      </c>
      <c r="M189" s="2" t="inlineStr">
        <is>
          <t>direct_exclusive</t>
        </is>
      </c>
      <c r="N189" s="2" t="n">
        <v>90</v>
      </c>
      <c r="O189" s="2" t="inlineStr">
        <is>
          <t>normalized_exact_then_regex</t>
        </is>
      </c>
      <c r="P189" s="3" t="inlineStr">
        <is>
          <t>extract</t>
        </is>
      </c>
      <c r="Q189" s="2" t="inlineStr">
        <is>
          <t>currency_amount</t>
        </is>
      </c>
      <c r="R189" s="2" t="inlineStr">
        <is>
          <t>period_end</t>
        </is>
      </c>
      <c r="S189" s="2" t="inlineStr">
        <is>
          <t>allowed_with_provenance</t>
        </is>
      </c>
      <c r="T189" s="2" t="b">
        <v>0</v>
      </c>
      <c r="U189" s="2" t="b">
        <v>0</v>
      </c>
      <c r="V189" s="2" t="inlineStr"/>
      <c r="W189" s="2" t="inlineStr"/>
      <c r="X189" s="2" t="inlineStr">
        <is>
          <t>Decompose only from explicit face or note evidence; never fabricate a split.</t>
        </is>
      </c>
      <c r="Y189" s="2" t="inlineStr">
        <is>
          <t>Aggregate only mutually exclusive facts with identical period, scope, currency and unit.</t>
        </is>
      </c>
      <c r="Z189" s="2" t="inlineStr">
        <is>
          <t>Bind only to Balance Sheet / bs_cl.</t>
        </is>
      </c>
      <c r="AA189" s="2" t="inlineStr"/>
      <c r="AB189" s="2" t="b">
        <v>1</v>
      </c>
      <c r="AC189" s="2" t="inlineStr"/>
      <c r="AD189" s="2" t="inlineStr">
        <is>
          <t>Exact field from Balance Sheet!A179; value cell B179.</t>
        </is>
      </c>
      <c r="AE189" s="2" t="inlineStr">
        <is>
          <t>Notes may support direct extraction or decomposition with provenance. Formula outputs must be derived only from template dependencies.</t>
        </is>
      </c>
      <c r="AF189" s="2" t="inlineStr"/>
      <c r="AG189" s="2" t="inlineStr">
        <is>
          <t>[]</t>
        </is>
      </c>
      <c r="AH189" s="2" t="inlineStr">
        <is>
          <t>Overdrafts</t>
        </is>
      </c>
      <c r="AI189" s="2" t="inlineStr"/>
      <c r="AJ189" s="2" t="inlineStr">
        <is>
          <t>{"template_sheet": "Balance Sheet", "template_row": 179, "template_cell": "B179", "template_value_or_formula": 43, "calculation_type": "reported_input", "dependencies": [], "source_template": "Copy of Output_CSV Template.xlsx"}</t>
        </is>
      </c>
    </row>
    <row r="190">
      <c r="A190" s="2" t="inlineStr">
        <is>
          <t>bs_cl__entrusted_loan_payables_related_parties_cp</t>
        </is>
      </c>
      <c r="B190" s="2" t="inlineStr">
        <is>
          <t>Entrusted loan payables- related parties(CP)</t>
        </is>
      </c>
      <c r="C190" s="2" t="inlineStr">
        <is>
          <t>bs_cl</t>
        </is>
      </c>
      <c r="D190" s="2" t="inlineStr">
        <is>
          <t>Extract the reported value for 'Entrusted loan payables- related parties(CP)' from the stated section. Do not calculate or replace it from other rows, because the revised template does not designate this field as formula-driven.</t>
        </is>
      </c>
      <c r="E190" s="2" t="inlineStr">
        <is>
          <t>Entrusted loan payables- related parties(CP)</t>
        </is>
      </c>
      <c r="F190" s="2" t="inlineStr">
        <is>
          <t>Entrusted loan payables- related parties(CP)</t>
        </is>
      </c>
      <c r="G190" s="2" t="inlineStr">
        <is>
          <t>^Entrusted\s+loan\s+payables[\-–—]?\s+related\s+parties\(CP\)$</t>
        </is>
      </c>
      <c r="H190" s="2" t="inlineStr"/>
      <c r="I190" s="2" t="inlineStr">
        <is>
          <t>Amounts or disclosures explicitly reported for Entrusted loan payables- related parties(CP) in Balance Sheet / bs_cl.</t>
        </is>
      </c>
      <c r="J190" s="2" t="inlineStr">
        <is>
          <t>Do not substitute another section, period, entity scope, currency or unit; do not double count a parent and its children.</t>
        </is>
      </c>
      <c r="K190" s="2" t="inlineStr"/>
      <c r="L190" s="2" t="inlineStr">
        <is>
          <t>as_reported</t>
        </is>
      </c>
      <c r="M190" s="2" t="inlineStr">
        <is>
          <t>direct_exclusive</t>
        </is>
      </c>
      <c r="N190" s="2" t="n">
        <v>90</v>
      </c>
      <c r="O190" s="2" t="inlineStr">
        <is>
          <t>normalized_exact_then_regex</t>
        </is>
      </c>
      <c r="P190" s="3" t="inlineStr">
        <is>
          <t>extract</t>
        </is>
      </c>
      <c r="Q190" s="2" t="inlineStr">
        <is>
          <t>currency_amount</t>
        </is>
      </c>
      <c r="R190" s="2" t="inlineStr">
        <is>
          <t>period_end</t>
        </is>
      </c>
      <c r="S190" s="2" t="inlineStr">
        <is>
          <t>allowed_with_provenance</t>
        </is>
      </c>
      <c r="T190" s="2" t="b">
        <v>0</v>
      </c>
      <c r="U190" s="2" t="b">
        <v>0</v>
      </c>
      <c r="V190" s="2" t="inlineStr"/>
      <c r="W190" s="2" t="inlineStr"/>
      <c r="X190" s="2" t="inlineStr">
        <is>
          <t>Decompose only from explicit face or note evidence; never fabricate a split.</t>
        </is>
      </c>
      <c r="Y190" s="2" t="inlineStr">
        <is>
          <t>Aggregate only mutually exclusive facts with identical period, scope, currency and unit.</t>
        </is>
      </c>
      <c r="Z190" s="2" t="inlineStr">
        <is>
          <t>Bind only to Balance Sheet / bs_cl.</t>
        </is>
      </c>
      <c r="AA190" s="2" t="inlineStr"/>
      <c r="AB190" s="2" t="b">
        <v>1</v>
      </c>
      <c r="AC190" s="2" t="inlineStr"/>
      <c r="AD190" s="2" t="inlineStr">
        <is>
          <t>Exact field from Balance Sheet!A180; value cell B180.</t>
        </is>
      </c>
      <c r="AE190" s="2" t="inlineStr">
        <is>
          <t>Notes may support direct extraction or decomposition with provenance. Formula outputs must be derived only from template dependencies.</t>
        </is>
      </c>
      <c r="AF190" s="2" t="inlineStr"/>
      <c r="AG190" s="2" t="inlineStr">
        <is>
          <t>[]</t>
        </is>
      </c>
      <c r="AH190" s="2" t="inlineStr">
        <is>
          <t>Entrusted loan payables- related parties(CP)</t>
        </is>
      </c>
      <c r="AI190" s="2" t="inlineStr"/>
      <c r="AJ190" s="2" t="inlineStr">
        <is>
          <t>{"template_sheet": "Balance Sheet", "template_row": 180, "template_cell": "B180", "template_value_or_formula": 17, "calculation_type": "reported_input", "dependencies": [], "source_template": "Copy of Output_CSV Template.xlsx"}</t>
        </is>
      </c>
    </row>
    <row r="191">
      <c r="A191" s="2" t="inlineStr">
        <is>
          <t>bs_cl__due_to_directors_cp</t>
        </is>
      </c>
      <c r="B191" s="2" t="inlineStr">
        <is>
          <t>Due to directors(CP)</t>
        </is>
      </c>
      <c r="C191" s="2" t="inlineStr">
        <is>
          <t>bs_cl</t>
        </is>
      </c>
      <c r="D191" s="2" t="inlineStr">
        <is>
          <t>Extract the reported value for 'Due to directors(CP)' from the stated section. Do not calculate or replace it from other rows, because the revised template does not designate this field as formula-driven.</t>
        </is>
      </c>
      <c r="E191" s="2" t="inlineStr">
        <is>
          <t>Due to directors(CP)</t>
        </is>
      </c>
      <c r="F191" s="2" t="inlineStr">
        <is>
          <t>Due to directors(CP)</t>
        </is>
      </c>
      <c r="G191" s="2" t="inlineStr">
        <is>
          <t>^Due\s+to\s+directors\(CP\)$</t>
        </is>
      </c>
      <c r="H191" s="2" t="inlineStr"/>
      <c r="I191" s="2" t="inlineStr">
        <is>
          <t>Amounts or disclosures explicitly reported for Due to directors(CP) in Balance Sheet / bs_cl.</t>
        </is>
      </c>
      <c r="J191" s="2" t="inlineStr">
        <is>
          <t>Do not substitute another section, period, entity scope, currency or unit; do not double count a parent and its children.</t>
        </is>
      </c>
      <c r="K191" s="2" t="inlineStr"/>
      <c r="L191" s="2" t="inlineStr">
        <is>
          <t>as_reported</t>
        </is>
      </c>
      <c r="M191" s="2" t="inlineStr">
        <is>
          <t>direct_exclusive</t>
        </is>
      </c>
      <c r="N191" s="2" t="n">
        <v>90</v>
      </c>
      <c r="O191" s="2" t="inlineStr">
        <is>
          <t>normalized_exact_then_regex</t>
        </is>
      </c>
      <c r="P191" s="3" t="inlineStr">
        <is>
          <t>extract</t>
        </is>
      </c>
      <c r="Q191" s="2" t="inlineStr">
        <is>
          <t>currency_amount</t>
        </is>
      </c>
      <c r="R191" s="2" t="inlineStr">
        <is>
          <t>period_end</t>
        </is>
      </c>
      <c r="S191" s="2" t="inlineStr">
        <is>
          <t>allowed_with_provenance</t>
        </is>
      </c>
      <c r="T191" s="2" t="b">
        <v>0</v>
      </c>
      <c r="U191" s="2" t="b">
        <v>0</v>
      </c>
      <c r="V191" s="2" t="inlineStr"/>
      <c r="W191" s="2" t="inlineStr"/>
      <c r="X191" s="2" t="inlineStr">
        <is>
          <t>Decompose only from explicit face or note evidence; never fabricate a split.</t>
        </is>
      </c>
      <c r="Y191" s="2" t="inlineStr">
        <is>
          <t>Aggregate only mutually exclusive facts with identical period, scope, currency and unit.</t>
        </is>
      </c>
      <c r="Z191" s="2" t="inlineStr">
        <is>
          <t>Bind only to Balance Sheet / bs_cl.</t>
        </is>
      </c>
      <c r="AA191" s="2" t="inlineStr"/>
      <c r="AB191" s="2" t="b">
        <v>1</v>
      </c>
      <c r="AC191" s="2" t="inlineStr"/>
      <c r="AD191" s="2" t="inlineStr">
        <is>
          <t>Exact field from Balance Sheet!A181; value cell B181.</t>
        </is>
      </c>
      <c r="AE191" s="2" t="inlineStr">
        <is>
          <t>Notes may support direct extraction or decomposition with provenance. Formula outputs must be derived only from template dependencies.</t>
        </is>
      </c>
      <c r="AF191" s="2" t="inlineStr"/>
      <c r="AG191" s="2" t="inlineStr">
        <is>
          <t>[]</t>
        </is>
      </c>
      <c r="AH191" s="2" t="inlineStr">
        <is>
          <t>Due to directors(CP)</t>
        </is>
      </c>
      <c r="AI191" s="2" t="inlineStr"/>
      <c r="AJ191" s="2" t="inlineStr">
        <is>
          <t>{"template_sheet": "Balance Sheet", "template_row": 181, "template_cell": "B181", "template_value_or_formula": 34, "calculation_type": "reported_input", "dependencies": [], "source_template": "Copy of Output_CSV Template.xlsx"}</t>
        </is>
      </c>
    </row>
    <row r="192">
      <c r="A192" s="2" t="inlineStr">
        <is>
          <t>bs_cl__due_to_subsidiaries_cp</t>
        </is>
      </c>
      <c r="B192" s="2" t="inlineStr">
        <is>
          <t>Due to subsidiaries(CP)</t>
        </is>
      </c>
      <c r="C192" s="2" t="inlineStr">
        <is>
          <t>bs_cl</t>
        </is>
      </c>
      <c r="D192" s="2" t="inlineStr">
        <is>
          <t>Extract the reported value for 'Due to subsidiaries(CP)' from the stated section. Do not calculate or replace it from other rows, because the revised template does not designate this field as formula-driven.</t>
        </is>
      </c>
      <c r="E192" s="2" t="inlineStr">
        <is>
          <t>Due to subsidiaries(CP)</t>
        </is>
      </c>
      <c r="F192" s="2" t="inlineStr">
        <is>
          <t>Due to subsidiaries(CP)</t>
        </is>
      </c>
      <c r="G192" s="2" t="inlineStr">
        <is>
          <t>^Due\s+to\s+subsidiaries\(CP\)$</t>
        </is>
      </c>
      <c r="H192" s="2" t="inlineStr"/>
      <c r="I192" s="2" t="inlineStr">
        <is>
          <t>Amounts or disclosures explicitly reported for Due to subsidiaries(CP) in Balance Sheet / bs_cl.</t>
        </is>
      </c>
      <c r="J192" s="2" t="inlineStr">
        <is>
          <t>Do not substitute another section, period, entity scope, currency or unit; do not double count a parent and its children.</t>
        </is>
      </c>
      <c r="K192" s="2" t="inlineStr"/>
      <c r="L192" s="2" t="inlineStr">
        <is>
          <t>as_reported</t>
        </is>
      </c>
      <c r="M192" s="2" t="inlineStr">
        <is>
          <t>direct_exclusive</t>
        </is>
      </c>
      <c r="N192" s="2" t="n">
        <v>90</v>
      </c>
      <c r="O192" s="2" t="inlineStr">
        <is>
          <t>normalized_exact_then_regex</t>
        </is>
      </c>
      <c r="P192" s="3" t="inlineStr">
        <is>
          <t>extract</t>
        </is>
      </c>
      <c r="Q192" s="2" t="inlineStr">
        <is>
          <t>currency_amount</t>
        </is>
      </c>
      <c r="R192" s="2" t="inlineStr">
        <is>
          <t>period_end</t>
        </is>
      </c>
      <c r="S192" s="2" t="inlineStr">
        <is>
          <t>allowed_with_provenance</t>
        </is>
      </c>
      <c r="T192" s="2" t="b">
        <v>0</v>
      </c>
      <c r="U192" s="2" t="b">
        <v>0</v>
      </c>
      <c r="V192" s="2" t="inlineStr"/>
      <c r="W192" s="2" t="inlineStr"/>
      <c r="X192" s="2" t="inlineStr">
        <is>
          <t>Decompose only from explicit face or note evidence; never fabricate a split.</t>
        </is>
      </c>
      <c r="Y192" s="2" t="inlineStr">
        <is>
          <t>Aggregate only mutually exclusive facts with identical period, scope, currency and unit.</t>
        </is>
      </c>
      <c r="Z192" s="2" t="inlineStr">
        <is>
          <t>Bind only to Balance Sheet / bs_cl.</t>
        </is>
      </c>
      <c r="AA192" s="2" t="inlineStr"/>
      <c r="AB192" s="2" t="b">
        <v>1</v>
      </c>
      <c r="AC192" s="2" t="inlineStr"/>
      <c r="AD192" s="2" t="inlineStr">
        <is>
          <t>Exact field from Balance Sheet!A182; value cell B182.</t>
        </is>
      </c>
      <c r="AE192" s="2" t="inlineStr">
        <is>
          <t>Notes may support direct extraction or decomposition with provenance. Formula outputs must be derived only from template dependencies.</t>
        </is>
      </c>
      <c r="AF192" s="2" t="inlineStr"/>
      <c r="AG192" s="2" t="inlineStr">
        <is>
          <t>[]</t>
        </is>
      </c>
      <c r="AH192" s="2" t="inlineStr">
        <is>
          <t>Due to subsidiaries(CP)</t>
        </is>
      </c>
      <c r="AI192" s="2" t="inlineStr"/>
      <c r="AJ192" s="2" t="inlineStr">
        <is>
          <t>{"template_sheet": "Balance Sheet", "template_row": 182, "template_cell": "B182", "template_value_or_formula": 51, "calculation_type": "reported_input", "dependencies": [], "source_template": "Copy of Output_CSV Template.xlsx"}</t>
        </is>
      </c>
    </row>
    <row r="193">
      <c r="A193" s="2" t="inlineStr">
        <is>
          <t>bs_cl__due_to_related_parties_cp</t>
        </is>
      </c>
      <c r="B193" s="2" t="inlineStr">
        <is>
          <t>Due to Related Parties(CP)</t>
        </is>
      </c>
      <c r="C193" s="2" t="inlineStr">
        <is>
          <t>bs_cl</t>
        </is>
      </c>
      <c r="D193" s="2" t="inlineStr">
        <is>
          <t>Extract the reported value for 'Due to Related Parties(CP)' from the stated section. Do not calculate or replace it from other rows, because the revised template does not designate this field as formula-driven.</t>
        </is>
      </c>
      <c r="E193" s="2" t="inlineStr">
        <is>
          <t>Due to Related Parties(CP)</t>
        </is>
      </c>
      <c r="F193" s="2" t="inlineStr">
        <is>
          <t>Due to Related Parties(CP)</t>
        </is>
      </c>
      <c r="G193" s="2" t="inlineStr">
        <is>
          <t>^Due\s+to\s+Related\s+Parties\(CP\)$</t>
        </is>
      </c>
      <c r="H193" s="2" t="inlineStr"/>
      <c r="I193" s="2" t="inlineStr">
        <is>
          <t>Amounts or disclosures explicitly reported for Due to Related Parties(CP) in Balance Sheet / bs_cl.</t>
        </is>
      </c>
      <c r="J193" s="2" t="inlineStr">
        <is>
          <t>Do not substitute another section, period, entity scope, currency or unit; do not double count a parent and its children.</t>
        </is>
      </c>
      <c r="K193" s="2" t="inlineStr"/>
      <c r="L193" s="2" t="inlineStr">
        <is>
          <t>as_reported</t>
        </is>
      </c>
      <c r="M193" s="2" t="inlineStr">
        <is>
          <t>direct_exclusive</t>
        </is>
      </c>
      <c r="N193" s="2" t="n">
        <v>90</v>
      </c>
      <c r="O193" s="2" t="inlineStr">
        <is>
          <t>normalized_exact_then_regex</t>
        </is>
      </c>
      <c r="P193" s="3" t="inlineStr">
        <is>
          <t>extract</t>
        </is>
      </c>
      <c r="Q193" s="2" t="inlineStr">
        <is>
          <t>currency_amount</t>
        </is>
      </c>
      <c r="R193" s="2" t="inlineStr">
        <is>
          <t>period_end</t>
        </is>
      </c>
      <c r="S193" s="2" t="inlineStr">
        <is>
          <t>allowed_with_provenance</t>
        </is>
      </c>
      <c r="T193" s="2" t="b">
        <v>0</v>
      </c>
      <c r="U193" s="2" t="b">
        <v>0</v>
      </c>
      <c r="V193" s="2" t="inlineStr"/>
      <c r="W193" s="2" t="inlineStr"/>
      <c r="X193" s="2" t="inlineStr">
        <is>
          <t>Decompose only from explicit face or note evidence; never fabricate a split.</t>
        </is>
      </c>
      <c r="Y193" s="2" t="inlineStr">
        <is>
          <t>Aggregate only mutually exclusive facts with identical period, scope, currency and unit.</t>
        </is>
      </c>
      <c r="Z193" s="2" t="inlineStr">
        <is>
          <t>Bind only to Balance Sheet / bs_cl.</t>
        </is>
      </c>
      <c r="AA193" s="2" t="inlineStr"/>
      <c r="AB193" s="2" t="b">
        <v>1</v>
      </c>
      <c r="AC193" s="2" t="inlineStr"/>
      <c r="AD193" s="2" t="inlineStr">
        <is>
          <t>Exact field from Balance Sheet!A183; value cell B183.</t>
        </is>
      </c>
      <c r="AE193" s="2" t="inlineStr">
        <is>
          <t>Notes may support direct extraction or decomposition with provenance. Formula outputs must be derived only from template dependencies.</t>
        </is>
      </c>
      <c r="AF193" s="2" t="inlineStr"/>
      <c r="AG193" s="2" t="inlineStr">
        <is>
          <t>[]</t>
        </is>
      </c>
      <c r="AH193" s="2" t="inlineStr">
        <is>
          <t>Due to Related Parties(CP)</t>
        </is>
      </c>
      <c r="AI193" s="2" t="inlineStr"/>
      <c r="AJ193" s="2" t="inlineStr">
        <is>
          <t>{"template_sheet": "Balance Sheet", "template_row": 183, "template_cell": "B183", "template_value_or_formula": 25, "calculation_type": "reported_input", "dependencies": [], "source_template": "Copy of Output_CSV Template.xlsx"}</t>
        </is>
      </c>
    </row>
    <row r="194">
      <c r="A194" s="2" t="inlineStr">
        <is>
          <t>bs_cl__entrusted_loan_payables_shareholders_cp</t>
        </is>
      </c>
      <c r="B194" s="2" t="inlineStr">
        <is>
          <t>Entrusted loan payables- shareholders(CP)</t>
        </is>
      </c>
      <c r="C194" s="2" t="inlineStr">
        <is>
          <t>bs_cl</t>
        </is>
      </c>
      <c r="D194" s="2" t="inlineStr">
        <is>
          <t>Extract the reported value for 'Entrusted loan payables- shareholders(CP)' from the stated section. Do not calculate or replace it from other rows, because the revised template does not designate this field as formula-driven.</t>
        </is>
      </c>
      <c r="E194" s="2" t="inlineStr">
        <is>
          <t>Entrusted loan payables- shareholders(CP)</t>
        </is>
      </c>
      <c r="F194" s="2" t="inlineStr">
        <is>
          <t>Entrusted loan payables- shareholders(CP)</t>
        </is>
      </c>
      <c r="G194" s="2" t="inlineStr">
        <is>
          <t>^Entrusted\s+loan\s+payables[\-–—]?\s+shareholders\(CP\)$</t>
        </is>
      </c>
      <c r="H194" s="2" t="inlineStr"/>
      <c r="I194" s="2" t="inlineStr">
        <is>
          <t>Amounts or disclosures explicitly reported for Entrusted loan payables- shareholders(CP) in Balance Sheet / bs_cl.</t>
        </is>
      </c>
      <c r="J194" s="2" t="inlineStr">
        <is>
          <t>Do not substitute another section, period, entity scope, currency or unit; do not double count a parent and its children.</t>
        </is>
      </c>
      <c r="K194" s="2" t="inlineStr"/>
      <c r="L194" s="2" t="inlineStr">
        <is>
          <t>as_reported</t>
        </is>
      </c>
      <c r="M194" s="2" t="inlineStr">
        <is>
          <t>direct_exclusive</t>
        </is>
      </c>
      <c r="N194" s="2" t="n">
        <v>90</v>
      </c>
      <c r="O194" s="2" t="inlineStr">
        <is>
          <t>normalized_exact_then_regex</t>
        </is>
      </c>
      <c r="P194" s="3" t="inlineStr">
        <is>
          <t>extract</t>
        </is>
      </c>
      <c r="Q194" s="2" t="inlineStr">
        <is>
          <t>currency_amount</t>
        </is>
      </c>
      <c r="R194" s="2" t="inlineStr">
        <is>
          <t>period_end</t>
        </is>
      </c>
      <c r="S194" s="2" t="inlineStr">
        <is>
          <t>allowed_with_provenance</t>
        </is>
      </c>
      <c r="T194" s="2" t="b">
        <v>0</v>
      </c>
      <c r="U194" s="2" t="b">
        <v>0</v>
      </c>
      <c r="V194" s="2" t="inlineStr"/>
      <c r="W194" s="2" t="inlineStr"/>
      <c r="X194" s="2" t="inlineStr">
        <is>
          <t>Decompose only from explicit face or note evidence; never fabricate a split.</t>
        </is>
      </c>
      <c r="Y194" s="2" t="inlineStr">
        <is>
          <t>Aggregate only mutually exclusive facts with identical period, scope, currency and unit.</t>
        </is>
      </c>
      <c r="Z194" s="2" t="inlineStr">
        <is>
          <t>Bind only to Balance Sheet / bs_cl.</t>
        </is>
      </c>
      <c r="AA194" s="2" t="inlineStr"/>
      <c r="AB194" s="2" t="b">
        <v>1</v>
      </c>
      <c r="AC194" s="2" t="inlineStr"/>
      <c r="AD194" s="2" t="inlineStr">
        <is>
          <t>Exact field from Balance Sheet!A184; value cell B184.</t>
        </is>
      </c>
      <c r="AE194" s="2" t="inlineStr">
        <is>
          <t>Notes may support direct extraction or decomposition with provenance. Formula outputs must be derived only from template dependencies.</t>
        </is>
      </c>
      <c r="AF194" s="2" t="inlineStr"/>
      <c r="AG194" s="2" t="inlineStr">
        <is>
          <t>[]</t>
        </is>
      </c>
      <c r="AH194" s="2" t="inlineStr">
        <is>
          <t>Entrusted loan payables- shareholders(CP)</t>
        </is>
      </c>
      <c r="AI194" s="2" t="inlineStr"/>
      <c r="AJ194" s="2" t="inlineStr">
        <is>
          <t>{"template_sheet": "Balance Sheet", "template_row": 184, "template_cell": "B184", "template_value_or_formula": 42, "calculation_type": "reported_input", "dependencies": [], "source_template": "Copy of Output_CSV Template.xlsx"}</t>
        </is>
      </c>
    </row>
    <row r="195">
      <c r="A195" s="2" t="inlineStr">
        <is>
          <t>bs_cl__due_to_mi_cp</t>
        </is>
      </c>
      <c r="B195" s="2" t="inlineStr">
        <is>
          <t>Due to MI(CP)</t>
        </is>
      </c>
      <c r="C195" s="2" t="inlineStr">
        <is>
          <t>bs_cl</t>
        </is>
      </c>
      <c r="D195" s="2" t="inlineStr">
        <is>
          <t>Extract the reported value for 'Due to MI(CP)' from the stated section. Do not calculate or replace it from other rows, because the revised template does not designate this field as formula-driven.</t>
        </is>
      </c>
      <c r="E195" s="2" t="inlineStr">
        <is>
          <t>Due to MI(CP)</t>
        </is>
      </c>
      <c r="F195" s="2" t="inlineStr">
        <is>
          <t>Due to MI(CP)</t>
        </is>
      </c>
      <c r="G195" s="2" t="inlineStr">
        <is>
          <t>^Due\s+to\s+MI\(CP\)$</t>
        </is>
      </c>
      <c r="H195" s="2" t="inlineStr"/>
      <c r="I195" s="2" t="inlineStr">
        <is>
          <t>Amounts or disclosures explicitly reported for Due to MI(CP) in Balance Sheet / bs_cl.</t>
        </is>
      </c>
      <c r="J195" s="2" t="inlineStr">
        <is>
          <t>Do not substitute another section, period, entity scope, currency or unit; do not double count a parent and its children.</t>
        </is>
      </c>
      <c r="K195" s="2" t="inlineStr"/>
      <c r="L195" s="2" t="inlineStr">
        <is>
          <t>as_reported</t>
        </is>
      </c>
      <c r="M195" s="2" t="inlineStr">
        <is>
          <t>direct_exclusive</t>
        </is>
      </c>
      <c r="N195" s="2" t="n">
        <v>90</v>
      </c>
      <c r="O195" s="2" t="inlineStr">
        <is>
          <t>normalized_exact_then_regex</t>
        </is>
      </c>
      <c r="P195" s="3" t="inlineStr">
        <is>
          <t>extract</t>
        </is>
      </c>
      <c r="Q195" s="2" t="inlineStr">
        <is>
          <t>currency_amount</t>
        </is>
      </c>
      <c r="R195" s="2" t="inlineStr">
        <is>
          <t>period_end</t>
        </is>
      </c>
      <c r="S195" s="2" t="inlineStr">
        <is>
          <t>allowed_with_provenance</t>
        </is>
      </c>
      <c r="T195" s="2" t="b">
        <v>0</v>
      </c>
      <c r="U195" s="2" t="b">
        <v>0</v>
      </c>
      <c r="V195" s="2" t="inlineStr"/>
      <c r="W195" s="2" t="inlineStr"/>
      <c r="X195" s="2" t="inlineStr">
        <is>
          <t>Decompose only from explicit face or note evidence; never fabricate a split.</t>
        </is>
      </c>
      <c r="Y195" s="2" t="inlineStr">
        <is>
          <t>Aggregate only mutually exclusive facts with identical period, scope, currency and unit.</t>
        </is>
      </c>
      <c r="Z195" s="2" t="inlineStr">
        <is>
          <t>Bind only to Balance Sheet / bs_cl.</t>
        </is>
      </c>
      <c r="AA195" s="2" t="inlineStr"/>
      <c r="AB195" s="2" t="b">
        <v>1</v>
      </c>
      <c r="AC195" s="2" t="inlineStr"/>
      <c r="AD195" s="2" t="inlineStr">
        <is>
          <t>Exact field from Balance Sheet!A185; value cell B185.</t>
        </is>
      </c>
      <c r="AE195" s="2" t="inlineStr">
        <is>
          <t>Notes may support direct extraction or decomposition with provenance. Formula outputs must be derived only from template dependencies.</t>
        </is>
      </c>
      <c r="AF195" s="2" t="inlineStr"/>
      <c r="AG195" s="2" t="inlineStr">
        <is>
          <t>[]</t>
        </is>
      </c>
      <c r="AH195" s="2" t="inlineStr">
        <is>
          <t>Due to MI(CP)</t>
        </is>
      </c>
      <c r="AI195" s="2" t="inlineStr"/>
      <c r="AJ195" s="2" t="inlineStr">
        <is>
          <t>{"template_sheet": "Balance Sheet", "template_row": 185, "template_cell": "B185", "template_value_or_formula": 16, "calculation_type": "reported_input", "dependencies": [], "source_template": "Copy of Output_CSV Template.xlsx"}</t>
        </is>
      </c>
    </row>
    <row r="196">
      <c r="A196" s="2" t="inlineStr">
        <is>
          <t>bs_cl__due_to_sholder_cp</t>
        </is>
      </c>
      <c r="B196" s="2" t="inlineStr">
        <is>
          <t>Due to S'holder(CP)</t>
        </is>
      </c>
      <c r="C196" s="2" t="inlineStr">
        <is>
          <t>bs_cl</t>
        </is>
      </c>
      <c r="D196" s="2" t="inlineStr">
        <is>
          <t>Extract the reported value for 'Due to S'holder(CP)' from the stated section. Do not calculate or replace it from other rows, because the revised template does not designate this field as formula-driven.</t>
        </is>
      </c>
      <c r="E196" s="2" t="inlineStr">
        <is>
          <t>Due to S'holder(CP)</t>
        </is>
      </c>
      <c r="F196" s="2" t="inlineStr">
        <is>
          <t>Due to S'holder(CP)</t>
        </is>
      </c>
      <c r="G196" s="2" t="inlineStr">
        <is>
          <t>^Due\s+to\s+S'holder\(CP\)$</t>
        </is>
      </c>
      <c r="H196" s="2" t="inlineStr"/>
      <c r="I196" s="2" t="inlineStr">
        <is>
          <t>Amounts or disclosures explicitly reported for Due to S'holder(CP) in Balance Sheet / bs_cl.</t>
        </is>
      </c>
      <c r="J196" s="2" t="inlineStr">
        <is>
          <t>Do not substitute another section, period, entity scope, currency or unit; do not double count a parent and its children.</t>
        </is>
      </c>
      <c r="K196" s="2" t="inlineStr"/>
      <c r="L196" s="2" t="inlineStr">
        <is>
          <t>as_reported</t>
        </is>
      </c>
      <c r="M196" s="2" t="inlineStr">
        <is>
          <t>direct_exclusive</t>
        </is>
      </c>
      <c r="N196" s="2" t="n">
        <v>90</v>
      </c>
      <c r="O196" s="2" t="inlineStr">
        <is>
          <t>normalized_exact_then_regex</t>
        </is>
      </c>
      <c r="P196" s="3" t="inlineStr">
        <is>
          <t>extract</t>
        </is>
      </c>
      <c r="Q196" s="2" t="inlineStr">
        <is>
          <t>currency_amount</t>
        </is>
      </c>
      <c r="R196" s="2" t="inlineStr">
        <is>
          <t>period_end</t>
        </is>
      </c>
      <c r="S196" s="2" t="inlineStr">
        <is>
          <t>allowed_with_provenance</t>
        </is>
      </c>
      <c r="T196" s="2" t="b">
        <v>0</v>
      </c>
      <c r="U196" s="2" t="b">
        <v>0</v>
      </c>
      <c r="V196" s="2" t="inlineStr"/>
      <c r="W196" s="2" t="inlineStr"/>
      <c r="X196" s="2" t="inlineStr">
        <is>
          <t>Decompose only from explicit face or note evidence; never fabricate a split.</t>
        </is>
      </c>
      <c r="Y196" s="2" t="inlineStr">
        <is>
          <t>Aggregate only mutually exclusive facts with identical period, scope, currency and unit.</t>
        </is>
      </c>
      <c r="Z196" s="2" t="inlineStr">
        <is>
          <t>Bind only to Balance Sheet / bs_cl.</t>
        </is>
      </c>
      <c r="AA196" s="2" t="inlineStr"/>
      <c r="AB196" s="2" t="b">
        <v>1</v>
      </c>
      <c r="AC196" s="2" t="inlineStr"/>
      <c r="AD196" s="2" t="inlineStr">
        <is>
          <t>Exact field from Balance Sheet!A186; value cell B186.</t>
        </is>
      </c>
      <c r="AE196" s="2" t="inlineStr">
        <is>
          <t>Notes may support direct extraction or decomposition with provenance. Formula outputs must be derived only from template dependencies.</t>
        </is>
      </c>
      <c r="AF196" s="2" t="inlineStr"/>
      <c r="AG196" s="2" t="inlineStr">
        <is>
          <t>[]</t>
        </is>
      </c>
      <c r="AH196" s="2" t="inlineStr">
        <is>
          <t>Due to S'holder(CP)</t>
        </is>
      </c>
      <c r="AI196" s="2" t="inlineStr"/>
      <c r="AJ196" s="2" t="inlineStr">
        <is>
          <t>{"template_sheet": "Balance Sheet", "template_row": 186, "template_cell": "B186", "template_value_or_formula": 33, "calculation_type": "reported_input", "dependencies": [], "source_template": "Copy of Output_CSV Template.xlsx"}</t>
        </is>
      </c>
    </row>
    <row r="197">
      <c r="A197" s="2" t="inlineStr">
        <is>
          <t>bs_cl__liabilities_to_enterprises</t>
        </is>
      </c>
      <c r="B197" s="2" t="inlineStr">
        <is>
          <t>Liabilities to Enterprises</t>
        </is>
      </c>
      <c r="C197" s="2" t="inlineStr">
        <is>
          <t>bs_cl</t>
        </is>
      </c>
      <c r="D197" s="2" t="inlineStr">
        <is>
          <t>Extract the reported value for 'Liabilities to Enterprises' from the stated section. Do not calculate or replace it from other rows, because the revised template does not designate this field as formula-driven.</t>
        </is>
      </c>
      <c r="E197" s="2" t="inlineStr">
        <is>
          <t>Liabilities to Enterprises</t>
        </is>
      </c>
      <c r="F197" s="2" t="inlineStr">
        <is>
          <t>Liabilities to Enterprises</t>
        </is>
      </c>
      <c r="G197" s="2" t="inlineStr">
        <is>
          <t>^Liabilities\s+to\s+Enterprises$</t>
        </is>
      </c>
      <c r="H197" s="2" t="inlineStr"/>
      <c r="I197" s="2" t="inlineStr">
        <is>
          <t>Amounts or disclosures explicitly reported for Liabilities to Enterprises in Balance Sheet / bs_cl.</t>
        </is>
      </c>
      <c r="J197" s="2" t="inlineStr">
        <is>
          <t>Do not substitute another section, period, entity scope, currency or unit; do not double count a parent and its children.</t>
        </is>
      </c>
      <c r="K197" s="2" t="inlineStr"/>
      <c r="L197" s="2" t="inlineStr">
        <is>
          <t>as_reported</t>
        </is>
      </c>
      <c r="M197" s="2" t="inlineStr">
        <is>
          <t>direct_exclusive</t>
        </is>
      </c>
      <c r="N197" s="2" t="n">
        <v>90</v>
      </c>
      <c r="O197" s="2" t="inlineStr">
        <is>
          <t>normalized_exact_then_regex</t>
        </is>
      </c>
      <c r="P197" s="3" t="inlineStr">
        <is>
          <t>extract</t>
        </is>
      </c>
      <c r="Q197" s="2" t="inlineStr">
        <is>
          <t>currency_amount</t>
        </is>
      </c>
      <c r="R197" s="2" t="inlineStr">
        <is>
          <t>period_end</t>
        </is>
      </c>
      <c r="S197" s="2" t="inlineStr">
        <is>
          <t>allowed_with_provenance</t>
        </is>
      </c>
      <c r="T197" s="2" t="b">
        <v>0</v>
      </c>
      <c r="U197" s="2" t="b">
        <v>0</v>
      </c>
      <c r="V197" s="2" t="inlineStr"/>
      <c r="W197" s="2" t="inlineStr"/>
      <c r="X197" s="2" t="inlineStr">
        <is>
          <t>Decompose only from explicit face or note evidence; never fabricate a split.</t>
        </is>
      </c>
      <c r="Y197" s="2" t="inlineStr">
        <is>
          <t>Aggregate only mutually exclusive facts with identical period, scope, currency and unit.</t>
        </is>
      </c>
      <c r="Z197" s="2" t="inlineStr">
        <is>
          <t>Bind only to Balance Sheet / bs_cl.</t>
        </is>
      </c>
      <c r="AA197" s="2" t="inlineStr"/>
      <c r="AB197" s="2" t="b">
        <v>1</v>
      </c>
      <c r="AC197" s="2" t="inlineStr"/>
      <c r="AD197" s="2" t="inlineStr">
        <is>
          <t>Exact field from Balance Sheet!A187; value cell B187.</t>
        </is>
      </c>
      <c r="AE197" s="2" t="inlineStr">
        <is>
          <t>Notes may support direct extraction or decomposition with provenance. Formula outputs must be derived only from template dependencies.</t>
        </is>
      </c>
      <c r="AF197" s="2" t="inlineStr"/>
      <c r="AG197" s="2" t="inlineStr">
        <is>
          <t>[]</t>
        </is>
      </c>
      <c r="AH197" s="2" t="inlineStr">
        <is>
          <t>Liabilities to Enterprises</t>
        </is>
      </c>
      <c r="AI197" s="2" t="inlineStr"/>
      <c r="AJ197" s="2" t="inlineStr">
        <is>
          <t>{"template_sheet": "Balance Sheet", "template_row": 187, "template_cell": "B187", "template_value_or_formula": 50, "calculation_type": "reported_input", "dependencies": [], "source_template": "Copy of Output_CSV Template.xlsx"}</t>
        </is>
      </c>
    </row>
    <row r="198">
      <c r="A198" s="2" t="inlineStr">
        <is>
          <t>bs_cl__lease_liabilities_cp</t>
        </is>
      </c>
      <c r="B198" s="2" t="inlineStr">
        <is>
          <t>Lease liabilities(CP)</t>
        </is>
      </c>
      <c r="C198" s="2" t="inlineStr">
        <is>
          <t>bs_cl</t>
        </is>
      </c>
      <c r="D198" s="2" t="inlineStr">
        <is>
          <t>Extract the reported value for 'Lease liabilities(CP)' from the stated section. Do not calculate or replace it from other rows, because the revised template does not designate this field as formula-driven.</t>
        </is>
      </c>
      <c r="E198" s="2" t="inlineStr">
        <is>
          <t>Lease liabilities(CP)</t>
        </is>
      </c>
      <c r="F198" s="2" t="inlineStr">
        <is>
          <t>Lease liabilities(CP)</t>
        </is>
      </c>
      <c r="G198" s="2" t="inlineStr">
        <is>
          <t>^Lease\s+liabilities\(CP\)$</t>
        </is>
      </c>
      <c r="H198" s="2" t="inlineStr"/>
      <c r="I198" s="2" t="inlineStr">
        <is>
          <t>Amounts or disclosures explicitly reported for Lease liabilities(CP) in Balance Sheet / bs_cl.</t>
        </is>
      </c>
      <c r="J198" s="2" t="inlineStr">
        <is>
          <t>Do not substitute another section, period, entity scope, currency or unit; do not double count a parent and its children.</t>
        </is>
      </c>
      <c r="K198" s="2" t="inlineStr"/>
      <c r="L198" s="2" t="inlineStr">
        <is>
          <t>as_reported</t>
        </is>
      </c>
      <c r="M198" s="2" t="inlineStr">
        <is>
          <t>direct_exclusive</t>
        </is>
      </c>
      <c r="N198" s="2" t="n">
        <v>90</v>
      </c>
      <c r="O198" s="2" t="inlineStr">
        <is>
          <t>normalized_exact_then_regex</t>
        </is>
      </c>
      <c r="P198" s="3" t="inlineStr">
        <is>
          <t>extract</t>
        </is>
      </c>
      <c r="Q198" s="2" t="inlineStr">
        <is>
          <t>currency_amount</t>
        </is>
      </c>
      <c r="R198" s="2" t="inlineStr">
        <is>
          <t>period_end</t>
        </is>
      </c>
      <c r="S198" s="2" t="inlineStr">
        <is>
          <t>allowed_with_provenance</t>
        </is>
      </c>
      <c r="T198" s="2" t="b">
        <v>0</v>
      </c>
      <c r="U198" s="2" t="b">
        <v>0</v>
      </c>
      <c r="V198" s="2" t="inlineStr"/>
      <c r="W198" s="2" t="inlineStr"/>
      <c r="X198" s="2" t="inlineStr">
        <is>
          <t>Decompose only from explicit face or note evidence; never fabricate a split.</t>
        </is>
      </c>
      <c r="Y198" s="2" t="inlineStr">
        <is>
          <t>Aggregate only mutually exclusive facts with identical period, scope, currency and unit.</t>
        </is>
      </c>
      <c r="Z198" s="2" t="inlineStr">
        <is>
          <t>Bind only to Balance Sheet / bs_cl.</t>
        </is>
      </c>
      <c r="AA198" s="2" t="inlineStr"/>
      <c r="AB198" s="2" t="b">
        <v>1</v>
      </c>
      <c r="AC198" s="2" t="inlineStr"/>
      <c r="AD198" s="2" t="inlineStr">
        <is>
          <t>Exact field from Balance Sheet!A188; value cell B188.</t>
        </is>
      </c>
      <c r="AE198" s="2" t="inlineStr">
        <is>
          <t>Notes may support direct extraction or decomposition with provenance. Formula outputs must be derived only from template dependencies.</t>
        </is>
      </c>
      <c r="AF198" s="2" t="inlineStr"/>
      <c r="AG198" s="2" t="inlineStr">
        <is>
          <t>[]</t>
        </is>
      </c>
      <c r="AH198" s="2" t="inlineStr">
        <is>
          <t>Lease liabilities(CP)</t>
        </is>
      </c>
      <c r="AI198" s="2" t="inlineStr"/>
      <c r="AJ198" s="2" t="inlineStr">
        <is>
          <t>{"template_sheet": "Balance Sheet", "template_row": 188, "template_cell": "B188", "template_value_or_formula": 24, "calculation_type": "reported_input", "dependencies": [], "source_template": "Copy of Output_CSV Template.xlsx"}</t>
        </is>
      </c>
    </row>
    <row r="199">
      <c r="A199" s="2" t="inlineStr">
        <is>
          <t>bs_cl__segregated_account_cl</t>
        </is>
      </c>
      <c r="B199" s="2" t="inlineStr">
        <is>
          <t>Segregated Account(CL)</t>
        </is>
      </c>
      <c r="C199" s="2" t="inlineStr">
        <is>
          <t>bs_cl</t>
        </is>
      </c>
      <c r="D199" s="2" t="inlineStr">
        <is>
          <t>Extract the reported value for 'Segregated Account(CL)' from the stated section. Do not calculate or replace it from other rows, because the revised template does not designate this field as formula-driven.</t>
        </is>
      </c>
      <c r="E199" s="2" t="inlineStr">
        <is>
          <t>Segregated Account(CL)</t>
        </is>
      </c>
      <c r="F199" s="2" t="inlineStr">
        <is>
          <t>Segregated Account(CL)</t>
        </is>
      </c>
      <c r="G199" s="2" t="inlineStr">
        <is>
          <t>^Segregated\s+Account\(CL\)$</t>
        </is>
      </c>
      <c r="H199" s="2" t="inlineStr"/>
      <c r="I199" s="2" t="inlineStr">
        <is>
          <t>Amounts or disclosures explicitly reported for Segregated Account(CL) in Balance Sheet / bs_cl.</t>
        </is>
      </c>
      <c r="J199" s="2" t="inlineStr">
        <is>
          <t>Do not substitute another section, period, entity scope, currency or unit; do not double count a parent and its children.</t>
        </is>
      </c>
      <c r="K199" s="2" t="inlineStr"/>
      <c r="L199" s="2" t="inlineStr">
        <is>
          <t>as_reported</t>
        </is>
      </c>
      <c r="M199" s="2" t="inlineStr">
        <is>
          <t>direct_exclusive</t>
        </is>
      </c>
      <c r="N199" s="2" t="n">
        <v>90</v>
      </c>
      <c r="O199" s="2" t="inlineStr">
        <is>
          <t>normalized_exact_then_regex</t>
        </is>
      </c>
      <c r="P199" s="3" t="inlineStr">
        <is>
          <t>extract</t>
        </is>
      </c>
      <c r="Q199" s="2" t="inlineStr">
        <is>
          <t>currency_amount</t>
        </is>
      </c>
      <c r="R199" s="2" t="inlineStr">
        <is>
          <t>period_end</t>
        </is>
      </c>
      <c r="S199" s="2" t="inlineStr">
        <is>
          <t>allowed_with_provenance</t>
        </is>
      </c>
      <c r="T199" s="2" t="b">
        <v>0</v>
      </c>
      <c r="U199" s="2" t="b">
        <v>0</v>
      </c>
      <c r="V199" s="2" t="inlineStr"/>
      <c r="W199" s="2" t="inlineStr"/>
      <c r="X199" s="2" t="inlineStr">
        <is>
          <t>Decompose only from explicit face or note evidence; never fabricate a split.</t>
        </is>
      </c>
      <c r="Y199" s="2" t="inlineStr">
        <is>
          <t>Aggregate only mutually exclusive facts with identical period, scope, currency and unit.</t>
        </is>
      </c>
      <c r="Z199" s="2" t="inlineStr">
        <is>
          <t>Bind only to Balance Sheet / bs_cl.</t>
        </is>
      </c>
      <c r="AA199" s="2" t="inlineStr"/>
      <c r="AB199" s="2" t="b">
        <v>1</v>
      </c>
      <c r="AC199" s="2" t="inlineStr"/>
      <c r="AD199" s="2" t="inlineStr">
        <is>
          <t>Exact field from Balance Sheet!A189; value cell B189.</t>
        </is>
      </c>
      <c r="AE199" s="2" t="inlineStr">
        <is>
          <t>Notes may support direct extraction or decomposition with provenance. Formula outputs must be derived only from template dependencies.</t>
        </is>
      </c>
      <c r="AF199" s="2" t="inlineStr"/>
      <c r="AG199" s="2" t="inlineStr">
        <is>
          <t>[]</t>
        </is>
      </c>
      <c r="AH199" s="2" t="inlineStr">
        <is>
          <t>Segregated Account(CL)</t>
        </is>
      </c>
      <c r="AI199" s="2" t="inlineStr"/>
      <c r="AJ199" s="2" t="inlineStr">
        <is>
          <t>{"template_sheet": "Balance Sheet", "template_row": 189, "template_cell": "B189", "template_value_or_formula": 41, "calculation_type": "reported_input", "dependencies": [], "source_template": "Copy of Output_CSV Template.xlsx"}</t>
        </is>
      </c>
    </row>
    <row r="200">
      <c r="A200" s="2" t="inlineStr">
        <is>
          <t>bs_cl__suspense_account_cl</t>
        </is>
      </c>
      <c r="B200" s="2" t="inlineStr">
        <is>
          <t>Suspense Account(CL)</t>
        </is>
      </c>
      <c r="C200" s="2" t="inlineStr">
        <is>
          <t>bs_cl</t>
        </is>
      </c>
      <c r="D200" s="2" t="inlineStr">
        <is>
          <t>Extract the reported value for 'Suspense Account(CL)' from the stated section. Do not calculate or replace it from other rows, because the revised template does not designate this field as formula-driven.</t>
        </is>
      </c>
      <c r="E200" s="2" t="inlineStr">
        <is>
          <t>Suspense Account(CL)</t>
        </is>
      </c>
      <c r="F200" s="2" t="inlineStr">
        <is>
          <t>Suspense Account(CL)</t>
        </is>
      </c>
      <c r="G200" s="2" t="inlineStr">
        <is>
          <t>^Suspense\s+Account\(CL\)$</t>
        </is>
      </c>
      <c r="H200" s="2" t="inlineStr"/>
      <c r="I200" s="2" t="inlineStr">
        <is>
          <t>Amounts or disclosures explicitly reported for Suspense Account(CL) in Balance Sheet / bs_cl.</t>
        </is>
      </c>
      <c r="J200" s="2" t="inlineStr">
        <is>
          <t>Do not substitute another section, period, entity scope, currency or unit; do not double count a parent and its children.</t>
        </is>
      </c>
      <c r="K200" s="2" t="inlineStr"/>
      <c r="L200" s="2" t="inlineStr">
        <is>
          <t>as_reported</t>
        </is>
      </c>
      <c r="M200" s="2" t="inlineStr">
        <is>
          <t>direct_exclusive</t>
        </is>
      </c>
      <c r="N200" s="2" t="n">
        <v>90</v>
      </c>
      <c r="O200" s="2" t="inlineStr">
        <is>
          <t>normalized_exact_then_regex</t>
        </is>
      </c>
      <c r="P200" s="3" t="inlineStr">
        <is>
          <t>extract</t>
        </is>
      </c>
      <c r="Q200" s="2" t="inlineStr">
        <is>
          <t>currency_amount</t>
        </is>
      </c>
      <c r="R200" s="2" t="inlineStr">
        <is>
          <t>period_end</t>
        </is>
      </c>
      <c r="S200" s="2" t="inlineStr">
        <is>
          <t>allowed_with_provenance</t>
        </is>
      </c>
      <c r="T200" s="2" t="b">
        <v>0</v>
      </c>
      <c r="U200" s="2" t="b">
        <v>0</v>
      </c>
      <c r="V200" s="2" t="inlineStr"/>
      <c r="W200" s="2" t="inlineStr"/>
      <c r="X200" s="2" t="inlineStr">
        <is>
          <t>Decompose only from explicit face or note evidence; never fabricate a split.</t>
        </is>
      </c>
      <c r="Y200" s="2" t="inlineStr">
        <is>
          <t>Aggregate only mutually exclusive facts with identical period, scope, currency and unit.</t>
        </is>
      </c>
      <c r="Z200" s="2" t="inlineStr">
        <is>
          <t>Bind only to Balance Sheet / bs_cl.</t>
        </is>
      </c>
      <c r="AA200" s="2" t="inlineStr"/>
      <c r="AB200" s="2" t="b">
        <v>1</v>
      </c>
      <c r="AC200" s="2" t="inlineStr"/>
      <c r="AD200" s="2" t="inlineStr">
        <is>
          <t>Exact field from Balance Sheet!A190; value cell B190.</t>
        </is>
      </c>
      <c r="AE200" s="2" t="inlineStr">
        <is>
          <t>Notes may support direct extraction or decomposition with provenance. Formula outputs must be derived only from template dependencies.</t>
        </is>
      </c>
      <c r="AF200" s="2" t="inlineStr"/>
      <c r="AG200" s="2" t="inlineStr">
        <is>
          <t>[]</t>
        </is>
      </c>
      <c r="AH200" s="2" t="inlineStr">
        <is>
          <t>Suspense Account(CL)</t>
        </is>
      </c>
      <c r="AI200" s="2" t="inlineStr"/>
      <c r="AJ200" s="2" t="inlineStr">
        <is>
          <t>{"template_sheet": "Balance Sheet", "template_row": 190, "template_cell": "B190", "template_value_or_formula": 15, "calculation_type": "reported_input", "dependencies": [], "source_template": "Copy of Output_CSV Template.xlsx"}</t>
        </is>
      </c>
    </row>
    <row r="201">
      <c r="A201" s="2" t="inlineStr">
        <is>
          <t>bs_cl__other_current_liabilities</t>
        </is>
      </c>
      <c r="B201" s="2" t="inlineStr">
        <is>
          <t>Other Current Liabilities</t>
        </is>
      </c>
      <c r="C201" s="2" t="inlineStr">
        <is>
          <t>bs_cl</t>
        </is>
      </c>
      <c r="D201" s="2" t="inlineStr">
        <is>
          <t>Extract the reported value for 'Other Current Liabilities' from the stated section. Do not calculate or replace it from other rows, because the revised template does not designate this field as formula-driven.</t>
        </is>
      </c>
      <c r="E201" s="2" t="inlineStr">
        <is>
          <t>Other Current Liabilities</t>
        </is>
      </c>
      <c r="F201" s="2" t="inlineStr">
        <is>
          <t>Other Current Liabilities</t>
        </is>
      </c>
      <c r="G201" s="2" t="inlineStr">
        <is>
          <t>^Other\s+Current\s+Liabilities$</t>
        </is>
      </c>
      <c r="H201" s="2" t="inlineStr"/>
      <c r="I201" s="2" t="inlineStr">
        <is>
          <t>Amounts or disclosures explicitly reported for Other Current Liabilities in Balance Sheet / bs_cl.</t>
        </is>
      </c>
      <c r="J201" s="2" t="inlineStr">
        <is>
          <t>Do not substitute another section, period, entity scope, currency or unit; do not double count a parent and its children.</t>
        </is>
      </c>
      <c r="K201" s="2" t="inlineStr"/>
      <c r="L201" s="2" t="inlineStr">
        <is>
          <t>as_reported</t>
        </is>
      </c>
      <c r="M201" s="2" t="inlineStr">
        <is>
          <t>direct_exclusive</t>
        </is>
      </c>
      <c r="N201" s="2" t="n">
        <v>90</v>
      </c>
      <c r="O201" s="2" t="inlineStr">
        <is>
          <t>normalized_exact_then_regex</t>
        </is>
      </c>
      <c r="P201" s="3" t="inlineStr">
        <is>
          <t>extract</t>
        </is>
      </c>
      <c r="Q201" s="2" t="inlineStr">
        <is>
          <t>currency_amount</t>
        </is>
      </c>
      <c r="R201" s="2" t="inlineStr">
        <is>
          <t>period_end</t>
        </is>
      </c>
      <c r="S201" s="2" t="inlineStr">
        <is>
          <t>allowed_with_provenance</t>
        </is>
      </c>
      <c r="T201" s="2" t="b">
        <v>0</v>
      </c>
      <c r="U201" s="2" t="b">
        <v>0</v>
      </c>
      <c r="V201" s="2" t="inlineStr"/>
      <c r="W201" s="2" t="inlineStr"/>
      <c r="X201" s="2" t="inlineStr">
        <is>
          <t>Decompose only from explicit face or note evidence; never fabricate a split.</t>
        </is>
      </c>
      <c r="Y201" s="2" t="inlineStr">
        <is>
          <t>Aggregate only mutually exclusive facts with identical period, scope, currency and unit.</t>
        </is>
      </c>
      <c r="Z201" s="2" t="inlineStr">
        <is>
          <t>Bind only to Balance Sheet / bs_cl.</t>
        </is>
      </c>
      <c r="AA201" s="2" t="inlineStr"/>
      <c r="AB201" s="2" t="b">
        <v>1</v>
      </c>
      <c r="AC201" s="2" t="inlineStr"/>
      <c r="AD201" s="2" t="inlineStr">
        <is>
          <t>Exact field from Balance Sheet!A191; value cell B191.</t>
        </is>
      </c>
      <c r="AE201" s="2" t="inlineStr">
        <is>
          <t>Notes may support direct extraction or decomposition with provenance. Formula outputs must be derived only from template dependencies.</t>
        </is>
      </c>
      <c r="AF201" s="2" t="inlineStr">
        <is>
          <t>{"mode": "no_balancing_plug", "negative_result": "review"}</t>
        </is>
      </c>
      <c r="AG201" s="2" t="inlineStr">
        <is>
          <t>[]</t>
        </is>
      </c>
      <c r="AH201" s="2" t="inlineStr">
        <is>
          <t>Other Current Liabilities</t>
        </is>
      </c>
      <c r="AI201" s="2" t="inlineStr"/>
      <c r="AJ201" s="2" t="inlineStr">
        <is>
          <t>{"template_sheet": "Balance Sheet", "template_row": 191, "template_cell": "B191", "template_value_or_formula": 32, "calculation_type": "reported_input", "dependencies": [], "source_template": "Copy of Output_CSV Template.xlsx"}</t>
        </is>
      </c>
    </row>
    <row r="202">
      <c r="A202" s="2" t="inlineStr">
        <is>
          <t>bs_cl__customer_advances_cp</t>
        </is>
      </c>
      <c r="B202" s="2" t="inlineStr">
        <is>
          <t>Customer Advances(CP)</t>
        </is>
      </c>
      <c r="C202" s="2" t="inlineStr">
        <is>
          <t>bs_cl</t>
        </is>
      </c>
      <c r="D202" s="2" t="inlineStr">
        <is>
          <t>Extract the reported value for 'Customer Advances(CP)' from the stated section. Do not calculate or replace it from other rows, because the revised template does not designate this field as formula-driven.</t>
        </is>
      </c>
      <c r="E202" s="2" t="inlineStr">
        <is>
          <t>Customer Advances(CP)</t>
        </is>
      </c>
      <c r="F202" s="2" t="inlineStr">
        <is>
          <t>Customer Advances(CP)</t>
        </is>
      </c>
      <c r="G202" s="2" t="inlineStr">
        <is>
          <t>^Customer\s+Advances\(CP\)$</t>
        </is>
      </c>
      <c r="H202" s="2" t="inlineStr"/>
      <c r="I202" s="2" t="inlineStr">
        <is>
          <t>Amounts or disclosures explicitly reported for Customer Advances(CP) in Balance Sheet / bs_cl.</t>
        </is>
      </c>
      <c r="J202" s="2" t="inlineStr">
        <is>
          <t>Do not substitute another section, period, entity scope, currency or unit; do not double count a parent and its children.</t>
        </is>
      </c>
      <c r="K202" s="2" t="inlineStr"/>
      <c r="L202" s="2" t="inlineStr">
        <is>
          <t>as_reported</t>
        </is>
      </c>
      <c r="M202" s="2" t="inlineStr">
        <is>
          <t>direct_exclusive</t>
        </is>
      </c>
      <c r="N202" s="2" t="n">
        <v>90</v>
      </c>
      <c r="O202" s="2" t="inlineStr">
        <is>
          <t>normalized_exact_then_regex</t>
        </is>
      </c>
      <c r="P202" s="3" t="inlineStr">
        <is>
          <t>extract</t>
        </is>
      </c>
      <c r="Q202" s="2" t="inlineStr">
        <is>
          <t>currency_amount</t>
        </is>
      </c>
      <c r="R202" s="2" t="inlineStr">
        <is>
          <t>period_end</t>
        </is>
      </c>
      <c r="S202" s="2" t="inlineStr">
        <is>
          <t>allowed_with_provenance</t>
        </is>
      </c>
      <c r="T202" s="2" t="b">
        <v>0</v>
      </c>
      <c r="U202" s="2" t="b">
        <v>0</v>
      </c>
      <c r="V202" s="2" t="inlineStr"/>
      <c r="W202" s="2" t="inlineStr"/>
      <c r="X202" s="2" t="inlineStr">
        <is>
          <t>Decompose only from explicit face or note evidence; never fabricate a split.</t>
        </is>
      </c>
      <c r="Y202" s="2" t="inlineStr">
        <is>
          <t>Aggregate only mutually exclusive facts with identical period, scope, currency and unit.</t>
        </is>
      </c>
      <c r="Z202" s="2" t="inlineStr">
        <is>
          <t>Bind only to Balance Sheet / bs_cl.</t>
        </is>
      </c>
      <c r="AA202" s="2" t="inlineStr"/>
      <c r="AB202" s="2" t="b">
        <v>1</v>
      </c>
      <c r="AC202" s="2" t="inlineStr"/>
      <c r="AD202" s="2" t="inlineStr">
        <is>
          <t>Exact field from Balance Sheet!A192; value cell B192.</t>
        </is>
      </c>
      <c r="AE202" s="2" t="inlineStr">
        <is>
          <t>Notes may support direct extraction or decomposition with provenance. Formula outputs must be derived only from template dependencies.</t>
        </is>
      </c>
      <c r="AF202" s="2" t="inlineStr"/>
      <c r="AG202" s="2" t="inlineStr">
        <is>
          <t>[]</t>
        </is>
      </c>
      <c r="AH202" s="2" t="inlineStr">
        <is>
          <t>Customer Advances(CP)</t>
        </is>
      </c>
      <c r="AI202" s="2" t="inlineStr"/>
      <c r="AJ202" s="2" t="inlineStr">
        <is>
          <t>{"template_sheet": "Balance Sheet", "template_row": 192, "template_cell": "B192", "template_value_or_formula": 49, "calculation_type": "reported_input", "dependencies": [], "source_template": "Copy of Output_CSV Template.xlsx"}</t>
        </is>
      </c>
    </row>
    <row r="203">
      <c r="A203" s="2" t="inlineStr">
        <is>
          <t>bs_cl__deferred_income_cp</t>
        </is>
      </c>
      <c r="B203" s="2" t="inlineStr">
        <is>
          <t>Deferred Income(CP)</t>
        </is>
      </c>
      <c r="C203" s="2" t="inlineStr">
        <is>
          <t>bs_cl</t>
        </is>
      </c>
      <c r="D203" s="2" t="inlineStr">
        <is>
          <t>Extract the reported value for 'Deferred Income(CP)' from the stated section. Do not calculate or replace it from other rows, because the revised template does not designate this field as formula-driven.</t>
        </is>
      </c>
      <c r="E203" s="2" t="inlineStr">
        <is>
          <t>Deferred Income(CP)</t>
        </is>
      </c>
      <c r="F203" s="2" t="inlineStr">
        <is>
          <t>Deferred Income(CP)</t>
        </is>
      </c>
      <c r="G203" s="2" t="inlineStr">
        <is>
          <t>^Deferred\s+Income\(CP\)$</t>
        </is>
      </c>
      <c r="H203" s="2" t="inlineStr"/>
      <c r="I203" s="2" t="inlineStr">
        <is>
          <t>Amounts or disclosures explicitly reported for Deferred Income(CP) in Balance Sheet / bs_cl.</t>
        </is>
      </c>
      <c r="J203" s="2" t="inlineStr">
        <is>
          <t>Do not substitute another section, period, entity scope, currency or unit; do not double count a parent and its children.</t>
        </is>
      </c>
      <c r="K203" s="2" t="inlineStr"/>
      <c r="L203" s="2" t="inlineStr">
        <is>
          <t>as_reported</t>
        </is>
      </c>
      <c r="M203" s="2" t="inlineStr">
        <is>
          <t>direct_exclusive</t>
        </is>
      </c>
      <c r="N203" s="2" t="n">
        <v>90</v>
      </c>
      <c r="O203" s="2" t="inlineStr">
        <is>
          <t>normalized_exact_then_regex</t>
        </is>
      </c>
      <c r="P203" s="3" t="inlineStr">
        <is>
          <t>extract</t>
        </is>
      </c>
      <c r="Q203" s="2" t="inlineStr">
        <is>
          <t>currency_amount</t>
        </is>
      </c>
      <c r="R203" s="2" t="inlineStr">
        <is>
          <t>period_end</t>
        </is>
      </c>
      <c r="S203" s="2" t="inlineStr">
        <is>
          <t>allowed_with_provenance</t>
        </is>
      </c>
      <c r="T203" s="2" t="b">
        <v>0</v>
      </c>
      <c r="U203" s="2" t="b">
        <v>0</v>
      </c>
      <c r="V203" s="2" t="inlineStr"/>
      <c r="W203" s="2" t="inlineStr"/>
      <c r="X203" s="2" t="inlineStr">
        <is>
          <t>Decompose only from explicit face or note evidence; never fabricate a split.</t>
        </is>
      </c>
      <c r="Y203" s="2" t="inlineStr">
        <is>
          <t>Aggregate only mutually exclusive facts with identical period, scope, currency and unit.</t>
        </is>
      </c>
      <c r="Z203" s="2" t="inlineStr">
        <is>
          <t>Bind only to Balance Sheet / bs_cl.</t>
        </is>
      </c>
      <c r="AA203" s="2" t="inlineStr"/>
      <c r="AB203" s="2" t="b">
        <v>1</v>
      </c>
      <c r="AC203" s="2" t="inlineStr"/>
      <c r="AD203" s="2" t="inlineStr">
        <is>
          <t>Exact field from Balance Sheet!A193; value cell B193.</t>
        </is>
      </c>
      <c r="AE203" s="2" t="inlineStr">
        <is>
          <t>Notes may support direct extraction or decomposition with provenance. Formula outputs must be derived only from template dependencies.</t>
        </is>
      </c>
      <c r="AF203" s="2" t="inlineStr"/>
      <c r="AG203" s="2" t="inlineStr">
        <is>
          <t>[]</t>
        </is>
      </c>
      <c r="AH203" s="2" t="inlineStr">
        <is>
          <t>Deferred Income(CP)</t>
        </is>
      </c>
      <c r="AI203" s="2" t="inlineStr"/>
      <c r="AJ203" s="2" t="inlineStr">
        <is>
          <t>{"template_sheet": "Balance Sheet", "template_row": 193, "template_cell": "B193", "template_value_or_formula": 23, "calculation_type": "reported_input", "dependencies": [], "source_template": "Copy of Output_CSV Template.xlsx"}</t>
        </is>
      </c>
    </row>
    <row r="204">
      <c r="A204" s="2" t="inlineStr">
        <is>
          <t>bs_cl__billings_in_excess_of_costs</t>
        </is>
      </c>
      <c r="B204" s="2" t="inlineStr">
        <is>
          <t>Billings in Excess of Costs</t>
        </is>
      </c>
      <c r="C204" s="2" t="inlineStr">
        <is>
          <t>bs_cl</t>
        </is>
      </c>
      <c r="D204" s="2" t="inlineStr">
        <is>
          <t>Extract the reported value for 'Billings in Excess of Costs' from the stated section. Do not calculate or replace it from other rows, because the revised template does not designate this field as formula-driven.</t>
        </is>
      </c>
      <c r="E204" s="2" t="inlineStr">
        <is>
          <t>Billings in Excess of Costs</t>
        </is>
      </c>
      <c r="F204" s="2" t="inlineStr">
        <is>
          <t>Billings in Excess of Costs</t>
        </is>
      </c>
      <c r="G204" s="2" t="inlineStr">
        <is>
          <t>^Billings\s+in\s+Excess\s+of\s+Costs$</t>
        </is>
      </c>
      <c r="H204" s="2" t="inlineStr"/>
      <c r="I204" s="2" t="inlineStr">
        <is>
          <t>Amounts or disclosures explicitly reported for Billings in Excess of Costs in Balance Sheet / bs_cl.</t>
        </is>
      </c>
      <c r="J204" s="2" t="inlineStr">
        <is>
          <t>Do not substitute another section, period, entity scope, currency or unit; do not double count a parent and its children.</t>
        </is>
      </c>
      <c r="K204" s="2" t="inlineStr"/>
      <c r="L204" s="2" t="inlineStr">
        <is>
          <t>as_reported</t>
        </is>
      </c>
      <c r="M204" s="2" t="inlineStr">
        <is>
          <t>direct_exclusive</t>
        </is>
      </c>
      <c r="N204" s="2" t="n">
        <v>90</v>
      </c>
      <c r="O204" s="2" t="inlineStr">
        <is>
          <t>normalized_exact_then_regex</t>
        </is>
      </c>
      <c r="P204" s="3" t="inlineStr">
        <is>
          <t>extract</t>
        </is>
      </c>
      <c r="Q204" s="2" t="inlineStr">
        <is>
          <t>currency_amount</t>
        </is>
      </c>
      <c r="R204" s="2" t="inlineStr">
        <is>
          <t>period_end</t>
        </is>
      </c>
      <c r="S204" s="2" t="inlineStr">
        <is>
          <t>allowed_with_provenance</t>
        </is>
      </c>
      <c r="T204" s="2" t="b">
        <v>0</v>
      </c>
      <c r="U204" s="2" t="b">
        <v>0</v>
      </c>
      <c r="V204" s="2" t="inlineStr"/>
      <c r="W204" s="2" t="inlineStr"/>
      <c r="X204" s="2" t="inlineStr">
        <is>
          <t>Decompose only from explicit face or note evidence; never fabricate a split.</t>
        </is>
      </c>
      <c r="Y204" s="2" t="inlineStr">
        <is>
          <t>Aggregate only mutually exclusive facts with identical period, scope, currency and unit.</t>
        </is>
      </c>
      <c r="Z204" s="2" t="inlineStr">
        <is>
          <t>Bind only to Balance Sheet / bs_cl.</t>
        </is>
      </c>
      <c r="AA204" s="2" t="inlineStr"/>
      <c r="AB204" s="2" t="b">
        <v>1</v>
      </c>
      <c r="AC204" s="2" t="inlineStr"/>
      <c r="AD204" s="2" t="inlineStr">
        <is>
          <t>Exact field from Balance Sheet!A194; value cell B194.</t>
        </is>
      </c>
      <c r="AE204" s="2" t="inlineStr">
        <is>
          <t>Notes may support direct extraction or decomposition with provenance. Formula outputs must be derived only from template dependencies.</t>
        </is>
      </c>
      <c r="AF204" s="2" t="inlineStr"/>
      <c r="AG204" s="2" t="inlineStr">
        <is>
          <t>[]</t>
        </is>
      </c>
      <c r="AH204" s="2" t="inlineStr">
        <is>
          <t>Billings in Excess of Costs</t>
        </is>
      </c>
      <c r="AI204" s="2" t="inlineStr"/>
      <c r="AJ204" s="2" t="inlineStr">
        <is>
          <t>{"template_sheet": "Balance Sheet", "template_row": 194, "template_cell": "B194", "template_value_or_formula": 40, "calculation_type": "reported_input", "dependencies": [], "source_template": "Copy of Output_CSV Template.xlsx"}</t>
        </is>
      </c>
    </row>
    <row r="205">
      <c r="A205" s="2" t="inlineStr">
        <is>
          <t>bs_cl__futures_cl</t>
        </is>
      </c>
      <c r="B205" s="2" t="inlineStr">
        <is>
          <t>Futures(CL)</t>
        </is>
      </c>
      <c r="C205" s="2" t="inlineStr">
        <is>
          <t>bs_cl</t>
        </is>
      </c>
      <c r="D205" s="2" t="inlineStr">
        <is>
          <t>Extract the reported value for 'Futures(CL)' from the stated section. Do not calculate or replace it from other rows, because the revised template does not designate this field as formula-driven.</t>
        </is>
      </c>
      <c r="E205" s="2" t="inlineStr">
        <is>
          <t>Futures(CL)</t>
        </is>
      </c>
      <c r="F205" s="2" t="inlineStr">
        <is>
          <t>Futures(CL)</t>
        </is>
      </c>
      <c r="G205" s="2" t="inlineStr">
        <is>
          <t>^Futures\(CL\)$</t>
        </is>
      </c>
      <c r="H205" s="2" t="inlineStr"/>
      <c r="I205" s="2" t="inlineStr">
        <is>
          <t>Amounts or disclosures explicitly reported for Futures(CL) in Balance Sheet / bs_cl.</t>
        </is>
      </c>
      <c r="J205" s="2" t="inlineStr">
        <is>
          <t>Do not substitute another section, period, entity scope, currency or unit; do not double count a parent and its children.</t>
        </is>
      </c>
      <c r="K205" s="2" t="inlineStr"/>
      <c r="L205" s="2" t="inlineStr">
        <is>
          <t>as_reported</t>
        </is>
      </c>
      <c r="M205" s="2" t="inlineStr">
        <is>
          <t>direct_exclusive</t>
        </is>
      </c>
      <c r="N205" s="2" t="n">
        <v>90</v>
      </c>
      <c r="O205" s="2" t="inlineStr">
        <is>
          <t>normalized_exact_then_regex</t>
        </is>
      </c>
      <c r="P205" s="3" t="inlineStr">
        <is>
          <t>extract</t>
        </is>
      </c>
      <c r="Q205" s="2" t="inlineStr">
        <is>
          <t>currency_amount</t>
        </is>
      </c>
      <c r="R205" s="2" t="inlineStr">
        <is>
          <t>period_end</t>
        </is>
      </c>
      <c r="S205" s="2" t="inlineStr">
        <is>
          <t>allowed_with_provenance</t>
        </is>
      </c>
      <c r="T205" s="2" t="b">
        <v>0</v>
      </c>
      <c r="U205" s="2" t="b">
        <v>0</v>
      </c>
      <c r="V205" s="2" t="inlineStr"/>
      <c r="W205" s="2" t="inlineStr"/>
      <c r="X205" s="2" t="inlineStr">
        <is>
          <t>Decompose only from explicit face or note evidence; never fabricate a split.</t>
        </is>
      </c>
      <c r="Y205" s="2" t="inlineStr">
        <is>
          <t>Aggregate only mutually exclusive facts with identical period, scope, currency and unit.</t>
        </is>
      </c>
      <c r="Z205" s="2" t="inlineStr">
        <is>
          <t>Bind only to Balance Sheet / bs_cl.</t>
        </is>
      </c>
      <c r="AA205" s="2" t="inlineStr"/>
      <c r="AB205" s="2" t="b">
        <v>1</v>
      </c>
      <c r="AC205" s="2" t="inlineStr"/>
      <c r="AD205" s="2" t="inlineStr">
        <is>
          <t>Exact field from Balance Sheet!A195; value cell B195.</t>
        </is>
      </c>
      <c r="AE205" s="2" t="inlineStr">
        <is>
          <t>Notes may support direct extraction or decomposition with provenance. Formula outputs must be derived only from template dependencies.</t>
        </is>
      </c>
      <c r="AF205" s="2" t="inlineStr"/>
      <c r="AG205" s="2" t="inlineStr">
        <is>
          <t>[]</t>
        </is>
      </c>
      <c r="AH205" s="2" t="inlineStr">
        <is>
          <t>Futures(CL)</t>
        </is>
      </c>
      <c r="AI205" s="2" t="inlineStr"/>
      <c r="AJ205" s="2" t="inlineStr">
        <is>
          <t>{"template_sheet": "Balance Sheet", "template_row": 195, "template_cell": "B195", "template_value_or_formula": 14, "calculation_type": "reported_input", "dependencies": [], "source_template": "Copy of Output_CSV Template.xlsx"}</t>
        </is>
      </c>
    </row>
    <row r="206">
      <c r="A206" s="2" t="inlineStr">
        <is>
          <t>bs_cl__options_cl</t>
        </is>
      </c>
      <c r="B206" s="2" t="inlineStr">
        <is>
          <t>Options(CL)</t>
        </is>
      </c>
      <c r="C206" s="2" t="inlineStr">
        <is>
          <t>bs_cl</t>
        </is>
      </c>
      <c r="D206" s="2" t="inlineStr">
        <is>
          <t>Extract the reported value for 'Options(CL)' from the stated section. Do not calculate or replace it from other rows, because the revised template does not designate this field as formula-driven.</t>
        </is>
      </c>
      <c r="E206" s="2" t="inlineStr">
        <is>
          <t>Options(CL)</t>
        </is>
      </c>
      <c r="F206" s="2" t="inlineStr">
        <is>
          <t>Options(CL)</t>
        </is>
      </c>
      <c r="G206" s="2" t="inlineStr">
        <is>
          <t>^Options\(CL\)$</t>
        </is>
      </c>
      <c r="H206" s="2" t="inlineStr"/>
      <c r="I206" s="2" t="inlineStr">
        <is>
          <t>Amounts or disclosures explicitly reported for Options(CL) in Balance Sheet / bs_cl.</t>
        </is>
      </c>
      <c r="J206" s="2" t="inlineStr">
        <is>
          <t>Do not substitute another section, period, entity scope, currency or unit; do not double count a parent and its children.</t>
        </is>
      </c>
      <c r="K206" s="2" t="inlineStr"/>
      <c r="L206" s="2" t="inlineStr">
        <is>
          <t>as_reported</t>
        </is>
      </c>
      <c r="M206" s="2" t="inlineStr">
        <is>
          <t>direct_exclusive</t>
        </is>
      </c>
      <c r="N206" s="2" t="n">
        <v>90</v>
      </c>
      <c r="O206" s="2" t="inlineStr">
        <is>
          <t>normalized_exact_then_regex</t>
        </is>
      </c>
      <c r="P206" s="3" t="inlineStr">
        <is>
          <t>extract</t>
        </is>
      </c>
      <c r="Q206" s="2" t="inlineStr">
        <is>
          <t>currency_amount</t>
        </is>
      </c>
      <c r="R206" s="2" t="inlineStr">
        <is>
          <t>period_end</t>
        </is>
      </c>
      <c r="S206" s="2" t="inlineStr">
        <is>
          <t>allowed_with_provenance</t>
        </is>
      </c>
      <c r="T206" s="2" t="b">
        <v>0</v>
      </c>
      <c r="U206" s="2" t="b">
        <v>0</v>
      </c>
      <c r="V206" s="2" t="inlineStr"/>
      <c r="W206" s="2" t="inlineStr"/>
      <c r="X206" s="2" t="inlineStr">
        <is>
          <t>Decompose only from explicit face or note evidence; never fabricate a split.</t>
        </is>
      </c>
      <c r="Y206" s="2" t="inlineStr">
        <is>
          <t>Aggregate only mutually exclusive facts with identical period, scope, currency and unit.</t>
        </is>
      </c>
      <c r="Z206" s="2" t="inlineStr">
        <is>
          <t>Bind only to Balance Sheet / bs_cl.</t>
        </is>
      </c>
      <c r="AA206" s="2" t="inlineStr"/>
      <c r="AB206" s="2" t="b">
        <v>1</v>
      </c>
      <c r="AC206" s="2" t="inlineStr"/>
      <c r="AD206" s="2" t="inlineStr">
        <is>
          <t>Exact field from Balance Sheet!A196; value cell B196.</t>
        </is>
      </c>
      <c r="AE206" s="2" t="inlineStr">
        <is>
          <t>Notes may support direct extraction or decomposition with provenance. Formula outputs must be derived only from template dependencies.</t>
        </is>
      </c>
      <c r="AF206" s="2" t="inlineStr"/>
      <c r="AG206" s="2" t="inlineStr">
        <is>
          <t>[]</t>
        </is>
      </c>
      <c r="AH206" s="2" t="inlineStr">
        <is>
          <t>Options(CL)</t>
        </is>
      </c>
      <c r="AI206" s="2" t="inlineStr"/>
      <c r="AJ206" s="2" t="inlineStr">
        <is>
          <t>{"template_sheet": "Balance Sheet", "template_row": 196, "template_cell": "B196", "template_value_or_formula": 31, "calculation_type": "reported_input", "dependencies": [], "source_template": "Copy of Output_CSV Template.xlsx"}</t>
        </is>
      </c>
    </row>
    <row r="207">
      <c r="A207" s="2" t="inlineStr">
        <is>
          <t>bs_cl__forwards_cl</t>
        </is>
      </c>
      <c r="B207" s="2" t="inlineStr">
        <is>
          <t>Forwards(CL)</t>
        </is>
      </c>
      <c r="C207" s="2" t="inlineStr">
        <is>
          <t>bs_cl</t>
        </is>
      </c>
      <c r="D207" s="2" t="inlineStr">
        <is>
          <t>Extract the reported value for 'Forwards(CL)' from the stated section. Do not calculate or replace it from other rows, because the revised template does not designate this field as formula-driven.</t>
        </is>
      </c>
      <c r="E207" s="2" t="inlineStr">
        <is>
          <t>Forwards(CL)</t>
        </is>
      </c>
      <c r="F207" s="2" t="inlineStr">
        <is>
          <t>Forwards(CL)</t>
        </is>
      </c>
      <c r="G207" s="2" t="inlineStr">
        <is>
          <t>^Forwards\(CL\)$</t>
        </is>
      </c>
      <c r="H207" s="2" t="inlineStr"/>
      <c r="I207" s="2" t="inlineStr">
        <is>
          <t>Amounts or disclosures explicitly reported for Forwards(CL) in Balance Sheet / bs_cl.</t>
        </is>
      </c>
      <c r="J207" s="2" t="inlineStr">
        <is>
          <t>Do not substitute another section, period, entity scope, currency or unit; do not double count a parent and its children.</t>
        </is>
      </c>
      <c r="K207" s="2" t="inlineStr"/>
      <c r="L207" s="2" t="inlineStr">
        <is>
          <t>as_reported</t>
        </is>
      </c>
      <c r="M207" s="2" t="inlineStr">
        <is>
          <t>direct_exclusive</t>
        </is>
      </c>
      <c r="N207" s="2" t="n">
        <v>90</v>
      </c>
      <c r="O207" s="2" t="inlineStr">
        <is>
          <t>normalized_exact_then_regex</t>
        </is>
      </c>
      <c r="P207" s="3" t="inlineStr">
        <is>
          <t>extract</t>
        </is>
      </c>
      <c r="Q207" s="2" t="inlineStr">
        <is>
          <t>currency_amount</t>
        </is>
      </c>
      <c r="R207" s="2" t="inlineStr">
        <is>
          <t>period_end</t>
        </is>
      </c>
      <c r="S207" s="2" t="inlineStr">
        <is>
          <t>allowed_with_provenance</t>
        </is>
      </c>
      <c r="T207" s="2" t="b">
        <v>0</v>
      </c>
      <c r="U207" s="2" t="b">
        <v>0</v>
      </c>
      <c r="V207" s="2" t="inlineStr"/>
      <c r="W207" s="2" t="inlineStr"/>
      <c r="X207" s="2" t="inlineStr">
        <is>
          <t>Decompose only from explicit face or note evidence; never fabricate a split.</t>
        </is>
      </c>
      <c r="Y207" s="2" t="inlineStr">
        <is>
          <t>Aggregate only mutually exclusive facts with identical period, scope, currency and unit.</t>
        </is>
      </c>
      <c r="Z207" s="2" t="inlineStr">
        <is>
          <t>Bind only to Balance Sheet / bs_cl.</t>
        </is>
      </c>
      <c r="AA207" s="2" t="inlineStr"/>
      <c r="AB207" s="2" t="b">
        <v>1</v>
      </c>
      <c r="AC207" s="2" t="inlineStr"/>
      <c r="AD207" s="2" t="inlineStr">
        <is>
          <t>Exact field from Balance Sheet!A197; value cell B197.</t>
        </is>
      </c>
      <c r="AE207" s="2" t="inlineStr">
        <is>
          <t>Notes may support direct extraction or decomposition with provenance. Formula outputs must be derived only from template dependencies.</t>
        </is>
      </c>
      <c r="AF207" s="2" t="inlineStr"/>
      <c r="AG207" s="2" t="inlineStr">
        <is>
          <t>[]</t>
        </is>
      </c>
      <c r="AH207" s="2" t="inlineStr">
        <is>
          <t>Forwards(CL)</t>
        </is>
      </c>
      <c r="AI207" s="2" t="inlineStr"/>
      <c r="AJ207" s="2" t="inlineStr">
        <is>
          <t>{"template_sheet": "Balance Sheet", "template_row": 197, "template_cell": "B197", "template_value_or_formula": 48, "calculation_type": "reported_input", "dependencies": [], "source_template": "Copy of Output_CSV Template.xlsx"}</t>
        </is>
      </c>
    </row>
    <row r="208">
      <c r="A208" s="2" t="inlineStr">
        <is>
          <t>bs_cl__commodities_cl</t>
        </is>
      </c>
      <c r="B208" s="2" t="inlineStr">
        <is>
          <t>Commodities(CL)</t>
        </is>
      </c>
      <c r="C208" s="2" t="inlineStr">
        <is>
          <t>bs_cl</t>
        </is>
      </c>
      <c r="D208" s="2" t="inlineStr">
        <is>
          <t>Extract the reported value for 'Commodities(CL)' from the stated section. Do not calculate or replace it from other rows, because the revised template does not designate this field as formula-driven.</t>
        </is>
      </c>
      <c r="E208" s="2" t="inlineStr">
        <is>
          <t>Commodities(CL)</t>
        </is>
      </c>
      <c r="F208" s="2" t="inlineStr">
        <is>
          <t>Commodities(CL)</t>
        </is>
      </c>
      <c r="G208" s="2" t="inlineStr">
        <is>
          <t>^Commodities\(CL\)$</t>
        </is>
      </c>
      <c r="H208" s="2" t="inlineStr"/>
      <c r="I208" s="2" t="inlineStr">
        <is>
          <t>Amounts or disclosures explicitly reported for Commodities(CL) in Balance Sheet / bs_cl.</t>
        </is>
      </c>
      <c r="J208" s="2" t="inlineStr">
        <is>
          <t>Do not substitute another section, period, entity scope, currency or unit; do not double count a parent and its children.</t>
        </is>
      </c>
      <c r="K208" s="2" t="inlineStr"/>
      <c r="L208" s="2" t="inlineStr">
        <is>
          <t>as_reported</t>
        </is>
      </c>
      <c r="M208" s="2" t="inlineStr">
        <is>
          <t>direct_exclusive</t>
        </is>
      </c>
      <c r="N208" s="2" t="n">
        <v>90</v>
      </c>
      <c r="O208" s="2" t="inlineStr">
        <is>
          <t>normalized_exact_then_regex</t>
        </is>
      </c>
      <c r="P208" s="3" t="inlineStr">
        <is>
          <t>extract</t>
        </is>
      </c>
      <c r="Q208" s="2" t="inlineStr">
        <is>
          <t>currency_amount</t>
        </is>
      </c>
      <c r="R208" s="2" t="inlineStr">
        <is>
          <t>period_end</t>
        </is>
      </c>
      <c r="S208" s="2" t="inlineStr">
        <is>
          <t>allowed_with_provenance</t>
        </is>
      </c>
      <c r="T208" s="2" t="b">
        <v>0</v>
      </c>
      <c r="U208" s="2" t="b">
        <v>0</v>
      </c>
      <c r="V208" s="2" t="inlineStr"/>
      <c r="W208" s="2" t="inlineStr"/>
      <c r="X208" s="2" t="inlineStr">
        <is>
          <t>Decompose only from explicit face or note evidence; never fabricate a split.</t>
        </is>
      </c>
      <c r="Y208" s="2" t="inlineStr">
        <is>
          <t>Aggregate only mutually exclusive facts with identical period, scope, currency and unit.</t>
        </is>
      </c>
      <c r="Z208" s="2" t="inlineStr">
        <is>
          <t>Bind only to Balance Sheet / bs_cl.</t>
        </is>
      </c>
      <c r="AA208" s="2" t="inlineStr"/>
      <c r="AB208" s="2" t="b">
        <v>1</v>
      </c>
      <c r="AC208" s="2" t="inlineStr"/>
      <c r="AD208" s="2" t="inlineStr">
        <is>
          <t>Exact field from Balance Sheet!A198; value cell B198.</t>
        </is>
      </c>
      <c r="AE208" s="2" t="inlineStr">
        <is>
          <t>Notes may support direct extraction or decomposition with provenance. Formula outputs must be derived only from template dependencies.</t>
        </is>
      </c>
      <c r="AF208" s="2" t="inlineStr"/>
      <c r="AG208" s="2" t="inlineStr">
        <is>
          <t>[]</t>
        </is>
      </c>
      <c r="AH208" s="2" t="inlineStr">
        <is>
          <t>Commodities(CL)</t>
        </is>
      </c>
      <c r="AI208" s="2" t="inlineStr"/>
      <c r="AJ208" s="2" t="inlineStr">
        <is>
          <t>{"template_sheet": "Balance Sheet", "template_row": 198, "template_cell": "B198", "template_value_or_formula": 22, "calculation_type": "reported_input", "dependencies": [], "source_template": "Copy of Output_CSV Template.xlsx"}</t>
        </is>
      </c>
    </row>
    <row r="209">
      <c r="A209" s="2" t="inlineStr">
        <is>
          <t>bs_cl__swaps_cl</t>
        </is>
      </c>
      <c r="B209" s="2" t="inlineStr">
        <is>
          <t>Swaps(CL)</t>
        </is>
      </c>
      <c r="C209" s="2" t="inlineStr">
        <is>
          <t>bs_cl</t>
        </is>
      </c>
      <c r="D209" s="2" t="inlineStr">
        <is>
          <t>Extract the reported value for 'Swaps(CL)' from the stated section. Do not calculate or replace it from other rows, because the revised template does not designate this field as formula-driven.</t>
        </is>
      </c>
      <c r="E209" s="2" t="inlineStr">
        <is>
          <t>Swaps(CL)</t>
        </is>
      </c>
      <c r="F209" s="2" t="inlineStr">
        <is>
          <t>Swaps(CL)</t>
        </is>
      </c>
      <c r="G209" s="2" t="inlineStr">
        <is>
          <t>^Swaps\(CL\)$</t>
        </is>
      </c>
      <c r="H209" s="2" t="inlineStr"/>
      <c r="I209" s="2" t="inlineStr">
        <is>
          <t>Amounts or disclosures explicitly reported for Swaps(CL) in Balance Sheet / bs_cl.</t>
        </is>
      </c>
      <c r="J209" s="2" t="inlineStr">
        <is>
          <t>Do not substitute another section, period, entity scope, currency or unit; do not double count a parent and its children.</t>
        </is>
      </c>
      <c r="K209" s="2" t="inlineStr"/>
      <c r="L209" s="2" t="inlineStr">
        <is>
          <t>as_reported</t>
        </is>
      </c>
      <c r="M209" s="2" t="inlineStr">
        <is>
          <t>direct_exclusive</t>
        </is>
      </c>
      <c r="N209" s="2" t="n">
        <v>90</v>
      </c>
      <c r="O209" s="2" t="inlineStr">
        <is>
          <t>normalized_exact_then_regex</t>
        </is>
      </c>
      <c r="P209" s="3" t="inlineStr">
        <is>
          <t>extract</t>
        </is>
      </c>
      <c r="Q209" s="2" t="inlineStr">
        <is>
          <t>currency_amount</t>
        </is>
      </c>
      <c r="R209" s="2" t="inlineStr">
        <is>
          <t>period_end</t>
        </is>
      </c>
      <c r="S209" s="2" t="inlineStr">
        <is>
          <t>allowed_with_provenance</t>
        </is>
      </c>
      <c r="T209" s="2" t="b">
        <v>0</v>
      </c>
      <c r="U209" s="2" t="b">
        <v>0</v>
      </c>
      <c r="V209" s="2" t="inlineStr"/>
      <c r="W209" s="2" t="inlineStr"/>
      <c r="X209" s="2" t="inlineStr">
        <is>
          <t>Decompose only from explicit face or note evidence; never fabricate a split.</t>
        </is>
      </c>
      <c r="Y209" s="2" t="inlineStr">
        <is>
          <t>Aggregate only mutually exclusive facts with identical period, scope, currency and unit.</t>
        </is>
      </c>
      <c r="Z209" s="2" t="inlineStr">
        <is>
          <t>Bind only to Balance Sheet / bs_cl.</t>
        </is>
      </c>
      <c r="AA209" s="2" t="inlineStr"/>
      <c r="AB209" s="2" t="b">
        <v>1</v>
      </c>
      <c r="AC209" s="2" t="inlineStr"/>
      <c r="AD209" s="2" t="inlineStr">
        <is>
          <t>Exact field from Balance Sheet!A199; value cell B199.</t>
        </is>
      </c>
      <c r="AE209" s="2" t="inlineStr">
        <is>
          <t>Notes may support direct extraction or decomposition with provenance. Formula outputs must be derived only from template dependencies.</t>
        </is>
      </c>
      <c r="AF209" s="2" t="inlineStr"/>
      <c r="AG209" s="2" t="inlineStr">
        <is>
          <t>[]</t>
        </is>
      </c>
      <c r="AH209" s="2" t="inlineStr">
        <is>
          <t>Swaps(CL)</t>
        </is>
      </c>
      <c r="AI209" s="2" t="inlineStr"/>
      <c r="AJ209" s="2" t="inlineStr">
        <is>
          <t>{"template_sheet": "Balance Sheet", "template_row": 199, "template_cell": "B199", "template_value_or_formula": 39, "calculation_type": "reported_input", "dependencies": [], "source_template": "Copy of Output_CSV Template.xlsx"}</t>
        </is>
      </c>
    </row>
    <row r="210">
      <c r="A210" s="2" t="inlineStr">
        <is>
          <t>bs_cl__deriv_and_hedg_liab_cp</t>
        </is>
      </c>
      <c r="B210" s="2" t="inlineStr">
        <is>
          <t>Deriv &amp; Hedg Liab(CP)</t>
        </is>
      </c>
      <c r="C210" s="2" t="inlineStr">
        <is>
          <t>bs_cl</t>
        </is>
      </c>
      <c r="D210" s="2" t="inlineStr">
        <is>
          <t>Extract the reported value for 'Deriv &amp; Hedg Liab(CP)' from the stated section. Do not calculate or replace it from other rows, because the revised template does not designate this field as formula-driven.</t>
        </is>
      </c>
      <c r="E210" s="2" t="inlineStr">
        <is>
          <t>Deriv &amp; Hedg Liab(CP)</t>
        </is>
      </c>
      <c r="F210" s="2" t="inlineStr">
        <is>
          <t>Deriv &amp; Hedg Liab(CP)</t>
        </is>
      </c>
      <c r="G210" s="2" t="inlineStr">
        <is>
          <t>^Deriv\s+\&amp;\s+Hedg\s+Liab\(CP\)$</t>
        </is>
      </c>
      <c r="H210" s="2" t="inlineStr"/>
      <c r="I210" s="2" t="inlineStr">
        <is>
          <t>Amounts or disclosures explicitly reported for Deriv &amp; Hedg Liab(CP) in Balance Sheet / bs_cl.</t>
        </is>
      </c>
      <c r="J210" s="2" t="inlineStr">
        <is>
          <t>Do not substitute another section, period, entity scope, currency or unit; do not double count a parent and its children.</t>
        </is>
      </c>
      <c r="K210" s="2" t="inlineStr"/>
      <c r="L210" s="2" t="inlineStr">
        <is>
          <t>as_reported</t>
        </is>
      </c>
      <c r="M210" s="2" t="inlineStr">
        <is>
          <t>direct_exclusive</t>
        </is>
      </c>
      <c r="N210" s="2" t="n">
        <v>90</v>
      </c>
      <c r="O210" s="2" t="inlineStr">
        <is>
          <t>normalized_exact_then_regex</t>
        </is>
      </c>
      <c r="P210" s="3" t="inlineStr">
        <is>
          <t>extract</t>
        </is>
      </c>
      <c r="Q210" s="2" t="inlineStr">
        <is>
          <t>currency_amount</t>
        </is>
      </c>
      <c r="R210" s="2" t="inlineStr">
        <is>
          <t>period_end</t>
        </is>
      </c>
      <c r="S210" s="2" t="inlineStr">
        <is>
          <t>allowed_with_provenance</t>
        </is>
      </c>
      <c r="T210" s="2" t="b">
        <v>0</v>
      </c>
      <c r="U210" s="2" t="b">
        <v>0</v>
      </c>
      <c r="V210" s="2" t="inlineStr"/>
      <c r="W210" s="2" t="inlineStr"/>
      <c r="X210" s="2" t="inlineStr">
        <is>
          <t>Decompose only from explicit face or note evidence; never fabricate a split.</t>
        </is>
      </c>
      <c r="Y210" s="2" t="inlineStr">
        <is>
          <t>Aggregate only mutually exclusive facts with identical period, scope, currency and unit.</t>
        </is>
      </c>
      <c r="Z210" s="2" t="inlineStr">
        <is>
          <t>Bind only to Balance Sheet / bs_cl.</t>
        </is>
      </c>
      <c r="AA210" s="2" t="inlineStr"/>
      <c r="AB210" s="2" t="b">
        <v>1</v>
      </c>
      <c r="AC210" s="2" t="inlineStr"/>
      <c r="AD210" s="2" t="inlineStr">
        <is>
          <t>Exact field from Balance Sheet!A200; value cell B200.</t>
        </is>
      </c>
      <c r="AE210" s="2" t="inlineStr">
        <is>
          <t>Notes may support direct extraction or decomposition with provenance. Formula outputs must be derived only from template dependencies.</t>
        </is>
      </c>
      <c r="AF210" s="2" t="inlineStr"/>
      <c r="AG210" s="2" t="inlineStr">
        <is>
          <t>[]</t>
        </is>
      </c>
      <c r="AH210" s="2" t="inlineStr">
        <is>
          <t>Deriv &amp; Hedg Liab(CP)</t>
        </is>
      </c>
      <c r="AI210" s="2" t="inlineStr"/>
      <c r="AJ210" s="2" t="inlineStr">
        <is>
          <t>{"template_sheet": "Balance Sheet", "template_row": 200, "template_cell": "B200", "template_value_or_formula": 13, "calculation_type": "reported_input", "dependencies": [], "source_template": "Copy of Output_CSV Template.xlsx"}</t>
        </is>
      </c>
    </row>
    <row r="211">
      <c r="A211" s="2" t="inlineStr">
        <is>
          <t>bs_cl__current_tax_payable</t>
        </is>
      </c>
      <c r="B211" s="2" t="inlineStr">
        <is>
          <t>Current Tax Payable</t>
        </is>
      </c>
      <c r="C211" s="2" t="inlineStr">
        <is>
          <t>bs_cl</t>
        </is>
      </c>
      <c r="D211" s="2" t="inlineStr">
        <is>
          <t>Extract the reported value for 'Current Tax Payable' from the stated section. Do not calculate or replace it from other rows, because the revised template does not designate this field as formula-driven.</t>
        </is>
      </c>
      <c r="E211" s="2" t="inlineStr">
        <is>
          <t>Current Tax Payable</t>
        </is>
      </c>
      <c r="F211" s="2" t="inlineStr">
        <is>
          <t>Current Tax Payable</t>
        </is>
      </c>
      <c r="G211" s="2" t="inlineStr">
        <is>
          <t>^Current\s+Tax\s+Payable$</t>
        </is>
      </c>
      <c r="H211" s="2" t="inlineStr"/>
      <c r="I211" s="2" t="inlineStr">
        <is>
          <t>Amounts or disclosures explicitly reported for Current Tax Payable in Balance Sheet / bs_cl.</t>
        </is>
      </c>
      <c r="J211" s="2" t="inlineStr">
        <is>
          <t>Do not substitute another section, period, entity scope, currency or unit; do not double count a parent and its children.</t>
        </is>
      </c>
      <c r="K211" s="2" t="inlineStr"/>
      <c r="L211" s="2" t="inlineStr">
        <is>
          <t>as_reported</t>
        </is>
      </c>
      <c r="M211" s="2" t="inlineStr">
        <is>
          <t>direct_exclusive</t>
        </is>
      </c>
      <c r="N211" s="2" t="n">
        <v>90</v>
      </c>
      <c r="O211" s="2" t="inlineStr">
        <is>
          <t>normalized_exact_then_regex</t>
        </is>
      </c>
      <c r="P211" s="3" t="inlineStr">
        <is>
          <t>extract</t>
        </is>
      </c>
      <c r="Q211" s="2" t="inlineStr">
        <is>
          <t>currency_amount</t>
        </is>
      </c>
      <c r="R211" s="2" t="inlineStr">
        <is>
          <t>period_end</t>
        </is>
      </c>
      <c r="S211" s="2" t="inlineStr">
        <is>
          <t>allowed_with_provenance</t>
        </is>
      </c>
      <c r="T211" s="2" t="b">
        <v>0</v>
      </c>
      <c r="U211" s="2" t="b">
        <v>0</v>
      </c>
      <c r="V211" s="2" t="inlineStr"/>
      <c r="W211" s="2" t="inlineStr"/>
      <c r="X211" s="2" t="inlineStr">
        <is>
          <t>Decompose only from explicit face or note evidence; never fabricate a split.</t>
        </is>
      </c>
      <c r="Y211" s="2" t="inlineStr">
        <is>
          <t>Aggregate only mutually exclusive facts with identical period, scope, currency and unit.</t>
        </is>
      </c>
      <c r="Z211" s="2" t="inlineStr">
        <is>
          <t>Bind only to Balance Sheet / bs_cl.</t>
        </is>
      </c>
      <c r="AA211" s="2" t="inlineStr"/>
      <c r="AB211" s="2" t="b">
        <v>1</v>
      </c>
      <c r="AC211" s="2" t="inlineStr"/>
      <c r="AD211" s="2" t="inlineStr">
        <is>
          <t>Exact field from Balance Sheet!A201; value cell B201.</t>
        </is>
      </c>
      <c r="AE211" s="2" t="inlineStr">
        <is>
          <t>Notes may support direct extraction or decomposition with provenance. Formula outputs must be derived only from template dependencies.</t>
        </is>
      </c>
      <c r="AF211" s="2" t="inlineStr"/>
      <c r="AG211" s="2" t="inlineStr">
        <is>
          <t>[]</t>
        </is>
      </c>
      <c r="AH211" s="2" t="inlineStr">
        <is>
          <t>Current Tax Payable</t>
        </is>
      </c>
      <c r="AI211" s="2" t="inlineStr"/>
      <c r="AJ211" s="2" t="inlineStr">
        <is>
          <t>{"template_sheet": "Balance Sheet", "template_row": 201, "template_cell": "B201", "template_value_or_formula": 30, "calculation_type": "reported_input", "dependencies": [], "source_template": "Copy of Output_CSV Template.xlsx"}</t>
        </is>
      </c>
    </row>
    <row r="212">
      <c r="A212" s="2" t="inlineStr">
        <is>
          <t>bs_cl__interest_payable</t>
        </is>
      </c>
      <c r="B212" s="2" t="inlineStr">
        <is>
          <t>Interest Payable</t>
        </is>
      </c>
      <c r="C212" s="2" t="inlineStr">
        <is>
          <t>bs_cl</t>
        </is>
      </c>
      <c r="D212" s="2" t="inlineStr">
        <is>
          <t>Extract the reported value for 'Interest Payable' from the stated section. Do not calculate or replace it from other rows, because the revised template does not designate this field as formula-driven.</t>
        </is>
      </c>
      <c r="E212" s="2" t="inlineStr">
        <is>
          <t>Interest Payable</t>
        </is>
      </c>
      <c r="F212" s="2" t="inlineStr">
        <is>
          <t>Interest Payable</t>
        </is>
      </c>
      <c r="G212" s="2" t="inlineStr">
        <is>
          <t>^Interest\s+Payable$</t>
        </is>
      </c>
      <c r="H212" s="2" t="inlineStr"/>
      <c r="I212" s="2" t="inlineStr">
        <is>
          <t>Amounts or disclosures explicitly reported for Interest Payable in Balance Sheet / bs_cl.</t>
        </is>
      </c>
      <c r="J212" s="2" t="inlineStr">
        <is>
          <t>Do not substitute another section, period, entity scope, currency or unit; do not double count a parent and its children.</t>
        </is>
      </c>
      <c r="K212" s="2" t="inlineStr"/>
      <c r="L212" s="2" t="inlineStr">
        <is>
          <t>as_reported</t>
        </is>
      </c>
      <c r="M212" s="2" t="inlineStr">
        <is>
          <t>direct_exclusive</t>
        </is>
      </c>
      <c r="N212" s="2" t="n">
        <v>90</v>
      </c>
      <c r="O212" s="2" t="inlineStr">
        <is>
          <t>normalized_exact_then_regex</t>
        </is>
      </c>
      <c r="P212" s="3" t="inlineStr">
        <is>
          <t>extract</t>
        </is>
      </c>
      <c r="Q212" s="2" t="inlineStr">
        <is>
          <t>currency_amount</t>
        </is>
      </c>
      <c r="R212" s="2" t="inlineStr">
        <is>
          <t>period_end</t>
        </is>
      </c>
      <c r="S212" s="2" t="inlineStr">
        <is>
          <t>allowed_with_provenance</t>
        </is>
      </c>
      <c r="T212" s="2" t="b">
        <v>0</v>
      </c>
      <c r="U212" s="2" t="b">
        <v>0</v>
      </c>
      <c r="V212" s="2" t="inlineStr"/>
      <c r="W212" s="2" t="inlineStr"/>
      <c r="X212" s="2" t="inlineStr">
        <is>
          <t>Decompose only from explicit face or note evidence; never fabricate a split.</t>
        </is>
      </c>
      <c r="Y212" s="2" t="inlineStr">
        <is>
          <t>Aggregate only mutually exclusive facts with identical period, scope, currency and unit.</t>
        </is>
      </c>
      <c r="Z212" s="2" t="inlineStr">
        <is>
          <t>Bind only to Balance Sheet / bs_cl.</t>
        </is>
      </c>
      <c r="AA212" s="2" t="inlineStr"/>
      <c r="AB212" s="2" t="b">
        <v>1</v>
      </c>
      <c r="AC212" s="2" t="inlineStr"/>
      <c r="AD212" s="2" t="inlineStr">
        <is>
          <t>Exact field from Balance Sheet!A202; value cell B202.</t>
        </is>
      </c>
      <c r="AE212" s="2" t="inlineStr">
        <is>
          <t>Notes may support direct extraction or decomposition with provenance. Formula outputs must be derived only from template dependencies.</t>
        </is>
      </c>
      <c r="AF212" s="2" t="inlineStr"/>
      <c r="AG212" s="2" t="inlineStr">
        <is>
          <t>[]</t>
        </is>
      </c>
      <c r="AH212" s="2" t="inlineStr">
        <is>
          <t>Interest Payable</t>
        </is>
      </c>
      <c r="AI212" s="2" t="inlineStr"/>
      <c r="AJ212" s="2" t="inlineStr">
        <is>
          <t>{"template_sheet": "Balance Sheet", "template_row": 202, "template_cell": "B202", "template_value_or_formula": 47, "calculation_type": "reported_input", "dependencies": [], "source_template": "Copy of Output_CSV Template.xlsx"}</t>
        </is>
      </c>
    </row>
    <row r="213">
      <c r="A213" s="2" t="inlineStr">
        <is>
          <t>bs_cl__soc_sec_and_other_taxes_cp</t>
        </is>
      </c>
      <c r="B213" s="2" t="inlineStr">
        <is>
          <t>Soc Sec &amp; Other Taxes(CP)</t>
        </is>
      </c>
      <c r="C213" s="2" t="inlineStr">
        <is>
          <t>bs_cl</t>
        </is>
      </c>
      <c r="D213" s="2" t="inlineStr">
        <is>
          <t>Extract the reported value for 'Soc Sec &amp; Other Taxes(CP)' from the stated section. Do not calculate or replace it from other rows, because the revised template does not designate this field as formula-driven.</t>
        </is>
      </c>
      <c r="E213" s="2" t="inlineStr">
        <is>
          <t>Soc Sec &amp; Other Taxes(CP)</t>
        </is>
      </c>
      <c r="F213" s="2" t="inlineStr">
        <is>
          <t>Soc Sec &amp; Other Taxes(CP)</t>
        </is>
      </c>
      <c r="G213" s="2" t="inlineStr">
        <is>
          <t>^Soc\s+Sec\s+\&amp;\s+Other\s+Taxes\(CP\)$</t>
        </is>
      </c>
      <c r="H213" s="2" t="inlineStr"/>
      <c r="I213" s="2" t="inlineStr">
        <is>
          <t>Amounts or disclosures explicitly reported for Soc Sec &amp; Other Taxes(CP) in Balance Sheet / bs_cl.</t>
        </is>
      </c>
      <c r="J213" s="2" t="inlineStr">
        <is>
          <t>Do not substitute another section, period, entity scope, currency or unit; do not double count a parent and its children.</t>
        </is>
      </c>
      <c r="K213" s="2" t="inlineStr"/>
      <c r="L213" s="2" t="inlineStr">
        <is>
          <t>as_reported</t>
        </is>
      </c>
      <c r="M213" s="2" t="inlineStr">
        <is>
          <t>direct_exclusive</t>
        </is>
      </c>
      <c r="N213" s="2" t="n">
        <v>90</v>
      </c>
      <c r="O213" s="2" t="inlineStr">
        <is>
          <t>normalized_exact_then_regex</t>
        </is>
      </c>
      <c r="P213" s="3" t="inlineStr">
        <is>
          <t>extract</t>
        </is>
      </c>
      <c r="Q213" s="2" t="inlineStr">
        <is>
          <t>currency_amount</t>
        </is>
      </c>
      <c r="R213" s="2" t="inlineStr">
        <is>
          <t>period_end</t>
        </is>
      </c>
      <c r="S213" s="2" t="inlineStr">
        <is>
          <t>allowed_with_provenance</t>
        </is>
      </c>
      <c r="T213" s="2" t="b">
        <v>0</v>
      </c>
      <c r="U213" s="2" t="b">
        <v>0</v>
      </c>
      <c r="V213" s="2" t="inlineStr"/>
      <c r="W213" s="2" t="inlineStr"/>
      <c r="X213" s="2" t="inlineStr">
        <is>
          <t>Decompose only from explicit face or note evidence; never fabricate a split.</t>
        </is>
      </c>
      <c r="Y213" s="2" t="inlineStr">
        <is>
          <t>Aggregate only mutually exclusive facts with identical period, scope, currency and unit.</t>
        </is>
      </c>
      <c r="Z213" s="2" t="inlineStr">
        <is>
          <t>Bind only to Balance Sheet / bs_cl.</t>
        </is>
      </c>
      <c r="AA213" s="2" t="inlineStr"/>
      <c r="AB213" s="2" t="b">
        <v>1</v>
      </c>
      <c r="AC213" s="2" t="inlineStr"/>
      <c r="AD213" s="2" t="inlineStr">
        <is>
          <t>Exact field from Balance Sheet!A203; value cell B203.</t>
        </is>
      </c>
      <c r="AE213" s="2" t="inlineStr">
        <is>
          <t>Notes may support direct extraction or decomposition with provenance. Formula outputs must be derived only from template dependencies.</t>
        </is>
      </c>
      <c r="AF213" s="2" t="inlineStr"/>
      <c r="AG213" s="2" t="inlineStr">
        <is>
          <t>[]</t>
        </is>
      </c>
      <c r="AH213" s="2" t="inlineStr">
        <is>
          <t>Soc Sec &amp; Other Taxes(CP)</t>
        </is>
      </c>
      <c r="AI213" s="2" t="inlineStr"/>
      <c r="AJ213" s="2" t="inlineStr">
        <is>
          <t>{"template_sheet": "Balance Sheet", "template_row": 203, "template_cell": "B203", "template_value_or_formula": 21, "calculation_type": "reported_input", "dependencies": [], "source_template": "Copy of Output_CSV Template.xlsx"}</t>
        </is>
      </c>
    </row>
    <row r="214">
      <c r="A214" s="2" t="inlineStr">
        <is>
          <t>bs_cl__proposed_dividends</t>
        </is>
      </c>
      <c r="B214" s="2" t="inlineStr">
        <is>
          <t>Proposed Dividends</t>
        </is>
      </c>
      <c r="C214" s="2" t="inlineStr">
        <is>
          <t>bs_cl</t>
        </is>
      </c>
      <c r="D214" s="2" t="inlineStr">
        <is>
          <t>Extract the reported value for 'Proposed Dividends' from the stated section. Do not calculate or replace it from other rows, because the revised template does not designate this field as formula-driven.</t>
        </is>
      </c>
      <c r="E214" s="2" t="inlineStr">
        <is>
          <t>Proposed Dividends</t>
        </is>
      </c>
      <c r="F214" s="2" t="inlineStr">
        <is>
          <t>Proposed Dividends</t>
        </is>
      </c>
      <c r="G214" s="2" t="inlineStr">
        <is>
          <t>^Proposed\s+Dividends$</t>
        </is>
      </c>
      <c r="H214" s="2" t="inlineStr"/>
      <c r="I214" s="2" t="inlineStr">
        <is>
          <t>Amounts or disclosures explicitly reported for Proposed Dividends in Balance Sheet / bs_cl.</t>
        </is>
      </c>
      <c r="J214" s="2" t="inlineStr">
        <is>
          <t>Do not substitute another section, period, entity scope, currency or unit; do not double count a parent and its children.</t>
        </is>
      </c>
      <c r="K214" s="2" t="inlineStr"/>
      <c r="L214" s="2" t="inlineStr">
        <is>
          <t>as_reported</t>
        </is>
      </c>
      <c r="M214" s="2" t="inlineStr">
        <is>
          <t>direct_exclusive</t>
        </is>
      </c>
      <c r="N214" s="2" t="n">
        <v>90</v>
      </c>
      <c r="O214" s="2" t="inlineStr">
        <is>
          <t>normalized_exact_then_regex</t>
        </is>
      </c>
      <c r="P214" s="3" t="inlineStr">
        <is>
          <t>extract</t>
        </is>
      </c>
      <c r="Q214" s="2" t="inlineStr">
        <is>
          <t>currency_amount</t>
        </is>
      </c>
      <c r="R214" s="2" t="inlineStr">
        <is>
          <t>period_end</t>
        </is>
      </c>
      <c r="S214" s="2" t="inlineStr">
        <is>
          <t>allowed_with_provenance</t>
        </is>
      </c>
      <c r="T214" s="2" t="b">
        <v>0</v>
      </c>
      <c r="U214" s="2" t="b">
        <v>0</v>
      </c>
      <c r="V214" s="2" t="inlineStr"/>
      <c r="W214" s="2" t="inlineStr"/>
      <c r="X214" s="2" t="inlineStr">
        <is>
          <t>Decompose only from explicit face or note evidence; never fabricate a split.</t>
        </is>
      </c>
      <c r="Y214" s="2" t="inlineStr">
        <is>
          <t>Aggregate only mutually exclusive facts with identical period, scope, currency and unit.</t>
        </is>
      </c>
      <c r="Z214" s="2" t="inlineStr">
        <is>
          <t>Bind only to Balance Sheet / bs_cl.</t>
        </is>
      </c>
      <c r="AA214" s="2" t="inlineStr"/>
      <c r="AB214" s="2" t="b">
        <v>1</v>
      </c>
      <c r="AC214" s="2" t="inlineStr"/>
      <c r="AD214" s="2" t="inlineStr">
        <is>
          <t>Exact field from Balance Sheet!A204; value cell B204.</t>
        </is>
      </c>
      <c r="AE214" s="2" t="inlineStr">
        <is>
          <t>Notes may support direct extraction or decomposition with provenance. Formula outputs must be derived only from template dependencies.</t>
        </is>
      </c>
      <c r="AF214" s="2" t="inlineStr"/>
      <c r="AG214" s="2" t="inlineStr">
        <is>
          <t>[]</t>
        </is>
      </c>
      <c r="AH214" s="2" t="inlineStr">
        <is>
          <t>Proposed Dividends</t>
        </is>
      </c>
      <c r="AI214" s="2" t="inlineStr"/>
      <c r="AJ214" s="2" t="inlineStr">
        <is>
          <t>{"template_sheet": "Balance Sheet", "template_row": 204, "template_cell": "B204", "template_value_or_formula": 38, "calculation_type": "reported_input", "dependencies": [], "source_template": "Copy of Output_CSV Template.xlsx"}</t>
        </is>
      </c>
    </row>
    <row r="215">
      <c r="A215" s="2" t="inlineStr">
        <is>
          <t>bs_cl__dividends_payable</t>
        </is>
      </c>
      <c r="B215" s="2" t="inlineStr">
        <is>
          <t>Dividends Payable</t>
        </is>
      </c>
      <c r="C215" s="2" t="inlineStr">
        <is>
          <t>bs_cl</t>
        </is>
      </c>
      <c r="D215" s="2" t="inlineStr">
        <is>
          <t>Extract the reported value for 'Dividends Payable' from the stated section. Do not calculate or replace it from other rows, because the revised template does not designate this field as formula-driven.</t>
        </is>
      </c>
      <c r="E215" s="2" t="inlineStr">
        <is>
          <t>Dividends Payable</t>
        </is>
      </c>
      <c r="F215" s="2" t="inlineStr">
        <is>
          <t>Dividends Payable</t>
        </is>
      </c>
      <c r="G215" s="2" t="inlineStr">
        <is>
          <t>^Dividends\s+Payable$</t>
        </is>
      </c>
      <c r="H215" s="2" t="inlineStr"/>
      <c r="I215" s="2" t="inlineStr">
        <is>
          <t>Amounts or disclosures explicitly reported for Dividends Payable in Balance Sheet / bs_cl.</t>
        </is>
      </c>
      <c r="J215" s="2" t="inlineStr">
        <is>
          <t>Do not substitute another section, period, entity scope, currency or unit; do not double count a parent and its children.</t>
        </is>
      </c>
      <c r="K215" s="2" t="inlineStr"/>
      <c r="L215" s="2" t="inlineStr">
        <is>
          <t>as_reported</t>
        </is>
      </c>
      <c r="M215" s="2" t="inlineStr">
        <is>
          <t>direct_exclusive</t>
        </is>
      </c>
      <c r="N215" s="2" t="n">
        <v>90</v>
      </c>
      <c r="O215" s="2" t="inlineStr">
        <is>
          <t>normalized_exact_then_regex</t>
        </is>
      </c>
      <c r="P215" s="3" t="inlineStr">
        <is>
          <t>extract</t>
        </is>
      </c>
      <c r="Q215" s="2" t="inlineStr">
        <is>
          <t>currency_amount</t>
        </is>
      </c>
      <c r="R215" s="2" t="inlineStr">
        <is>
          <t>period_end</t>
        </is>
      </c>
      <c r="S215" s="2" t="inlineStr">
        <is>
          <t>allowed_with_provenance</t>
        </is>
      </c>
      <c r="T215" s="2" t="b">
        <v>0</v>
      </c>
      <c r="U215" s="2" t="b">
        <v>0</v>
      </c>
      <c r="V215" s="2" t="inlineStr"/>
      <c r="W215" s="2" t="inlineStr"/>
      <c r="X215" s="2" t="inlineStr">
        <is>
          <t>Decompose only from explicit face or note evidence; never fabricate a split.</t>
        </is>
      </c>
      <c r="Y215" s="2" t="inlineStr">
        <is>
          <t>Aggregate only mutually exclusive facts with identical period, scope, currency and unit.</t>
        </is>
      </c>
      <c r="Z215" s="2" t="inlineStr">
        <is>
          <t>Bind only to Balance Sheet / bs_cl.</t>
        </is>
      </c>
      <c r="AA215" s="2" t="inlineStr"/>
      <c r="AB215" s="2" t="b">
        <v>1</v>
      </c>
      <c r="AC215" s="2" t="inlineStr"/>
      <c r="AD215" s="2" t="inlineStr">
        <is>
          <t>Exact field from Balance Sheet!A205; value cell B205.</t>
        </is>
      </c>
      <c r="AE215" s="2" t="inlineStr">
        <is>
          <t>Notes may support direct extraction or decomposition with provenance. Formula outputs must be derived only from template dependencies.</t>
        </is>
      </c>
      <c r="AF215" s="2" t="inlineStr"/>
      <c r="AG215" s="2" t="inlineStr">
        <is>
          <t>[]</t>
        </is>
      </c>
      <c r="AH215" s="2" t="inlineStr">
        <is>
          <t>Dividends Payable</t>
        </is>
      </c>
      <c r="AI215" s="2" t="inlineStr"/>
      <c r="AJ215" s="2" t="inlineStr">
        <is>
          <t>{"template_sheet": "Balance Sheet", "template_row": 205, "template_cell": "B205", "template_value_or_formula": 12, "calculation_type": "reported_input", "dependencies": [], "source_template": "Copy of Output_CSV Template.xlsx"}</t>
        </is>
      </c>
    </row>
    <row r="216">
      <c r="A216" s="2" t="inlineStr">
        <is>
          <t>bs_cl__notes_payable_cp</t>
        </is>
      </c>
      <c r="B216" s="2" t="inlineStr">
        <is>
          <t>Notes Payable(CP)</t>
        </is>
      </c>
      <c r="C216" s="2" t="inlineStr">
        <is>
          <t>bs_cl</t>
        </is>
      </c>
      <c r="D216" s="2" t="inlineStr">
        <is>
          <t>Extract the reported value for 'Notes Payable(CP)' from the stated section. Do not calculate or replace it from other rows, because the revised template does not designate this field as formula-driven.</t>
        </is>
      </c>
      <c r="E216" s="2" t="inlineStr">
        <is>
          <t>Notes Payable(CP)</t>
        </is>
      </c>
      <c r="F216" s="2" t="inlineStr">
        <is>
          <t>Notes Payable(CP)</t>
        </is>
      </c>
      <c r="G216" s="2" t="inlineStr">
        <is>
          <t>^Notes\s+Payable\(CP\)$</t>
        </is>
      </c>
      <c r="H216" s="2" t="inlineStr"/>
      <c r="I216" s="2" t="inlineStr">
        <is>
          <t>Amounts or disclosures explicitly reported for Notes Payable(CP) in Balance Sheet / bs_cl.</t>
        </is>
      </c>
      <c r="J216" s="2" t="inlineStr">
        <is>
          <t>Do not substitute another section, period, entity scope, currency or unit; do not double count a parent and its children.</t>
        </is>
      </c>
      <c r="K216" s="2" t="inlineStr"/>
      <c r="L216" s="2" t="inlineStr">
        <is>
          <t>as_reported</t>
        </is>
      </c>
      <c r="M216" s="2" t="inlineStr">
        <is>
          <t>direct_exclusive</t>
        </is>
      </c>
      <c r="N216" s="2" t="n">
        <v>90</v>
      </c>
      <c r="O216" s="2" t="inlineStr">
        <is>
          <t>normalized_exact_then_regex</t>
        </is>
      </c>
      <c r="P216" s="3" t="inlineStr">
        <is>
          <t>extract</t>
        </is>
      </c>
      <c r="Q216" s="2" t="inlineStr">
        <is>
          <t>currency_amount</t>
        </is>
      </c>
      <c r="R216" s="2" t="inlineStr">
        <is>
          <t>period_end</t>
        </is>
      </c>
      <c r="S216" s="2" t="inlineStr">
        <is>
          <t>allowed_with_provenance</t>
        </is>
      </c>
      <c r="T216" s="2" t="b">
        <v>0</v>
      </c>
      <c r="U216" s="2" t="b">
        <v>0</v>
      </c>
      <c r="V216" s="2" t="inlineStr"/>
      <c r="W216" s="2" t="inlineStr"/>
      <c r="X216" s="2" t="inlineStr">
        <is>
          <t>Decompose only from explicit face or note evidence; never fabricate a split.</t>
        </is>
      </c>
      <c r="Y216" s="2" t="inlineStr">
        <is>
          <t>Aggregate only mutually exclusive facts with identical period, scope, currency and unit.</t>
        </is>
      </c>
      <c r="Z216" s="2" t="inlineStr">
        <is>
          <t>Bind only to Balance Sheet / bs_cl.</t>
        </is>
      </c>
      <c r="AA216" s="2" t="inlineStr"/>
      <c r="AB216" s="2" t="b">
        <v>1</v>
      </c>
      <c r="AC216" s="2" t="inlineStr"/>
      <c r="AD216" s="2" t="inlineStr">
        <is>
          <t>Exact field from Balance Sheet!A206; value cell B206.</t>
        </is>
      </c>
      <c r="AE216" s="2" t="inlineStr">
        <is>
          <t>Notes may support direct extraction or decomposition with provenance. Formula outputs must be derived only from template dependencies.</t>
        </is>
      </c>
      <c r="AF216" s="2" t="inlineStr"/>
      <c r="AG216" s="2" t="inlineStr">
        <is>
          <t>[]</t>
        </is>
      </c>
      <c r="AH216" s="2" t="inlineStr">
        <is>
          <t>Notes Payable(CP)</t>
        </is>
      </c>
      <c r="AI216" s="2" t="inlineStr"/>
      <c r="AJ216" s="2" t="inlineStr">
        <is>
          <t>{"template_sheet": "Balance Sheet", "template_row": 206, "template_cell": "B206", "template_value_or_formula": 29, "calculation_type": "reported_input", "dependencies": [], "source_template": "Copy of Output_CSV Template.xlsx"}</t>
        </is>
      </c>
    </row>
    <row r="217">
      <c r="A217" s="2" t="inlineStr">
        <is>
          <t>bs_cl__trade_payables_related_parties</t>
        </is>
      </c>
      <c r="B217" s="2" t="inlineStr">
        <is>
          <t>Trade payables- related parties</t>
        </is>
      </c>
      <c r="C217" s="2" t="inlineStr">
        <is>
          <t>bs_cl</t>
        </is>
      </c>
      <c r="D217" s="2" t="inlineStr">
        <is>
          <t>Extract the reported value for 'Trade payables- related parties' from the stated section. Do not calculate or replace it from other rows, because the revised template does not designate this field as formula-driven.</t>
        </is>
      </c>
      <c r="E217" s="2" t="inlineStr">
        <is>
          <t>Trade payables- related parties</t>
        </is>
      </c>
      <c r="F217" s="2" t="inlineStr">
        <is>
          <t>Trade payables- related parties</t>
        </is>
      </c>
      <c r="G217" s="2" t="inlineStr">
        <is>
          <t>^Trade\s+payables[\-–—]?\s+related\s+parties$</t>
        </is>
      </c>
      <c r="H217" s="2" t="inlineStr"/>
      <c r="I217" s="2" t="inlineStr">
        <is>
          <t>Amounts or disclosures explicitly reported for Trade payables- related parties in Balance Sheet / bs_cl.</t>
        </is>
      </c>
      <c r="J217" s="2" t="inlineStr">
        <is>
          <t>Do not substitute another section, period, entity scope, currency or unit; do not double count a parent and its children.</t>
        </is>
      </c>
      <c r="K217" s="2" t="inlineStr"/>
      <c r="L217" s="2" t="inlineStr">
        <is>
          <t>as_reported</t>
        </is>
      </c>
      <c r="M217" s="2" t="inlineStr">
        <is>
          <t>direct_exclusive</t>
        </is>
      </c>
      <c r="N217" s="2" t="n">
        <v>90</v>
      </c>
      <c r="O217" s="2" t="inlineStr">
        <is>
          <t>normalized_exact_then_regex</t>
        </is>
      </c>
      <c r="P217" s="3" t="inlineStr">
        <is>
          <t>extract</t>
        </is>
      </c>
      <c r="Q217" s="2" t="inlineStr">
        <is>
          <t>currency_amount</t>
        </is>
      </c>
      <c r="R217" s="2" t="inlineStr">
        <is>
          <t>period_end</t>
        </is>
      </c>
      <c r="S217" s="2" t="inlineStr">
        <is>
          <t>allowed_with_provenance</t>
        </is>
      </c>
      <c r="T217" s="2" t="b">
        <v>0</v>
      </c>
      <c r="U217" s="2" t="b">
        <v>0</v>
      </c>
      <c r="V217" s="2" t="inlineStr"/>
      <c r="W217" s="2" t="inlineStr"/>
      <c r="X217" s="2" t="inlineStr">
        <is>
          <t>Decompose only from explicit face or note evidence; never fabricate a split.</t>
        </is>
      </c>
      <c r="Y217" s="2" t="inlineStr">
        <is>
          <t>Aggregate only mutually exclusive facts with identical period, scope, currency and unit.</t>
        </is>
      </c>
      <c r="Z217" s="2" t="inlineStr">
        <is>
          <t>Bind only to Balance Sheet / bs_cl.</t>
        </is>
      </c>
      <c r="AA217" s="2" t="inlineStr"/>
      <c r="AB217" s="2" t="b">
        <v>1</v>
      </c>
      <c r="AC217" s="2" t="inlineStr"/>
      <c r="AD217" s="2" t="inlineStr">
        <is>
          <t>Exact field from Balance Sheet!A207; value cell B207.</t>
        </is>
      </c>
      <c r="AE217" s="2" t="inlineStr">
        <is>
          <t>Notes may support direct extraction or decomposition with provenance. Formula outputs must be derived only from template dependencies.</t>
        </is>
      </c>
      <c r="AF217" s="2" t="inlineStr"/>
      <c r="AG217" s="2" t="inlineStr">
        <is>
          <t>[]</t>
        </is>
      </c>
      <c r="AH217" s="2" t="inlineStr">
        <is>
          <t>Trade payables- related parties</t>
        </is>
      </c>
      <c r="AI217" s="2" t="inlineStr"/>
      <c r="AJ217" s="2" t="inlineStr">
        <is>
          <t>{"template_sheet": "Balance Sheet", "template_row": 207, "template_cell": "B207", "template_value_or_formula": 46, "calculation_type": "reported_input", "dependencies": [], "source_template": "Copy of Output_CSV Template.xlsx"}</t>
        </is>
      </c>
    </row>
    <row r="218">
      <c r="A218" s="2" t="inlineStr">
        <is>
          <t>bs_cl__trade_and_other_payables_related_parties</t>
        </is>
      </c>
      <c r="B218" s="2" t="inlineStr">
        <is>
          <t>Trade and other payables- related parties</t>
        </is>
      </c>
      <c r="C218" s="2" t="inlineStr">
        <is>
          <t>bs_cl</t>
        </is>
      </c>
      <c r="D218" s="2" t="inlineStr">
        <is>
          <t>Extract the reported value for 'Trade and other payables- related parties' from the stated section. Do not calculate or replace it from other rows, because the revised template does not designate this field as formula-driven.</t>
        </is>
      </c>
      <c r="E218" s="2" t="inlineStr">
        <is>
          <t>Trade and other payables- related parties</t>
        </is>
      </c>
      <c r="F218" s="2" t="inlineStr">
        <is>
          <t>Trade and other payables- related parties</t>
        </is>
      </c>
      <c r="G218" s="2" t="inlineStr">
        <is>
          <t>^Trade\s+and\s+other\s+payables[\-–—]?\s+related\s+parties$</t>
        </is>
      </c>
      <c r="H218" s="2" t="inlineStr"/>
      <c r="I218" s="2" t="inlineStr">
        <is>
          <t>Amounts or disclosures explicitly reported for Trade and other payables- related parties in Balance Sheet / bs_cl.</t>
        </is>
      </c>
      <c r="J218" s="2" t="inlineStr">
        <is>
          <t>Do not substitute another section, period, entity scope, currency or unit; do not double count a parent and its children.</t>
        </is>
      </c>
      <c r="K218" s="2" t="inlineStr"/>
      <c r="L218" s="2" t="inlineStr">
        <is>
          <t>as_reported</t>
        </is>
      </c>
      <c r="M218" s="2" t="inlineStr">
        <is>
          <t>direct_exclusive</t>
        </is>
      </c>
      <c r="N218" s="2" t="n">
        <v>90</v>
      </c>
      <c r="O218" s="2" t="inlineStr">
        <is>
          <t>normalized_exact_then_regex</t>
        </is>
      </c>
      <c r="P218" s="3" t="inlineStr">
        <is>
          <t>extract</t>
        </is>
      </c>
      <c r="Q218" s="2" t="inlineStr">
        <is>
          <t>currency_amount</t>
        </is>
      </c>
      <c r="R218" s="2" t="inlineStr">
        <is>
          <t>period_end</t>
        </is>
      </c>
      <c r="S218" s="2" t="inlineStr">
        <is>
          <t>allowed_with_provenance</t>
        </is>
      </c>
      <c r="T218" s="2" t="b">
        <v>0</v>
      </c>
      <c r="U218" s="2" t="b">
        <v>0</v>
      </c>
      <c r="V218" s="2" t="inlineStr"/>
      <c r="W218" s="2" t="inlineStr"/>
      <c r="X218" s="2" t="inlineStr">
        <is>
          <t>Decompose only from explicit face or note evidence; never fabricate a split.</t>
        </is>
      </c>
      <c r="Y218" s="2" t="inlineStr">
        <is>
          <t>Aggregate only mutually exclusive facts with identical period, scope, currency and unit.</t>
        </is>
      </c>
      <c r="Z218" s="2" t="inlineStr">
        <is>
          <t>Bind only to Balance Sheet / bs_cl.</t>
        </is>
      </c>
      <c r="AA218" s="2" t="inlineStr"/>
      <c r="AB218" s="2" t="b">
        <v>1</v>
      </c>
      <c r="AC218" s="2" t="inlineStr"/>
      <c r="AD218" s="2" t="inlineStr">
        <is>
          <t>Exact field from Balance Sheet!A208; value cell B208.</t>
        </is>
      </c>
      <c r="AE218" s="2" t="inlineStr">
        <is>
          <t>Notes may support direct extraction or decomposition with provenance. Formula outputs must be derived only from template dependencies.</t>
        </is>
      </c>
      <c r="AF218" s="2" t="inlineStr"/>
      <c r="AG218" s="2" t="inlineStr">
        <is>
          <t>[]</t>
        </is>
      </c>
      <c r="AH218" s="2" t="inlineStr">
        <is>
          <t>Trade and other payables- related parties</t>
        </is>
      </c>
      <c r="AI218" s="2" t="inlineStr"/>
      <c r="AJ218" s="2" t="inlineStr">
        <is>
          <t>{"template_sheet": "Balance Sheet", "template_row": 208, "template_cell": "B208", "template_value_or_formula": 20, "calculation_type": "reported_input", "dependencies": [], "source_template": "Copy of Output_CSV Template.xlsx"}</t>
        </is>
      </c>
    </row>
    <row r="219">
      <c r="A219" s="2" t="inlineStr">
        <is>
          <t>bs_cl__trade_and_other_payables_cp</t>
        </is>
      </c>
      <c r="B219" s="2" t="inlineStr">
        <is>
          <t>Trade and other payables(CP)</t>
        </is>
      </c>
      <c r="C219" s="2" t="inlineStr">
        <is>
          <t>bs_cl</t>
        </is>
      </c>
      <c r="D219" s="2" t="inlineStr">
        <is>
          <t>Extract the reported value for 'Trade and other payables(CP)' from the stated section. Do not calculate or replace it from other rows, because the revised template does not designate this field as formula-driven.</t>
        </is>
      </c>
      <c r="E219" s="2" t="inlineStr">
        <is>
          <t>Trade and other payables(CP)</t>
        </is>
      </c>
      <c r="F219" s="2" t="inlineStr">
        <is>
          <t>Trade and other payables(CP)</t>
        </is>
      </c>
      <c r="G219" s="2" t="inlineStr">
        <is>
          <t>^Trade\s+and\s+other\s+payables\(CP\)$</t>
        </is>
      </c>
      <c r="H219" s="2" t="inlineStr"/>
      <c r="I219" s="2" t="inlineStr">
        <is>
          <t>Amounts or disclosures explicitly reported for Trade and other payables(CP) in Balance Sheet / bs_cl.</t>
        </is>
      </c>
      <c r="J219" s="2" t="inlineStr">
        <is>
          <t>Do not substitute another section, period, entity scope, currency or unit; do not double count a parent and its children.</t>
        </is>
      </c>
      <c r="K219" s="2" t="inlineStr"/>
      <c r="L219" s="2" t="inlineStr">
        <is>
          <t>as_reported</t>
        </is>
      </c>
      <c r="M219" s="2" t="inlineStr">
        <is>
          <t>direct_exclusive</t>
        </is>
      </c>
      <c r="N219" s="2" t="n">
        <v>90</v>
      </c>
      <c r="O219" s="2" t="inlineStr">
        <is>
          <t>normalized_exact_then_regex</t>
        </is>
      </c>
      <c r="P219" s="3" t="inlineStr">
        <is>
          <t>extract</t>
        </is>
      </c>
      <c r="Q219" s="2" t="inlineStr">
        <is>
          <t>currency_amount</t>
        </is>
      </c>
      <c r="R219" s="2" t="inlineStr">
        <is>
          <t>period_end</t>
        </is>
      </c>
      <c r="S219" s="2" t="inlineStr">
        <is>
          <t>allowed_with_provenance</t>
        </is>
      </c>
      <c r="T219" s="2" t="b">
        <v>0</v>
      </c>
      <c r="U219" s="2" t="b">
        <v>0</v>
      </c>
      <c r="V219" s="2" t="inlineStr"/>
      <c r="W219" s="2" t="inlineStr"/>
      <c r="X219" s="2" t="inlineStr">
        <is>
          <t>Decompose only from explicit face or note evidence; never fabricate a split.</t>
        </is>
      </c>
      <c r="Y219" s="2" t="inlineStr">
        <is>
          <t>Aggregate only mutually exclusive facts with identical period, scope, currency and unit.</t>
        </is>
      </c>
      <c r="Z219" s="2" t="inlineStr">
        <is>
          <t>Bind only to Balance Sheet / bs_cl.</t>
        </is>
      </c>
      <c r="AA219" s="2" t="inlineStr"/>
      <c r="AB219" s="2" t="b">
        <v>1</v>
      </c>
      <c r="AC219" s="2" t="inlineStr"/>
      <c r="AD219" s="2" t="inlineStr">
        <is>
          <t>Exact field from Balance Sheet!A209; value cell B209.</t>
        </is>
      </c>
      <c r="AE219" s="2" t="inlineStr">
        <is>
          <t>Notes may support direct extraction or decomposition with provenance. Formula outputs must be derived only from template dependencies.</t>
        </is>
      </c>
      <c r="AF219" s="2" t="inlineStr"/>
      <c r="AG219" s="2" t="inlineStr">
        <is>
          <t>[]</t>
        </is>
      </c>
      <c r="AH219" s="2" t="inlineStr">
        <is>
          <t>Trade and other payables(CP)</t>
        </is>
      </c>
      <c r="AI219" s="2" t="inlineStr"/>
      <c r="AJ219" s="2" t="inlineStr">
        <is>
          <t>{"template_sheet": "Balance Sheet", "template_row": 209, "template_cell": "B209", "template_value_or_formula": 37, "calculation_type": "reported_input", "dependencies": [], "source_template": "Copy of Output_CSV Template.xlsx"}</t>
        </is>
      </c>
    </row>
    <row r="220">
      <c r="A220" s="2" t="inlineStr">
        <is>
          <t>bs_cl__trade_payables_cp</t>
        </is>
      </c>
      <c r="B220" s="2" t="inlineStr">
        <is>
          <t>Trade Payables(CP)</t>
        </is>
      </c>
      <c r="C220" s="2" t="inlineStr">
        <is>
          <t>bs_cl</t>
        </is>
      </c>
      <c r="D220" s="2" t="inlineStr">
        <is>
          <t>Extract the reported value for 'Trade Payables(CP)' from the stated section. Do not calculate or replace it from other rows, because the revised template does not designate this field as formula-driven.</t>
        </is>
      </c>
      <c r="E220" s="2" t="inlineStr">
        <is>
          <t>Trade Payables(CP)</t>
        </is>
      </c>
      <c r="F220" s="2" t="inlineStr">
        <is>
          <t>Trade Payables(CP)</t>
        </is>
      </c>
      <c r="G220" s="2" t="inlineStr">
        <is>
          <t>^Trade\s+Payables\(CP\)$</t>
        </is>
      </c>
      <c r="H220" s="2" t="inlineStr"/>
      <c r="I220" s="2" t="inlineStr">
        <is>
          <t>Amounts or disclosures explicitly reported for Trade Payables(CP) in Balance Sheet / bs_cl.</t>
        </is>
      </c>
      <c r="J220" s="2" t="inlineStr">
        <is>
          <t>Do not substitute another section, period, entity scope, currency or unit; do not double count a parent and its children.</t>
        </is>
      </c>
      <c r="K220" s="2" t="inlineStr"/>
      <c r="L220" s="2" t="inlineStr">
        <is>
          <t>as_reported</t>
        </is>
      </c>
      <c r="M220" s="2" t="inlineStr">
        <is>
          <t>direct_exclusive</t>
        </is>
      </c>
      <c r="N220" s="2" t="n">
        <v>90</v>
      </c>
      <c r="O220" s="2" t="inlineStr">
        <is>
          <t>normalized_exact_then_regex</t>
        </is>
      </c>
      <c r="P220" s="3" t="inlineStr">
        <is>
          <t>extract</t>
        </is>
      </c>
      <c r="Q220" s="2" t="inlineStr">
        <is>
          <t>currency_amount</t>
        </is>
      </c>
      <c r="R220" s="2" t="inlineStr">
        <is>
          <t>period_end</t>
        </is>
      </c>
      <c r="S220" s="2" t="inlineStr">
        <is>
          <t>allowed_with_provenance</t>
        </is>
      </c>
      <c r="T220" s="2" t="b">
        <v>0</v>
      </c>
      <c r="U220" s="2" t="b">
        <v>0</v>
      </c>
      <c r="V220" s="2" t="inlineStr"/>
      <c r="W220" s="2" t="inlineStr"/>
      <c r="X220" s="2" t="inlineStr">
        <is>
          <t>Decompose only from explicit face or note evidence; never fabricate a split.</t>
        </is>
      </c>
      <c r="Y220" s="2" t="inlineStr">
        <is>
          <t>Aggregate only mutually exclusive facts with identical period, scope, currency and unit.</t>
        </is>
      </c>
      <c r="Z220" s="2" t="inlineStr">
        <is>
          <t>Bind only to Balance Sheet / bs_cl.</t>
        </is>
      </c>
      <c r="AA220" s="2" t="inlineStr"/>
      <c r="AB220" s="2" t="b">
        <v>1</v>
      </c>
      <c r="AC220" s="2" t="inlineStr"/>
      <c r="AD220" s="2" t="inlineStr">
        <is>
          <t>Exact field from Balance Sheet!A210; value cell B210.</t>
        </is>
      </c>
      <c r="AE220" s="2" t="inlineStr">
        <is>
          <t>Notes may support direct extraction or decomposition with provenance. Formula outputs must be derived only from template dependencies.</t>
        </is>
      </c>
      <c r="AF220" s="2" t="inlineStr"/>
      <c r="AG220" s="2" t="inlineStr">
        <is>
          <t>[]</t>
        </is>
      </c>
      <c r="AH220" s="2" t="inlineStr">
        <is>
          <t>Trade Payables(CP)</t>
        </is>
      </c>
      <c r="AI220" s="2" t="inlineStr"/>
      <c r="AJ220" s="2" t="inlineStr">
        <is>
          <t>{"template_sheet": "Balance Sheet", "template_row": 210, "template_cell": "B210", "template_value_or_formula": 11, "calculation_type": "reported_input", "dependencies": [], "source_template": "Copy of Output_CSV Template.xlsx"}</t>
        </is>
      </c>
    </row>
    <row r="221">
      <c r="A221" s="2" t="inlineStr">
        <is>
          <t>bs_cl__decomm_and_envir_costs_cp</t>
        </is>
      </c>
      <c r="B221" s="2" t="inlineStr">
        <is>
          <t>Decomm &amp; Envir Costs(CP)</t>
        </is>
      </c>
      <c r="C221" s="2" t="inlineStr">
        <is>
          <t>bs_cl</t>
        </is>
      </c>
      <c r="D221" s="2" t="inlineStr">
        <is>
          <t>Extract the reported value for 'Decomm &amp; Envir Costs(CP)' from the stated section. Do not calculate or replace it from other rows, because the revised template does not designate this field as formula-driven.</t>
        </is>
      </c>
      <c r="E221" s="2" t="inlineStr">
        <is>
          <t>Decomm &amp; Envir Costs(CP)</t>
        </is>
      </c>
      <c r="F221" s="2" t="inlineStr">
        <is>
          <t>Decomm &amp; Envir Costs(CP)</t>
        </is>
      </c>
      <c r="G221" s="2" t="inlineStr">
        <is>
          <t>^Decomm\s+\&amp;\s+Envir\s+Costs\(CP\)$</t>
        </is>
      </c>
      <c r="H221" s="2" t="inlineStr"/>
      <c r="I221" s="2" t="inlineStr">
        <is>
          <t>Amounts or disclosures explicitly reported for Decomm &amp; Envir Costs(CP) in Balance Sheet / bs_cl.</t>
        </is>
      </c>
      <c r="J221" s="2" t="inlineStr">
        <is>
          <t>Do not substitute another section, period, entity scope, currency or unit; do not double count a parent and its children.</t>
        </is>
      </c>
      <c r="K221" s="2" t="inlineStr"/>
      <c r="L221" s="2" t="inlineStr">
        <is>
          <t>as_reported</t>
        </is>
      </c>
      <c r="M221" s="2" t="inlineStr">
        <is>
          <t>direct_exclusive</t>
        </is>
      </c>
      <c r="N221" s="2" t="n">
        <v>90</v>
      </c>
      <c r="O221" s="2" t="inlineStr">
        <is>
          <t>normalized_exact_then_regex</t>
        </is>
      </c>
      <c r="P221" s="3" t="inlineStr">
        <is>
          <t>extract</t>
        </is>
      </c>
      <c r="Q221" s="2" t="inlineStr">
        <is>
          <t>currency_amount</t>
        </is>
      </c>
      <c r="R221" s="2" t="inlineStr">
        <is>
          <t>period_end</t>
        </is>
      </c>
      <c r="S221" s="2" t="inlineStr">
        <is>
          <t>allowed_with_provenance</t>
        </is>
      </c>
      <c r="T221" s="2" t="b">
        <v>0</v>
      </c>
      <c r="U221" s="2" t="b">
        <v>0</v>
      </c>
      <c r="V221" s="2" t="inlineStr"/>
      <c r="W221" s="2" t="inlineStr"/>
      <c r="X221" s="2" t="inlineStr">
        <is>
          <t>Decompose only from explicit face or note evidence; never fabricate a split.</t>
        </is>
      </c>
      <c r="Y221" s="2" t="inlineStr">
        <is>
          <t>Aggregate only mutually exclusive facts with identical period, scope, currency and unit.</t>
        </is>
      </c>
      <c r="Z221" s="2" t="inlineStr">
        <is>
          <t>Bind only to Balance Sheet / bs_cl.</t>
        </is>
      </c>
      <c r="AA221" s="2" t="inlineStr"/>
      <c r="AB221" s="2" t="b">
        <v>1</v>
      </c>
      <c r="AC221" s="2" t="inlineStr"/>
      <c r="AD221" s="2" t="inlineStr">
        <is>
          <t>Exact field from Balance Sheet!A211; value cell B211.</t>
        </is>
      </c>
      <c r="AE221" s="2" t="inlineStr">
        <is>
          <t>Notes may support direct extraction or decomposition with provenance. Formula outputs must be derived only from template dependencies.</t>
        </is>
      </c>
      <c r="AF221" s="2" t="inlineStr"/>
      <c r="AG221" s="2" t="inlineStr">
        <is>
          <t>[]</t>
        </is>
      </c>
      <c r="AH221" s="2" t="inlineStr">
        <is>
          <t>Decomm &amp; Envir Costs(CP)</t>
        </is>
      </c>
      <c r="AI221" s="2" t="inlineStr"/>
      <c r="AJ221" s="2" t="inlineStr">
        <is>
          <t>{"template_sheet": "Balance Sheet", "template_row": 211, "template_cell": "B211", "template_value_or_formula": 28, "calculation_type": "reported_input", "dependencies": [], "source_template": "Copy of Output_CSV Template.xlsx"}</t>
        </is>
      </c>
    </row>
    <row r="222">
      <c r="A222" s="2" t="inlineStr">
        <is>
          <t>bs_cl__share_option_costs_cp</t>
        </is>
      </c>
      <c r="B222" s="2" t="inlineStr">
        <is>
          <t>Share Option Costs(CP)</t>
        </is>
      </c>
      <c r="C222" s="2" t="inlineStr">
        <is>
          <t>bs_cl</t>
        </is>
      </c>
      <c r="D222" s="2" t="inlineStr">
        <is>
          <t>Extract the reported value for 'Share Option Costs(CP)' from the stated section. Do not calculate or replace it from other rows, because the revised template does not designate this field as formula-driven.</t>
        </is>
      </c>
      <c r="E222" s="2" t="inlineStr">
        <is>
          <t>Share Option Costs(CP)</t>
        </is>
      </c>
      <c r="F222" s="2" t="inlineStr">
        <is>
          <t>Share Option Costs(CP)</t>
        </is>
      </c>
      <c r="G222" s="2" t="inlineStr">
        <is>
          <t>^Share\s+Option\s+Costs\(CP\)$</t>
        </is>
      </c>
      <c r="H222" s="2" t="inlineStr"/>
      <c r="I222" s="2" t="inlineStr">
        <is>
          <t>Amounts or disclosures explicitly reported for Share Option Costs(CP) in Balance Sheet / bs_cl.</t>
        </is>
      </c>
      <c r="J222" s="2" t="inlineStr">
        <is>
          <t>Do not substitute another section, period, entity scope, currency or unit; do not double count a parent and its children.</t>
        </is>
      </c>
      <c r="K222" s="2" t="inlineStr"/>
      <c r="L222" s="2" t="inlineStr">
        <is>
          <t>as_reported</t>
        </is>
      </c>
      <c r="M222" s="2" t="inlineStr">
        <is>
          <t>direct_exclusive</t>
        </is>
      </c>
      <c r="N222" s="2" t="n">
        <v>90</v>
      </c>
      <c r="O222" s="2" t="inlineStr">
        <is>
          <t>normalized_exact_then_regex</t>
        </is>
      </c>
      <c r="P222" s="3" t="inlineStr">
        <is>
          <t>extract</t>
        </is>
      </c>
      <c r="Q222" s="2" t="inlineStr">
        <is>
          <t>currency_amount</t>
        </is>
      </c>
      <c r="R222" s="2" t="inlineStr">
        <is>
          <t>period_end</t>
        </is>
      </c>
      <c r="S222" s="2" t="inlineStr">
        <is>
          <t>allowed_with_provenance</t>
        </is>
      </c>
      <c r="T222" s="2" t="b">
        <v>0</v>
      </c>
      <c r="U222" s="2" t="b">
        <v>0</v>
      </c>
      <c r="V222" s="2" t="inlineStr"/>
      <c r="W222" s="2" t="inlineStr"/>
      <c r="X222" s="2" t="inlineStr">
        <is>
          <t>Decompose only from explicit face or note evidence; never fabricate a split.</t>
        </is>
      </c>
      <c r="Y222" s="2" t="inlineStr">
        <is>
          <t>Aggregate only mutually exclusive facts with identical period, scope, currency and unit.</t>
        </is>
      </c>
      <c r="Z222" s="2" t="inlineStr">
        <is>
          <t>Bind only to Balance Sheet / bs_cl.</t>
        </is>
      </c>
      <c r="AA222" s="2" t="inlineStr"/>
      <c r="AB222" s="2" t="b">
        <v>1</v>
      </c>
      <c r="AC222" s="2" t="inlineStr"/>
      <c r="AD222" s="2" t="inlineStr">
        <is>
          <t>Exact field from Balance Sheet!A212; value cell B212.</t>
        </is>
      </c>
      <c r="AE222" s="2" t="inlineStr">
        <is>
          <t>Notes may support direct extraction or decomposition with provenance. Formula outputs must be derived only from template dependencies.</t>
        </is>
      </c>
      <c r="AF222" s="2" t="inlineStr"/>
      <c r="AG222" s="2" t="inlineStr">
        <is>
          <t>[]</t>
        </is>
      </c>
      <c r="AH222" s="2" t="inlineStr">
        <is>
          <t>Share Option Costs(CP)</t>
        </is>
      </c>
      <c r="AI222" s="2" t="inlineStr"/>
      <c r="AJ222" s="2" t="inlineStr">
        <is>
          <t>{"template_sheet": "Balance Sheet", "template_row": 212, "template_cell": "B212", "template_value_or_formula": 45, "calculation_type": "reported_input", "dependencies": [], "source_template": "Copy of Output_CSV Template.xlsx"}</t>
        </is>
      </c>
    </row>
    <row r="223">
      <c r="A223" s="2" t="inlineStr">
        <is>
          <t>bs_cl__retirement_benefits_cp</t>
        </is>
      </c>
      <c r="B223" s="2" t="inlineStr">
        <is>
          <t>Retirement Benefits(CP)</t>
        </is>
      </c>
      <c r="C223" s="2" t="inlineStr">
        <is>
          <t>bs_cl</t>
        </is>
      </c>
      <c r="D223" s="2" t="inlineStr">
        <is>
          <t>Extract the reported value for 'Retirement Benefits(CP)' from the stated section. Do not calculate or replace it from other rows, because the revised template does not designate this field as formula-driven.</t>
        </is>
      </c>
      <c r="E223" s="2" t="inlineStr">
        <is>
          <t>Retirement Benefits(CP)</t>
        </is>
      </c>
      <c r="F223" s="2" t="inlineStr">
        <is>
          <t>Retirement Benefits(CP)</t>
        </is>
      </c>
      <c r="G223" s="2" t="inlineStr">
        <is>
          <t>^Retirement\s+Benefits\(CP\)$</t>
        </is>
      </c>
      <c r="H223" s="2" t="inlineStr"/>
      <c r="I223" s="2" t="inlineStr">
        <is>
          <t>Amounts or disclosures explicitly reported for Retirement Benefits(CP) in Balance Sheet / bs_cl.</t>
        </is>
      </c>
      <c r="J223" s="2" t="inlineStr">
        <is>
          <t>Do not substitute another section, period, entity scope, currency or unit; do not double count a parent and its children.</t>
        </is>
      </c>
      <c r="K223" s="2" t="inlineStr"/>
      <c r="L223" s="2" t="inlineStr">
        <is>
          <t>as_reported</t>
        </is>
      </c>
      <c r="M223" s="2" t="inlineStr">
        <is>
          <t>direct_exclusive</t>
        </is>
      </c>
      <c r="N223" s="2" t="n">
        <v>90</v>
      </c>
      <c r="O223" s="2" t="inlineStr">
        <is>
          <t>normalized_exact_then_regex</t>
        </is>
      </c>
      <c r="P223" s="3" t="inlineStr">
        <is>
          <t>extract</t>
        </is>
      </c>
      <c r="Q223" s="2" t="inlineStr">
        <is>
          <t>currency_amount</t>
        </is>
      </c>
      <c r="R223" s="2" t="inlineStr">
        <is>
          <t>period_end</t>
        </is>
      </c>
      <c r="S223" s="2" t="inlineStr">
        <is>
          <t>allowed_with_provenance</t>
        </is>
      </c>
      <c r="T223" s="2" t="b">
        <v>0</v>
      </c>
      <c r="U223" s="2" t="b">
        <v>0</v>
      </c>
      <c r="V223" s="2" t="inlineStr"/>
      <c r="W223" s="2" t="inlineStr"/>
      <c r="X223" s="2" t="inlineStr">
        <is>
          <t>Decompose only from explicit face or note evidence; never fabricate a split.</t>
        </is>
      </c>
      <c r="Y223" s="2" t="inlineStr">
        <is>
          <t>Aggregate only mutually exclusive facts with identical period, scope, currency and unit.</t>
        </is>
      </c>
      <c r="Z223" s="2" t="inlineStr">
        <is>
          <t>Bind only to Balance Sheet / bs_cl.</t>
        </is>
      </c>
      <c r="AA223" s="2" t="inlineStr"/>
      <c r="AB223" s="2" t="b">
        <v>1</v>
      </c>
      <c r="AC223" s="2" t="inlineStr"/>
      <c r="AD223" s="2" t="inlineStr">
        <is>
          <t>Exact field from Balance Sheet!A213; value cell B213.</t>
        </is>
      </c>
      <c r="AE223" s="2" t="inlineStr">
        <is>
          <t>Notes may support direct extraction or decomposition with provenance. Formula outputs must be derived only from template dependencies.</t>
        </is>
      </c>
      <c r="AF223" s="2" t="inlineStr"/>
      <c r="AG223" s="2" t="inlineStr">
        <is>
          <t>[]</t>
        </is>
      </c>
      <c r="AH223" s="2" t="inlineStr">
        <is>
          <t>Retirement Benefits(CP)</t>
        </is>
      </c>
      <c r="AI223" s="2" t="inlineStr"/>
      <c r="AJ223" s="2" t="inlineStr">
        <is>
          <t>{"template_sheet": "Balance Sheet", "template_row": 213, "template_cell": "B213", "template_value_or_formula": 19, "calculation_type": "reported_input", "dependencies": [], "source_template": "Copy of Output_CSV Template.xlsx"}</t>
        </is>
      </c>
    </row>
    <row r="224">
      <c r="A224" s="2" t="inlineStr">
        <is>
          <t>bs_cl__restruct_provision_cp</t>
        </is>
      </c>
      <c r="B224" s="2" t="inlineStr">
        <is>
          <t>Restruct Provision(CP)</t>
        </is>
      </c>
      <c r="C224" s="2" t="inlineStr">
        <is>
          <t>bs_cl</t>
        </is>
      </c>
      <c r="D224" s="2" t="inlineStr">
        <is>
          <t>Extract the reported value for 'Restruct Provision(CP)' from the stated section. Do not calculate or replace it from other rows, because the revised template does not designate this field as formula-driven.</t>
        </is>
      </c>
      <c r="E224" s="2" t="inlineStr">
        <is>
          <t>Restruct Provision(CP)</t>
        </is>
      </c>
      <c r="F224" s="2" t="inlineStr">
        <is>
          <t>Restruct Provision(CP)</t>
        </is>
      </c>
      <c r="G224" s="2" t="inlineStr">
        <is>
          <t>^Restruct\s+Provision\(CP\)$</t>
        </is>
      </c>
      <c r="H224" s="2" t="inlineStr"/>
      <c r="I224" s="2" t="inlineStr">
        <is>
          <t>Amounts or disclosures explicitly reported for Restruct Provision(CP) in Balance Sheet / bs_cl.</t>
        </is>
      </c>
      <c r="J224" s="2" t="inlineStr">
        <is>
          <t>Do not substitute another section, period, entity scope, currency or unit; do not double count a parent and its children.</t>
        </is>
      </c>
      <c r="K224" s="2" t="inlineStr"/>
      <c r="L224" s="2" t="inlineStr">
        <is>
          <t>as_reported</t>
        </is>
      </c>
      <c r="M224" s="2" t="inlineStr">
        <is>
          <t>direct_exclusive</t>
        </is>
      </c>
      <c r="N224" s="2" t="n">
        <v>90</v>
      </c>
      <c r="O224" s="2" t="inlineStr">
        <is>
          <t>normalized_exact_then_regex</t>
        </is>
      </c>
      <c r="P224" s="3" t="inlineStr">
        <is>
          <t>extract</t>
        </is>
      </c>
      <c r="Q224" s="2" t="inlineStr">
        <is>
          <t>currency_amount</t>
        </is>
      </c>
      <c r="R224" s="2" t="inlineStr">
        <is>
          <t>period_end</t>
        </is>
      </c>
      <c r="S224" s="2" t="inlineStr">
        <is>
          <t>allowed_with_provenance</t>
        </is>
      </c>
      <c r="T224" s="2" t="b">
        <v>0</v>
      </c>
      <c r="U224" s="2" t="b">
        <v>0</v>
      </c>
      <c r="V224" s="2" t="inlineStr"/>
      <c r="W224" s="2" t="inlineStr"/>
      <c r="X224" s="2" t="inlineStr">
        <is>
          <t>Decompose only from explicit face or note evidence; never fabricate a split.</t>
        </is>
      </c>
      <c r="Y224" s="2" t="inlineStr">
        <is>
          <t>Aggregate only mutually exclusive facts with identical period, scope, currency and unit.</t>
        </is>
      </c>
      <c r="Z224" s="2" t="inlineStr">
        <is>
          <t>Bind only to Balance Sheet / bs_cl.</t>
        </is>
      </c>
      <c r="AA224" s="2" t="inlineStr"/>
      <c r="AB224" s="2" t="b">
        <v>1</v>
      </c>
      <c r="AC224" s="2" t="inlineStr"/>
      <c r="AD224" s="2" t="inlineStr">
        <is>
          <t>Exact field from Balance Sheet!A214; value cell B214.</t>
        </is>
      </c>
      <c r="AE224" s="2" t="inlineStr">
        <is>
          <t>Notes may support direct extraction or decomposition with provenance. Formula outputs must be derived only from template dependencies.</t>
        </is>
      </c>
      <c r="AF224" s="2" t="inlineStr"/>
      <c r="AG224" s="2" t="inlineStr">
        <is>
          <t>[]</t>
        </is>
      </c>
      <c r="AH224" s="2" t="inlineStr">
        <is>
          <t>Restruct Provision(CP)</t>
        </is>
      </c>
      <c r="AI224" s="2" t="inlineStr"/>
      <c r="AJ224" s="2" t="inlineStr">
        <is>
          <t>{"template_sheet": "Balance Sheet", "template_row": 214, "template_cell": "B214", "template_value_or_formula": 36, "calculation_type": "reported_input", "dependencies": [], "source_template": "Copy of Output_CSV Template.xlsx"}</t>
        </is>
      </c>
    </row>
    <row r="225">
      <c r="A225" s="2" t="inlineStr">
        <is>
          <t>bs_cl__tax_provision_cp</t>
        </is>
      </c>
      <c r="B225" s="2" t="inlineStr">
        <is>
          <t>Tax Provision(CP)</t>
        </is>
      </c>
      <c r="C225" s="2" t="inlineStr">
        <is>
          <t>bs_cl</t>
        </is>
      </c>
      <c r="D225" s="2" t="inlineStr">
        <is>
          <t>Extract the reported value for 'Tax Provision(CP)' from the stated section. Do not calculate or replace it from other rows, because the revised template does not designate this field as formula-driven.</t>
        </is>
      </c>
      <c r="E225" s="2" t="inlineStr">
        <is>
          <t>Tax Provision(CP)</t>
        </is>
      </c>
      <c r="F225" s="2" t="inlineStr">
        <is>
          <t>Tax Provision(CP)</t>
        </is>
      </c>
      <c r="G225" s="2" t="inlineStr">
        <is>
          <t>^Tax\s+Provision\(CP\)$</t>
        </is>
      </c>
      <c r="H225" s="2" t="inlineStr"/>
      <c r="I225" s="2" t="inlineStr">
        <is>
          <t>Amounts or disclosures explicitly reported for Tax Provision(CP) in Balance Sheet / bs_cl.</t>
        </is>
      </c>
      <c r="J225" s="2" t="inlineStr">
        <is>
          <t>Do not substitute another section, period, entity scope, currency or unit; do not double count a parent and its children.</t>
        </is>
      </c>
      <c r="K225" s="2" t="inlineStr"/>
      <c r="L225" s="2" t="inlineStr">
        <is>
          <t>as_reported</t>
        </is>
      </c>
      <c r="M225" s="2" t="inlineStr">
        <is>
          <t>direct_exclusive</t>
        </is>
      </c>
      <c r="N225" s="2" t="n">
        <v>90</v>
      </c>
      <c r="O225" s="2" t="inlineStr">
        <is>
          <t>normalized_exact_then_regex</t>
        </is>
      </c>
      <c r="P225" s="3" t="inlineStr">
        <is>
          <t>extract</t>
        </is>
      </c>
      <c r="Q225" s="2" t="inlineStr">
        <is>
          <t>currency_amount</t>
        </is>
      </c>
      <c r="R225" s="2" t="inlineStr">
        <is>
          <t>period_end</t>
        </is>
      </c>
      <c r="S225" s="2" t="inlineStr">
        <is>
          <t>allowed_with_provenance</t>
        </is>
      </c>
      <c r="T225" s="2" t="b">
        <v>0</v>
      </c>
      <c r="U225" s="2" t="b">
        <v>0</v>
      </c>
      <c r="V225" s="2" t="inlineStr"/>
      <c r="W225" s="2" t="inlineStr"/>
      <c r="X225" s="2" t="inlineStr">
        <is>
          <t>Decompose only from explicit face or note evidence; never fabricate a split.</t>
        </is>
      </c>
      <c r="Y225" s="2" t="inlineStr">
        <is>
          <t>Aggregate only mutually exclusive facts with identical period, scope, currency and unit.</t>
        </is>
      </c>
      <c r="Z225" s="2" t="inlineStr">
        <is>
          <t>Bind only to Balance Sheet / bs_cl.</t>
        </is>
      </c>
      <c r="AA225" s="2" t="inlineStr"/>
      <c r="AB225" s="2" t="b">
        <v>1</v>
      </c>
      <c r="AC225" s="2" t="inlineStr"/>
      <c r="AD225" s="2" t="inlineStr">
        <is>
          <t>Exact field from Balance Sheet!A215; value cell B215.</t>
        </is>
      </c>
      <c r="AE225" s="2" t="inlineStr">
        <is>
          <t>Notes may support direct extraction or decomposition with provenance. Formula outputs must be derived only from template dependencies.</t>
        </is>
      </c>
      <c r="AF225" s="2" t="inlineStr"/>
      <c r="AG225" s="2" t="inlineStr">
        <is>
          <t>[]</t>
        </is>
      </c>
      <c r="AH225" s="2" t="inlineStr">
        <is>
          <t>Tax Provision(CP)</t>
        </is>
      </c>
      <c r="AI225" s="2" t="inlineStr"/>
      <c r="AJ225" s="2" t="inlineStr">
        <is>
          <t>{"template_sheet": "Balance Sheet", "template_row": 215, "template_cell": "B215", "template_value_or_formula": 10, "calculation_type": "reported_input", "dependencies": [], "source_template": "Copy of Output_CSV Template.xlsx"}</t>
        </is>
      </c>
    </row>
    <row r="226">
      <c r="A226" s="2" t="inlineStr">
        <is>
          <t>bs_cl__other_provisions_cp</t>
        </is>
      </c>
      <c r="B226" s="2" t="inlineStr">
        <is>
          <t>Other Provisions(CP)</t>
        </is>
      </c>
      <c r="C226" s="2" t="inlineStr">
        <is>
          <t>bs_cl</t>
        </is>
      </c>
      <c r="D226" s="2" t="inlineStr">
        <is>
          <t>Extract the reported value for 'Other Provisions(CP)' from the stated section. Do not calculate or replace it from other rows, because the revised template does not designate this field as formula-driven.</t>
        </is>
      </c>
      <c r="E226" s="2" t="inlineStr">
        <is>
          <t>Other Provisions(CP)</t>
        </is>
      </c>
      <c r="F226" s="2" t="inlineStr">
        <is>
          <t>Other Provisions(CP)</t>
        </is>
      </c>
      <c r="G226" s="2" t="inlineStr">
        <is>
          <t>^Other\s+Provisions\(CP\)$</t>
        </is>
      </c>
      <c r="H226" s="2" t="inlineStr"/>
      <c r="I226" s="2" t="inlineStr">
        <is>
          <t>Amounts or disclosures explicitly reported for Other Provisions(CP) in Balance Sheet / bs_cl.</t>
        </is>
      </c>
      <c r="J226" s="2" t="inlineStr">
        <is>
          <t>Do not substitute another section, period, entity scope, currency or unit; do not double count a parent and its children.</t>
        </is>
      </c>
      <c r="K226" s="2" t="inlineStr"/>
      <c r="L226" s="2" t="inlineStr">
        <is>
          <t>as_reported</t>
        </is>
      </c>
      <c r="M226" s="2" t="inlineStr">
        <is>
          <t>direct_exclusive</t>
        </is>
      </c>
      <c r="N226" s="2" t="n">
        <v>90</v>
      </c>
      <c r="O226" s="2" t="inlineStr">
        <is>
          <t>normalized_exact_then_regex</t>
        </is>
      </c>
      <c r="P226" s="3" t="inlineStr">
        <is>
          <t>extract</t>
        </is>
      </c>
      <c r="Q226" s="2" t="inlineStr">
        <is>
          <t>currency_amount</t>
        </is>
      </c>
      <c r="R226" s="2" t="inlineStr">
        <is>
          <t>period_end</t>
        </is>
      </c>
      <c r="S226" s="2" t="inlineStr">
        <is>
          <t>allowed_with_provenance</t>
        </is>
      </c>
      <c r="T226" s="2" t="b">
        <v>0</v>
      </c>
      <c r="U226" s="2" t="b">
        <v>0</v>
      </c>
      <c r="V226" s="2" t="inlineStr"/>
      <c r="W226" s="2" t="inlineStr"/>
      <c r="X226" s="2" t="inlineStr">
        <is>
          <t>Decompose only from explicit face or note evidence; never fabricate a split.</t>
        </is>
      </c>
      <c r="Y226" s="2" t="inlineStr">
        <is>
          <t>Aggregate only mutually exclusive facts with identical period, scope, currency and unit.</t>
        </is>
      </c>
      <c r="Z226" s="2" t="inlineStr">
        <is>
          <t>Bind only to Balance Sheet / bs_cl.</t>
        </is>
      </c>
      <c r="AA226" s="2" t="inlineStr"/>
      <c r="AB226" s="2" t="b">
        <v>1</v>
      </c>
      <c r="AC226" s="2" t="inlineStr"/>
      <c r="AD226" s="2" t="inlineStr">
        <is>
          <t>Exact field from Balance Sheet!A216; value cell B216.</t>
        </is>
      </c>
      <c r="AE226" s="2" t="inlineStr">
        <is>
          <t>Notes may support direct extraction or decomposition with provenance. Formula outputs must be derived only from template dependencies.</t>
        </is>
      </c>
      <c r="AF226" s="2" t="inlineStr">
        <is>
          <t>{"mode": "no_balancing_plug", "negative_result": "review"}</t>
        </is>
      </c>
      <c r="AG226" s="2" t="inlineStr">
        <is>
          <t>[]</t>
        </is>
      </c>
      <c r="AH226" s="2" t="inlineStr">
        <is>
          <t>Other Provisions(CP)</t>
        </is>
      </c>
      <c r="AI226" s="2" t="inlineStr"/>
      <c r="AJ226" s="2" t="inlineStr">
        <is>
          <t>{"template_sheet": "Balance Sheet", "template_row": 216, "template_cell": "B216", "template_value_or_formula": 27, "calculation_type": "reported_input", "dependencies": [], "source_template": "Copy of Output_CSV Template.xlsx"}</t>
        </is>
      </c>
    </row>
    <row r="227">
      <c r="A227" s="2" t="inlineStr">
        <is>
          <t>bs_cl__total_current_liabilities</t>
        </is>
      </c>
      <c r="B227" s="2" t="inlineStr">
        <is>
          <t>Total Current Liabilities</t>
        </is>
      </c>
      <c r="C227" s="2" t="inlineStr">
        <is>
          <t>bs_cl</t>
        </is>
      </c>
      <c r="D227" s="2" t="inlineStr">
        <is>
          <t>Calculated target using the exact formula retained in the supplied template: =SUM({bs_cl__cpltd_bank}:{bs_cl__other_provisions_cp})</t>
        </is>
      </c>
      <c r="E227" s="2" t="inlineStr">
        <is>
          <t>Total Current Liabilities</t>
        </is>
      </c>
      <c r="F227" s="2" t="inlineStr">
        <is>
          <t>Total Current Liabilities</t>
        </is>
      </c>
      <c r="G227" s="2" t="inlineStr">
        <is>
          <t>^Total\s+Current\s+Liabilities$</t>
        </is>
      </c>
      <c r="H227" s="2" t="inlineStr"/>
      <c r="I227" s="2" t="inlineStr">
        <is>
          <t>Amounts or disclosures explicitly reported for Total Current Liabilities in Balance Sheet / bs_cl.</t>
        </is>
      </c>
      <c r="J227" s="2" t="inlineStr">
        <is>
          <t>Do not substitute another section, period, entity scope, currency or unit; do not double count a parent and its children.</t>
        </is>
      </c>
      <c r="K227" s="2" t="inlineStr"/>
      <c r="L227" s="2" t="inlineStr">
        <is>
          <t>as_reported</t>
        </is>
      </c>
      <c r="M227" s="2" t="inlineStr">
        <is>
          <t>derived_total</t>
        </is>
      </c>
      <c r="N227" s="2" t="n">
        <v>100</v>
      </c>
      <c r="O227" s="2" t="inlineStr">
        <is>
          <t>disabled</t>
        </is>
      </c>
      <c r="P227" s="4" t="inlineStr">
        <is>
          <t>derive</t>
        </is>
      </c>
      <c r="Q227" s="2" t="inlineStr">
        <is>
          <t>currency_amount</t>
        </is>
      </c>
      <c r="R227" s="2" t="inlineStr">
        <is>
          <t>period_end</t>
        </is>
      </c>
      <c r="S227" s="2" t="inlineStr">
        <is>
          <t>allowed_with_provenance</t>
        </is>
      </c>
      <c r="T227" s="2" t="b">
        <v>0</v>
      </c>
      <c r="U227" s="2" t="b">
        <v>1</v>
      </c>
      <c r="V227" s="2" t="inlineStr">
        <is>
          <t>bs_cl__cpltd_bank | bs_cl__other_provisions_cp</t>
        </is>
      </c>
      <c r="W227" s="2">
        <f>SUM({bs_cl__cpltd_bank}:{bs_cl__other_provisions_cp})</f>
        <v/>
      </c>
      <c r="X227" s="2" t="inlineStr">
        <is>
          <t>Use only dependencies stated in the formula; never fabricate missing components.</t>
        </is>
      </c>
      <c r="Y227" s="2" t="inlineStr">
        <is>
          <t>Calculate only after every dependency is populated and validated.</t>
        </is>
      </c>
      <c r="Z227" s="2" t="inlineStr">
        <is>
          <t>Bind only to Balance Sheet / bs_cl.</t>
        </is>
      </c>
      <c r="AA227" s="2" t="inlineStr"/>
      <c r="AB227" s="2" t="b">
        <v>0</v>
      </c>
      <c r="AC227" s="2" t="inlineStr">
        <is>
          <t>bs_cl__cpltd_bank | bs_cl__other_provisions_cp</t>
        </is>
      </c>
      <c r="AD227" s="2" t="inlineStr">
        <is>
          <t>Exact field from Balance Sheet!A217; value cell B217.</t>
        </is>
      </c>
      <c r="AE227" s="2" t="inlineStr">
        <is>
          <t>Notes may support direct extraction or decomposition with provenance. Formula outputs must be derived only from template dependencies.</t>
        </is>
      </c>
      <c r="AF227" s="2" t="inlineStr"/>
      <c r="AG227" s="2" t="inlineStr">
        <is>
          <t>[]</t>
        </is>
      </c>
      <c r="AH227" s="2" t="inlineStr">
        <is>
          <t>Total Current Liabilities</t>
        </is>
      </c>
      <c r="AI227" s="2" t="inlineStr"/>
      <c r="AJ227" s="2" t="inlineStr">
        <is>
          <t>{"template_sheet": "Balance Sheet", "template_row": 217, "template_cell": "B217", "template_value_or_formula": "=SUM(B167:B216)", "calculation_type": "formula", "dependencies": ["bs_cl__cpltd_bank", "bs_cl__other_provisions_cp"], "source_template": "Copy of Output_CSV Template.xlsx"}</t>
        </is>
      </c>
    </row>
    <row r="228">
      <c r="A228" s="2" t="inlineStr">
        <is>
          <t>bs_cl__total_liabilities</t>
        </is>
      </c>
      <c r="B228" s="2" t="inlineStr">
        <is>
          <t>Total Liabilities</t>
        </is>
      </c>
      <c r="C228" s="2" t="inlineStr">
        <is>
          <t>bs_cl</t>
        </is>
      </c>
      <c r="D228" s="2" t="inlineStr">
        <is>
          <t>Calculated target using the exact formula retained in the supplied template: ={bs_ncl__total_non_current_liabilities}+{bs_cl__total_current_liabilities}</t>
        </is>
      </c>
      <c r="E228" s="2" t="inlineStr">
        <is>
          <t>Total Liabilities</t>
        </is>
      </c>
      <c r="F228" s="2" t="inlineStr">
        <is>
          <t>Total Liabilities</t>
        </is>
      </c>
      <c r="G228" s="2" t="inlineStr">
        <is>
          <t>^Total\s+Liabilities$</t>
        </is>
      </c>
      <c r="H228" s="2" t="inlineStr"/>
      <c r="I228" s="2" t="inlineStr">
        <is>
          <t>Amounts or disclosures explicitly reported for Total Liabilities in Balance Sheet / bs_cl.</t>
        </is>
      </c>
      <c r="J228" s="2" t="inlineStr">
        <is>
          <t>Do not substitute another section, period, entity scope, currency or unit; do not double count a parent and its children.</t>
        </is>
      </c>
      <c r="K228" s="2" t="inlineStr"/>
      <c r="L228" s="2" t="inlineStr">
        <is>
          <t>as_reported</t>
        </is>
      </c>
      <c r="M228" s="2" t="inlineStr">
        <is>
          <t>derived_total</t>
        </is>
      </c>
      <c r="N228" s="2" t="n">
        <v>100</v>
      </c>
      <c r="O228" s="2" t="inlineStr">
        <is>
          <t>disabled</t>
        </is>
      </c>
      <c r="P228" s="4" t="inlineStr">
        <is>
          <t>derive</t>
        </is>
      </c>
      <c r="Q228" s="2" t="inlineStr">
        <is>
          <t>currency_amount</t>
        </is>
      </c>
      <c r="R228" s="2" t="inlineStr">
        <is>
          <t>period_end</t>
        </is>
      </c>
      <c r="S228" s="2" t="inlineStr">
        <is>
          <t>allowed_with_provenance</t>
        </is>
      </c>
      <c r="T228" s="2" t="b">
        <v>0</v>
      </c>
      <c r="U228" s="2" t="b">
        <v>1</v>
      </c>
      <c r="V228" s="2" t="inlineStr">
        <is>
          <t>bs_ncl__total_non_current_liabilities | bs_cl__total_current_liabilities</t>
        </is>
      </c>
      <c r="W228" s="2">
        <f>{bs_ncl__total_non_current_liabilities}+{bs_cl__total_current_liabilities}</f>
        <v/>
      </c>
      <c r="X228" s="2" t="inlineStr">
        <is>
          <t>Use only dependencies stated in the formula; never fabricate missing components.</t>
        </is>
      </c>
      <c r="Y228" s="2" t="inlineStr">
        <is>
          <t>Calculate only after every dependency is populated and validated.</t>
        </is>
      </c>
      <c r="Z228" s="2" t="inlineStr">
        <is>
          <t>Bind only to Balance Sheet / bs_cl.</t>
        </is>
      </c>
      <c r="AA228" s="2" t="inlineStr"/>
      <c r="AB228" s="2" t="b">
        <v>0</v>
      </c>
      <c r="AC228" s="2" t="inlineStr">
        <is>
          <t>bs_ncl__total_non_current_liabilities | bs_cl__total_current_liabilities</t>
        </is>
      </c>
      <c r="AD228" s="2" t="inlineStr">
        <is>
          <t>Exact field from Balance Sheet!A219; value cell B219.</t>
        </is>
      </c>
      <c r="AE228" s="2" t="inlineStr">
        <is>
          <t>Notes may support direct extraction or decomposition with provenance. Formula outputs must be derived only from template dependencies.</t>
        </is>
      </c>
      <c r="AF228" s="2" t="inlineStr"/>
      <c r="AG228" s="2" t="inlineStr">
        <is>
          <t>[]</t>
        </is>
      </c>
      <c r="AH228" s="2" t="inlineStr">
        <is>
          <t>Total Liabilities</t>
        </is>
      </c>
      <c r="AI228" s="2" t="inlineStr"/>
      <c r="AJ228" s="2" t="inlineStr">
        <is>
          <t>{"template_sheet": "Balance Sheet", "template_row": 219, "template_cell": "B219", "template_value_or_formula": "=B165+B217", "calculation_type": "formula", "dependencies": ["bs_ncl__total_non_current_liabilities", "bs_cl__total_current_liabilities"], "source_template": "Copy of Output_CSV Template.xlsx"}</t>
        </is>
      </c>
    </row>
    <row r="229">
      <c r="A229" s="2" t="inlineStr">
        <is>
          <t>bs_cl__total_equity_and_liabilities</t>
        </is>
      </c>
      <c r="B229" s="2" t="inlineStr">
        <is>
          <t>Total Equity and Liabilities</t>
        </is>
      </c>
      <c r="C229" s="2" t="inlineStr">
        <is>
          <t>bs_cl</t>
        </is>
      </c>
      <c r="D229" s="2" t="inlineStr">
        <is>
          <t>Calculated target using the exact formula retained in the supplied template: ={bs_equity__total_equity_and_reserves}+{bs_cl__total_liabilities}</t>
        </is>
      </c>
      <c r="E229" s="2" t="inlineStr">
        <is>
          <t>Total Equity and Liabilities</t>
        </is>
      </c>
      <c r="F229" s="2" t="inlineStr">
        <is>
          <t>Total Equity and Liabilities</t>
        </is>
      </c>
      <c r="G229" s="2" t="inlineStr">
        <is>
          <t>^Total\s+Equity\s+and\s+Liabilities$</t>
        </is>
      </c>
      <c r="H229" s="2" t="inlineStr"/>
      <c r="I229" s="2" t="inlineStr">
        <is>
          <t>Amounts or disclosures explicitly reported for Total Equity and Liabilities in Balance Sheet / bs_cl.</t>
        </is>
      </c>
      <c r="J229" s="2" t="inlineStr">
        <is>
          <t>Do not substitute another section, period, entity scope, currency or unit; do not double count a parent and its children.</t>
        </is>
      </c>
      <c r="K229" s="2" t="inlineStr"/>
      <c r="L229" s="2" t="inlineStr">
        <is>
          <t>as_reported</t>
        </is>
      </c>
      <c r="M229" s="2" t="inlineStr">
        <is>
          <t>derived_total</t>
        </is>
      </c>
      <c r="N229" s="2" t="n">
        <v>100</v>
      </c>
      <c r="O229" s="2" t="inlineStr">
        <is>
          <t>disabled</t>
        </is>
      </c>
      <c r="P229" s="4" t="inlineStr">
        <is>
          <t>derive</t>
        </is>
      </c>
      <c r="Q229" s="2" t="inlineStr">
        <is>
          <t>currency_amount</t>
        </is>
      </c>
      <c r="R229" s="2" t="inlineStr">
        <is>
          <t>period_end</t>
        </is>
      </c>
      <c r="S229" s="2" t="inlineStr">
        <is>
          <t>allowed_with_provenance</t>
        </is>
      </c>
      <c r="T229" s="2" t="b">
        <v>0</v>
      </c>
      <c r="U229" s="2" t="b">
        <v>1</v>
      </c>
      <c r="V229" s="2" t="inlineStr">
        <is>
          <t>bs_equity__total_equity_and_reserves | bs_cl__total_liabilities</t>
        </is>
      </c>
      <c r="W229" s="2">
        <f>{bs_equity__total_equity_and_reserves}+{bs_cl__total_liabilities}</f>
        <v/>
      </c>
      <c r="X229" s="2" t="inlineStr">
        <is>
          <t>Use only dependencies stated in the formula; never fabricate missing components.</t>
        </is>
      </c>
      <c r="Y229" s="2" t="inlineStr">
        <is>
          <t>Calculate only after every dependency is populated and validated.</t>
        </is>
      </c>
      <c r="Z229" s="2" t="inlineStr">
        <is>
          <t>Bind only to Balance Sheet / bs_cl.</t>
        </is>
      </c>
      <c r="AA229" s="2" t="inlineStr"/>
      <c r="AB229" s="2" t="b">
        <v>0</v>
      </c>
      <c r="AC229" s="2" t="inlineStr">
        <is>
          <t>bs_equity__total_equity_and_reserves | bs_cl__total_liabilities</t>
        </is>
      </c>
      <c r="AD229" s="2" t="inlineStr">
        <is>
          <t>Exact field from Balance Sheet!A220; value cell B220.</t>
        </is>
      </c>
      <c r="AE229" s="2" t="inlineStr">
        <is>
          <t>Notes may support direct extraction or decomposition with provenance. Formula outputs must be derived only from template dependencies.</t>
        </is>
      </c>
      <c r="AF229" s="2" t="inlineStr"/>
      <c r="AG229" s="2" t="inlineStr">
        <is>
          <t>[]</t>
        </is>
      </c>
      <c r="AH229" s="2" t="inlineStr">
        <is>
          <t>Total Equity and Liabilities</t>
        </is>
      </c>
      <c r="AI229" s="2" t="inlineStr"/>
      <c r="AJ229" s="2" t="inlineStr">
        <is>
          <t>{"template_sheet": "Balance Sheet", "template_row": 220, "template_cell": "B220", "template_value_or_formula": "=B128+B219", "calculation_type": "formula", "dependencies": ["bs_equity__total_equity_and_reserves", "bs_cl__total_liabilities"], "source_template": "Copy of Output_CSV Template.xlsx"}</t>
        </is>
      </c>
    </row>
    <row r="230">
      <c r="A230" s="2" t="inlineStr">
        <is>
          <t>is_pl__sales_revenues</t>
        </is>
      </c>
      <c r="B230" s="2" t="inlineStr">
        <is>
          <t>Sales(Revenues)</t>
        </is>
      </c>
      <c r="C230" s="2" t="inlineStr">
        <is>
          <t>is_pl</t>
        </is>
      </c>
      <c r="D230" s="2" t="inlineStr">
        <is>
          <t>Extract the reported value for 'Sales(Revenues)' from the stated section. Do not calculate or replace it from other rows, because the revised template does not designate this field as formula-driven.</t>
        </is>
      </c>
      <c r="E230" s="2" t="inlineStr">
        <is>
          <t>Sales(Revenues)</t>
        </is>
      </c>
      <c r="F230" s="2" t="inlineStr">
        <is>
          <t>Sales(Revenues)</t>
        </is>
      </c>
      <c r="G230" s="2" t="inlineStr">
        <is>
          <t>^Sales\(Revenues\)$</t>
        </is>
      </c>
      <c r="H230" s="2" t="inlineStr"/>
      <c r="I230" s="2" t="inlineStr">
        <is>
          <t>Amounts or disclosures explicitly reported for Sales(Revenues) in Income Statement / is_pl.</t>
        </is>
      </c>
      <c r="J230" s="2" t="inlineStr">
        <is>
          <t>Do not substitute another section, period, entity scope, currency or unit; do not double count a parent and its children.</t>
        </is>
      </c>
      <c r="K230" s="2" t="inlineStr"/>
      <c r="L230" s="2" t="inlineStr">
        <is>
          <t>as_reported</t>
        </is>
      </c>
      <c r="M230" s="2" t="inlineStr">
        <is>
          <t>direct_exclusive</t>
        </is>
      </c>
      <c r="N230" s="2" t="n">
        <v>90</v>
      </c>
      <c r="O230" s="2" t="inlineStr">
        <is>
          <t>normalized_exact_then_regex</t>
        </is>
      </c>
      <c r="P230" s="3" t="inlineStr">
        <is>
          <t>extract</t>
        </is>
      </c>
      <c r="Q230" s="2" t="inlineStr">
        <is>
          <t>currency_amount</t>
        </is>
      </c>
      <c r="R230" s="2" t="inlineStr">
        <is>
          <t>period_flow</t>
        </is>
      </c>
      <c r="S230" s="2" t="inlineStr">
        <is>
          <t>allowed_with_provenance</t>
        </is>
      </c>
      <c r="T230" s="2" t="b">
        <v>0</v>
      </c>
      <c r="U230" s="2" t="b">
        <v>0</v>
      </c>
      <c r="V230" s="2" t="inlineStr"/>
      <c r="W230" s="2" t="inlineStr"/>
      <c r="X230" s="2" t="inlineStr">
        <is>
          <t>Decompose only from explicit face or note evidence; never fabricate a split.</t>
        </is>
      </c>
      <c r="Y230" s="2" t="inlineStr">
        <is>
          <t>Aggregate only mutually exclusive facts with identical period, scope, currency and unit.</t>
        </is>
      </c>
      <c r="Z230" s="2" t="inlineStr">
        <is>
          <t>Bind only to Income Statement / is_pl.</t>
        </is>
      </c>
      <c r="AA230" s="2" t="inlineStr"/>
      <c r="AB230" s="2" t="b">
        <v>1</v>
      </c>
      <c r="AC230" s="2" t="inlineStr"/>
      <c r="AD230" s="2" t="inlineStr">
        <is>
          <t>Exact field from Income Statement!A6; value cell B6.</t>
        </is>
      </c>
      <c r="AE230" s="2" t="inlineStr">
        <is>
          <t>Notes may support direct extraction or decomposition with provenance. Formula outputs must be derived only from template dependencies.</t>
        </is>
      </c>
      <c r="AF230" s="2" t="inlineStr"/>
      <c r="AG230" s="2" t="inlineStr">
        <is>
          <t>[]</t>
        </is>
      </c>
      <c r="AH230" s="2" t="inlineStr">
        <is>
          <t>Sales(Revenues)</t>
        </is>
      </c>
      <c r="AI230" s="2" t="inlineStr"/>
      <c r="AJ230" s="2" t="inlineStr">
        <is>
          <t>{"template_sheet": "Income Statement", "template_row": 6, "template_cell": "B6", "template_value_or_formula": 1000, "calculation_type": "reported_input", "dependencies": [], "source_template": "Copy of Output_CSV Template.xlsx"}</t>
        </is>
      </c>
    </row>
    <row r="231">
      <c r="A231" s="2" t="inlineStr">
        <is>
          <t>is_pl__net_premium_earned</t>
        </is>
      </c>
      <c r="B231" s="2" t="inlineStr">
        <is>
          <t>Net Premium Earned</t>
        </is>
      </c>
      <c r="C231" s="2" t="inlineStr">
        <is>
          <t>is_pl</t>
        </is>
      </c>
      <c r="D231" s="2" t="inlineStr">
        <is>
          <t>Extract the reported value for 'Net Premium Earned' from the stated section. Do not calculate or replace it from other rows, because the revised template does not designate this field as formula-driven.</t>
        </is>
      </c>
      <c r="E231" s="2" t="inlineStr">
        <is>
          <t>Net Premium Earned</t>
        </is>
      </c>
      <c r="F231" s="2" t="inlineStr">
        <is>
          <t>Net Premium Earned</t>
        </is>
      </c>
      <c r="G231" s="2" t="inlineStr">
        <is>
          <t>^Net\s+Premium\s+Earned$</t>
        </is>
      </c>
      <c r="H231" s="2" t="inlineStr"/>
      <c r="I231" s="2" t="inlineStr">
        <is>
          <t>Amounts or disclosures explicitly reported for Net Premium Earned in Income Statement / is_pl.</t>
        </is>
      </c>
      <c r="J231" s="2" t="inlineStr">
        <is>
          <t>Do not substitute another section, period, entity scope, currency or unit; do not double count a parent and its children.</t>
        </is>
      </c>
      <c r="K231" s="2" t="inlineStr"/>
      <c r="L231" s="2" t="inlineStr">
        <is>
          <t>as_reported</t>
        </is>
      </c>
      <c r="M231" s="2" t="inlineStr">
        <is>
          <t>direct_exclusive</t>
        </is>
      </c>
      <c r="N231" s="2" t="n">
        <v>90</v>
      </c>
      <c r="O231" s="2" t="inlineStr">
        <is>
          <t>normalized_exact_then_regex</t>
        </is>
      </c>
      <c r="P231" s="3" t="inlineStr">
        <is>
          <t>extract</t>
        </is>
      </c>
      <c r="Q231" s="2" t="inlineStr">
        <is>
          <t>currency_amount</t>
        </is>
      </c>
      <c r="R231" s="2" t="inlineStr">
        <is>
          <t>period_flow</t>
        </is>
      </c>
      <c r="S231" s="2" t="inlineStr">
        <is>
          <t>allowed_with_provenance</t>
        </is>
      </c>
      <c r="T231" s="2" t="b">
        <v>0</v>
      </c>
      <c r="U231" s="2" t="b">
        <v>0</v>
      </c>
      <c r="V231" s="2" t="inlineStr"/>
      <c r="W231" s="2" t="inlineStr"/>
      <c r="X231" s="2" t="inlineStr">
        <is>
          <t>Decompose only from explicit face or note evidence; never fabricate a split.</t>
        </is>
      </c>
      <c r="Y231" s="2" t="inlineStr">
        <is>
          <t>Aggregate only mutually exclusive facts with identical period, scope, currency and unit.</t>
        </is>
      </c>
      <c r="Z231" s="2" t="inlineStr">
        <is>
          <t>Bind only to Income Statement / is_pl.</t>
        </is>
      </c>
      <c r="AA231" s="2" t="inlineStr"/>
      <c r="AB231" s="2" t="b">
        <v>1</v>
      </c>
      <c r="AC231" s="2" t="inlineStr"/>
      <c r="AD231" s="2" t="inlineStr">
        <is>
          <t>Exact field from Income Statement!A7; value cell B7.</t>
        </is>
      </c>
      <c r="AE231" s="2" t="inlineStr">
        <is>
          <t>Notes may support direct extraction or decomposition with provenance. Formula outputs must be derived only from template dependencies.</t>
        </is>
      </c>
      <c r="AF231" s="2" t="inlineStr"/>
      <c r="AG231" s="2" t="inlineStr">
        <is>
          <t>[]</t>
        </is>
      </c>
      <c r="AH231" s="2" t="inlineStr">
        <is>
          <t>Net Premium Earned</t>
        </is>
      </c>
      <c r="AI231" s="2" t="inlineStr"/>
      <c r="AJ231" s="2" t="inlineStr">
        <is>
          <t>{"template_sheet": "Income Statement", "template_row": 7, "template_cell": "B7", "template_value_or_formula": 25, "calculation_type": "reported_input", "dependencies": [], "source_template": "Copy of Output_CSV Template.xlsx"}</t>
        </is>
      </c>
    </row>
    <row r="232">
      <c r="A232" s="2" t="inlineStr">
        <is>
          <t>is_pl__changes_in_inventories_incr_dcr</t>
        </is>
      </c>
      <c r="B232" s="2" t="inlineStr">
        <is>
          <t>Changes in Inventories Incr/(Dcr)</t>
        </is>
      </c>
      <c r="C232" s="2" t="inlineStr">
        <is>
          <t>is_pl</t>
        </is>
      </c>
      <c r="D232" s="2" t="inlineStr">
        <is>
          <t>Extract the reported value for 'Changes in Inventories Incr/(Dcr)' from the stated section. Do not calculate or replace it from other rows, because the revised template does not designate this field as formula-driven.</t>
        </is>
      </c>
      <c r="E232" s="2" t="inlineStr">
        <is>
          <t>Changes in Inventories Incr/(Dcr)</t>
        </is>
      </c>
      <c r="F232" s="2" t="inlineStr">
        <is>
          <t>Changes in Inventories Incr/(Dcr)</t>
        </is>
      </c>
      <c r="G232" s="2" t="inlineStr">
        <is>
          <t>^Changes\s+in\s+Inventories\s+Incr/\(Dcr\)$</t>
        </is>
      </c>
      <c r="H232" s="2" t="inlineStr"/>
      <c r="I232" s="2" t="inlineStr">
        <is>
          <t>Amounts or disclosures explicitly reported for Changes in Inventories Incr/(Dcr) in Income Statement / is_pl.</t>
        </is>
      </c>
      <c r="J232" s="2" t="inlineStr">
        <is>
          <t>Do not substitute another section, period, entity scope, currency or unit; do not double count a parent and its children.</t>
        </is>
      </c>
      <c r="K232" s="2" t="inlineStr"/>
      <c r="L232" s="2" t="inlineStr">
        <is>
          <t>as_reported</t>
        </is>
      </c>
      <c r="M232" s="2" t="inlineStr">
        <is>
          <t>direct_exclusive</t>
        </is>
      </c>
      <c r="N232" s="2" t="n">
        <v>90</v>
      </c>
      <c r="O232" s="2" t="inlineStr">
        <is>
          <t>normalized_exact_then_regex</t>
        </is>
      </c>
      <c r="P232" s="3" t="inlineStr">
        <is>
          <t>extract</t>
        </is>
      </c>
      <c r="Q232" s="2" t="inlineStr">
        <is>
          <t>currency_amount</t>
        </is>
      </c>
      <c r="R232" s="2" t="inlineStr">
        <is>
          <t>period_flow</t>
        </is>
      </c>
      <c r="S232" s="2" t="inlineStr">
        <is>
          <t>allowed_with_provenance</t>
        </is>
      </c>
      <c r="T232" s="2" t="b">
        <v>0</v>
      </c>
      <c r="U232" s="2" t="b">
        <v>0</v>
      </c>
      <c r="V232" s="2" t="inlineStr"/>
      <c r="W232" s="2" t="inlineStr"/>
      <c r="X232" s="2" t="inlineStr">
        <is>
          <t>Decompose only from explicit face or note evidence; never fabricate a split.</t>
        </is>
      </c>
      <c r="Y232" s="2" t="inlineStr">
        <is>
          <t>Aggregate only mutually exclusive facts with identical period, scope, currency and unit.</t>
        </is>
      </c>
      <c r="Z232" s="2" t="inlineStr">
        <is>
          <t>Bind only to Income Statement / is_pl.</t>
        </is>
      </c>
      <c r="AA232" s="2" t="inlineStr"/>
      <c r="AB232" s="2" t="b">
        <v>1</v>
      </c>
      <c r="AC232" s="2" t="inlineStr"/>
      <c r="AD232" s="2" t="inlineStr">
        <is>
          <t>Exact field from Income Statement!A8; value cell B8.</t>
        </is>
      </c>
      <c r="AE232" s="2" t="inlineStr">
        <is>
          <t>Notes may support direct extraction or decomposition with provenance. Formula outputs must be derived only from template dependencies.</t>
        </is>
      </c>
      <c r="AF232" s="2" t="inlineStr"/>
      <c r="AG232" s="2" t="inlineStr">
        <is>
          <t>[]</t>
        </is>
      </c>
      <c r="AH232" s="2" t="inlineStr">
        <is>
          <t>Changes in Inventories Incr/(Dcr)</t>
        </is>
      </c>
      <c r="AI232" s="2" t="inlineStr"/>
      <c r="AJ232" s="2" t="inlineStr">
        <is>
          <t>{"template_sheet": "Income Statement", "template_row": 8, "template_cell": "B8", "template_value_or_formula": 15, "calculation_type": "reported_input", "dependencies": [], "source_template": "Copy of Output_CSV Template.xlsx"}</t>
        </is>
      </c>
    </row>
    <row r="233">
      <c r="A233" s="2" t="inlineStr">
        <is>
          <t>is_pl__expenses_own_work_capitalized</t>
        </is>
      </c>
      <c r="B233" s="2" t="inlineStr">
        <is>
          <t>Expenses(Own Work Capitalized)(+)</t>
        </is>
      </c>
      <c r="C233" s="2" t="inlineStr">
        <is>
          <t>is_pl</t>
        </is>
      </c>
      <c r="D233" s="2" t="inlineStr">
        <is>
          <t>Extract the reported value for 'Expenses(Own Work Capitalized)(+)' from the stated section. Do not calculate or replace it from other rows, because the revised template does not designate this field as formula-driven.</t>
        </is>
      </c>
      <c r="E233" s="2" t="inlineStr">
        <is>
          <t>Expenses(Own Work Capitalized)(+)</t>
        </is>
      </c>
      <c r="F233" s="2" t="inlineStr">
        <is>
          <t>Expenses(Own Work Capitalized)(+)</t>
        </is>
      </c>
      <c r="G233" s="2" t="inlineStr">
        <is>
          <t>^Expenses\(Own\s+Work\s+Capitalized\)\(\+\)$</t>
        </is>
      </c>
      <c r="H233" s="2" t="inlineStr"/>
      <c r="I233" s="2" t="inlineStr">
        <is>
          <t>Amounts or disclosures explicitly reported for Expenses(Own Work Capitalized)(+) in Income Statement / is_pl.</t>
        </is>
      </c>
      <c r="J233" s="2" t="inlineStr">
        <is>
          <t>Do not substitute another section, period, entity scope, currency or unit; do not double count a parent and its children.</t>
        </is>
      </c>
      <c r="K233" s="2" t="inlineStr"/>
      <c r="L233" s="2" t="inlineStr">
        <is>
          <t>as_reported</t>
        </is>
      </c>
      <c r="M233" s="2" t="inlineStr">
        <is>
          <t>direct_exclusive</t>
        </is>
      </c>
      <c r="N233" s="2" t="n">
        <v>90</v>
      </c>
      <c r="O233" s="2" t="inlineStr">
        <is>
          <t>normalized_exact_then_regex</t>
        </is>
      </c>
      <c r="P233" s="3" t="inlineStr">
        <is>
          <t>extract</t>
        </is>
      </c>
      <c r="Q233" s="2" t="inlineStr">
        <is>
          <t>currency_amount</t>
        </is>
      </c>
      <c r="R233" s="2" t="inlineStr">
        <is>
          <t>period_flow</t>
        </is>
      </c>
      <c r="S233" s="2" t="inlineStr">
        <is>
          <t>allowed_with_provenance</t>
        </is>
      </c>
      <c r="T233" s="2" t="b">
        <v>0</v>
      </c>
      <c r="U233" s="2" t="b">
        <v>0</v>
      </c>
      <c r="V233" s="2" t="inlineStr"/>
      <c r="W233" s="2" t="inlineStr"/>
      <c r="X233" s="2" t="inlineStr">
        <is>
          <t>Decompose only from explicit face or note evidence; never fabricate a split.</t>
        </is>
      </c>
      <c r="Y233" s="2" t="inlineStr">
        <is>
          <t>Aggregate only mutually exclusive facts with identical period, scope, currency and unit.</t>
        </is>
      </c>
      <c r="Z233" s="2" t="inlineStr">
        <is>
          <t>Bind only to Income Statement / is_pl.</t>
        </is>
      </c>
      <c r="AA233" s="2" t="inlineStr"/>
      <c r="AB233" s="2" t="b">
        <v>1</v>
      </c>
      <c r="AC233" s="2" t="inlineStr"/>
      <c r="AD233" s="2" t="inlineStr">
        <is>
          <t>Exact field from Income Statement!A9; value cell B9.</t>
        </is>
      </c>
      <c r="AE233" s="2" t="inlineStr">
        <is>
          <t>Notes may support direct extraction or decomposition with provenance. Formula outputs must be derived only from template dependencies.</t>
        </is>
      </c>
      <c r="AF233" s="2" t="inlineStr"/>
      <c r="AG233" s="2" t="inlineStr">
        <is>
          <t>[]</t>
        </is>
      </c>
      <c r="AH233" s="2" t="inlineStr">
        <is>
          <t>Expenses(Own Work Capitalized)(+)</t>
        </is>
      </c>
      <c r="AI233" s="2" t="inlineStr"/>
      <c r="AJ233" s="2" t="inlineStr">
        <is>
          <t>{"template_sheet": "Income Statement", "template_row": 9, "template_cell": "B9", "template_value_or_formula": 10, "calculation_type": "reported_input", "dependencies": [], "source_template": "Copy of Output_CSV Template.xlsx"}</t>
        </is>
      </c>
    </row>
    <row r="234">
      <c r="A234" s="2" t="inlineStr">
        <is>
          <t>is_pl__derivatives_cos</t>
        </is>
      </c>
      <c r="B234" s="2" t="inlineStr">
        <is>
          <t>Derivatives(COS)</t>
        </is>
      </c>
      <c r="C234" s="2" t="inlineStr">
        <is>
          <t>is_pl</t>
        </is>
      </c>
      <c r="D234" s="2" t="inlineStr">
        <is>
          <t>Extract the reported value for 'Derivatives(COS)' from the stated section. Do not calculate or replace it from other rows, because the revised template does not designate this field as formula-driven.</t>
        </is>
      </c>
      <c r="E234" s="2" t="inlineStr">
        <is>
          <t>Derivatives(COS)</t>
        </is>
      </c>
      <c r="F234" s="2" t="inlineStr">
        <is>
          <t>Derivatives(COS)</t>
        </is>
      </c>
      <c r="G234" s="2" t="inlineStr">
        <is>
          <t>^Derivatives\(COS\)$</t>
        </is>
      </c>
      <c r="H234" s="2" t="inlineStr"/>
      <c r="I234" s="2" t="inlineStr">
        <is>
          <t>Amounts or disclosures explicitly reported for Derivatives(COS) in Income Statement / is_pl.</t>
        </is>
      </c>
      <c r="J234" s="2" t="inlineStr">
        <is>
          <t>Do not substitute another section, period, entity scope, currency or unit; do not double count a parent and its children.</t>
        </is>
      </c>
      <c r="K234" s="2" t="inlineStr"/>
      <c r="L234" s="2" t="inlineStr">
        <is>
          <t>as_reported</t>
        </is>
      </c>
      <c r="M234" s="2" t="inlineStr">
        <is>
          <t>direct_exclusive</t>
        </is>
      </c>
      <c r="N234" s="2" t="n">
        <v>90</v>
      </c>
      <c r="O234" s="2" t="inlineStr">
        <is>
          <t>normalized_exact_then_regex</t>
        </is>
      </c>
      <c r="P234" s="3" t="inlineStr">
        <is>
          <t>extract</t>
        </is>
      </c>
      <c r="Q234" s="2" t="inlineStr">
        <is>
          <t>currency_amount</t>
        </is>
      </c>
      <c r="R234" s="2" t="inlineStr">
        <is>
          <t>period_flow</t>
        </is>
      </c>
      <c r="S234" s="2" t="inlineStr">
        <is>
          <t>allowed_with_provenance</t>
        </is>
      </c>
      <c r="T234" s="2" t="b">
        <v>0</v>
      </c>
      <c r="U234" s="2" t="b">
        <v>0</v>
      </c>
      <c r="V234" s="2" t="inlineStr"/>
      <c r="W234" s="2" t="inlineStr"/>
      <c r="X234" s="2" t="inlineStr">
        <is>
          <t>Decompose only from explicit face or note evidence; never fabricate a split.</t>
        </is>
      </c>
      <c r="Y234" s="2" t="inlineStr">
        <is>
          <t>Aggregate only mutually exclusive facts with identical period, scope, currency and unit.</t>
        </is>
      </c>
      <c r="Z234" s="2" t="inlineStr">
        <is>
          <t>Bind only to Income Statement / is_pl.</t>
        </is>
      </c>
      <c r="AA234" s="2" t="inlineStr"/>
      <c r="AB234" s="2" t="b">
        <v>1</v>
      </c>
      <c r="AC234" s="2" t="inlineStr"/>
      <c r="AD234" s="2" t="inlineStr">
        <is>
          <t>Exact field from Income Statement!A10; value cell B10.</t>
        </is>
      </c>
      <c r="AE234" s="2" t="inlineStr">
        <is>
          <t>Notes may support direct extraction or decomposition with provenance. Formula outputs must be derived only from template dependencies.</t>
        </is>
      </c>
      <c r="AF234" s="2" t="inlineStr"/>
      <c r="AG234" s="2" t="inlineStr">
        <is>
          <t>[]</t>
        </is>
      </c>
      <c r="AH234" s="2" t="inlineStr">
        <is>
          <t>Derivatives(COS)</t>
        </is>
      </c>
      <c r="AI234" s="2" t="inlineStr"/>
      <c r="AJ234" s="2" t="inlineStr">
        <is>
          <t>{"template_sheet": "Income Statement", "template_row": 10, "template_cell": "B10", "template_value_or_formula": 49, "calculation_type": "reported_input", "dependencies": [], "source_template": "Copy of Output_CSV Template.xlsx"}</t>
        </is>
      </c>
    </row>
    <row r="235">
      <c r="A235" s="2" t="inlineStr">
        <is>
          <t>is_pl__cost_of_sales</t>
        </is>
      </c>
      <c r="B235" s="2" t="inlineStr">
        <is>
          <t>Cost of Sales</t>
        </is>
      </c>
      <c r="C235" s="2" t="inlineStr">
        <is>
          <t>is_pl</t>
        </is>
      </c>
      <c r="D235" s="2" t="inlineStr">
        <is>
          <t>Extract the reported value for 'Cost of Sales' from the stated section. Do not calculate or replace it from other rows, because the revised template does not designate this field as formula-driven.</t>
        </is>
      </c>
      <c r="E235" s="2" t="inlineStr">
        <is>
          <t>Cost of Sales</t>
        </is>
      </c>
      <c r="F235" s="2" t="inlineStr">
        <is>
          <t>Cost of Sales</t>
        </is>
      </c>
      <c r="G235" s="2" t="inlineStr">
        <is>
          <t>^Cost\s+of\s+Sales$</t>
        </is>
      </c>
      <c r="H235" s="2" t="inlineStr"/>
      <c r="I235" s="2" t="inlineStr">
        <is>
          <t>Amounts or disclosures explicitly reported for Cost of Sales in Income Statement / is_pl.</t>
        </is>
      </c>
      <c r="J235" s="2" t="inlineStr">
        <is>
          <t>Do not substitute another section, period, entity scope, currency or unit; do not double count a parent and its children.</t>
        </is>
      </c>
      <c r="K235" s="2" t="inlineStr"/>
      <c r="L235" s="2" t="inlineStr">
        <is>
          <t>as_reported</t>
        </is>
      </c>
      <c r="M235" s="2" t="inlineStr">
        <is>
          <t>direct_exclusive</t>
        </is>
      </c>
      <c r="N235" s="2" t="n">
        <v>90</v>
      </c>
      <c r="O235" s="2" t="inlineStr">
        <is>
          <t>normalized_exact_then_regex</t>
        </is>
      </c>
      <c r="P235" s="3" t="inlineStr">
        <is>
          <t>extract</t>
        </is>
      </c>
      <c r="Q235" s="2" t="inlineStr">
        <is>
          <t>currency_amount</t>
        </is>
      </c>
      <c r="R235" s="2" t="inlineStr">
        <is>
          <t>period_flow</t>
        </is>
      </c>
      <c r="S235" s="2" t="inlineStr">
        <is>
          <t>allowed_with_provenance</t>
        </is>
      </c>
      <c r="T235" s="2" t="b">
        <v>0</v>
      </c>
      <c r="U235" s="2" t="b">
        <v>0</v>
      </c>
      <c r="V235" s="2" t="inlineStr"/>
      <c r="W235" s="2" t="inlineStr"/>
      <c r="X235" s="2" t="inlineStr">
        <is>
          <t>Decompose only from explicit face or note evidence; never fabricate a split.</t>
        </is>
      </c>
      <c r="Y235" s="2" t="inlineStr">
        <is>
          <t>Aggregate only mutually exclusive facts with identical period, scope, currency and unit.</t>
        </is>
      </c>
      <c r="Z235" s="2" t="inlineStr">
        <is>
          <t>Bind only to Income Statement / is_pl.</t>
        </is>
      </c>
      <c r="AA235" s="2" t="inlineStr"/>
      <c r="AB235" s="2" t="b">
        <v>1</v>
      </c>
      <c r="AC235" s="2" t="inlineStr"/>
      <c r="AD235" s="2" t="inlineStr">
        <is>
          <t>Exact field from Income Statement!A11; value cell B11.</t>
        </is>
      </c>
      <c r="AE235" s="2" t="inlineStr">
        <is>
          <t>Notes may support direct extraction or decomposition with provenance. Formula outputs must be derived only from template dependencies.</t>
        </is>
      </c>
      <c r="AF235" s="2" t="inlineStr"/>
      <c r="AG235" s="2" t="inlineStr">
        <is>
          <t>[]</t>
        </is>
      </c>
      <c r="AH235" s="2" t="inlineStr">
        <is>
          <t>Cost of Sales</t>
        </is>
      </c>
      <c r="AI235" s="2" t="inlineStr"/>
      <c r="AJ235" s="2" t="inlineStr">
        <is>
          <t>{"template_sheet": "Income Statement", "template_row": 11, "template_cell": "B11", "template_value_or_formula": 23, "calculation_type": "reported_input", "dependencies": [], "source_template": "Copy of Output_CSV Template.xlsx"}</t>
        </is>
      </c>
    </row>
    <row r="236">
      <c r="A236" s="2" t="inlineStr">
        <is>
          <t>is_pl__net_claims_and_benefits</t>
        </is>
      </c>
      <c r="B236" s="2" t="inlineStr">
        <is>
          <t>Net Claims and Benefits</t>
        </is>
      </c>
      <c r="C236" s="2" t="inlineStr">
        <is>
          <t>is_pl</t>
        </is>
      </c>
      <c r="D236" s="2" t="inlineStr">
        <is>
          <t>Extract the reported value for 'Net Claims and Benefits' from the stated section. Do not calculate or replace it from other rows, because the revised template does not designate this field as formula-driven.</t>
        </is>
      </c>
      <c r="E236" s="2" t="inlineStr">
        <is>
          <t>Net Claims and Benefits</t>
        </is>
      </c>
      <c r="F236" s="2" t="inlineStr">
        <is>
          <t>Net Claims and Benefits</t>
        </is>
      </c>
      <c r="G236" s="2" t="inlineStr">
        <is>
          <t>^Net\s+Claims\s+and\s+Benefits$</t>
        </is>
      </c>
      <c r="H236" s="2" t="inlineStr"/>
      <c r="I236" s="2" t="inlineStr">
        <is>
          <t>Amounts or disclosures explicitly reported for Net Claims and Benefits in Income Statement / is_pl.</t>
        </is>
      </c>
      <c r="J236" s="2" t="inlineStr">
        <is>
          <t>Do not substitute another section, period, entity scope, currency or unit; do not double count a parent and its children.</t>
        </is>
      </c>
      <c r="K236" s="2" t="inlineStr"/>
      <c r="L236" s="2" t="inlineStr">
        <is>
          <t>as_reported</t>
        </is>
      </c>
      <c r="M236" s="2" t="inlineStr">
        <is>
          <t>direct_exclusive</t>
        </is>
      </c>
      <c r="N236" s="2" t="n">
        <v>90</v>
      </c>
      <c r="O236" s="2" t="inlineStr">
        <is>
          <t>normalized_exact_then_regex</t>
        </is>
      </c>
      <c r="P236" s="3" t="inlineStr">
        <is>
          <t>extract</t>
        </is>
      </c>
      <c r="Q236" s="2" t="inlineStr">
        <is>
          <t>currency_amount</t>
        </is>
      </c>
      <c r="R236" s="2" t="inlineStr">
        <is>
          <t>period_flow</t>
        </is>
      </c>
      <c r="S236" s="2" t="inlineStr">
        <is>
          <t>allowed_with_provenance</t>
        </is>
      </c>
      <c r="T236" s="2" t="b">
        <v>0</v>
      </c>
      <c r="U236" s="2" t="b">
        <v>0</v>
      </c>
      <c r="V236" s="2" t="inlineStr"/>
      <c r="W236" s="2" t="inlineStr"/>
      <c r="X236" s="2" t="inlineStr">
        <is>
          <t>Decompose only from explicit face or note evidence; never fabricate a split.</t>
        </is>
      </c>
      <c r="Y236" s="2" t="inlineStr">
        <is>
          <t>Aggregate only mutually exclusive facts with identical period, scope, currency and unit.</t>
        </is>
      </c>
      <c r="Z236" s="2" t="inlineStr">
        <is>
          <t>Bind only to Income Statement / is_pl.</t>
        </is>
      </c>
      <c r="AA236" s="2" t="inlineStr"/>
      <c r="AB236" s="2" t="b">
        <v>1</v>
      </c>
      <c r="AC236" s="2" t="inlineStr"/>
      <c r="AD236" s="2" t="inlineStr">
        <is>
          <t>Exact field from Income Statement!A12; value cell B12.</t>
        </is>
      </c>
      <c r="AE236" s="2" t="inlineStr">
        <is>
          <t>Notes may support direct extraction or decomposition with provenance. Formula outputs must be derived only from template dependencies.</t>
        </is>
      </c>
      <c r="AF236" s="2" t="inlineStr"/>
      <c r="AG236" s="2" t="inlineStr">
        <is>
          <t>[]</t>
        </is>
      </c>
      <c r="AH236" s="2" t="inlineStr">
        <is>
          <t>Net Claims and Benefits</t>
        </is>
      </c>
      <c r="AI236" s="2" t="inlineStr"/>
      <c r="AJ236" s="2" t="inlineStr">
        <is>
          <t>{"template_sheet": "Income Statement", "template_row": 12, "template_cell": "B12", "template_value_or_formula": 40, "calculation_type": "reported_input", "dependencies": [], "source_template": "Copy of Output_CSV Template.xlsx"}</t>
        </is>
      </c>
    </row>
    <row r="237">
      <c r="A237" s="2" t="inlineStr">
        <is>
          <t>is_pl__goods_and_services</t>
        </is>
      </c>
      <c r="B237" s="2" t="inlineStr">
        <is>
          <t>Goods &amp; Services</t>
        </is>
      </c>
      <c r="C237" s="2" t="inlineStr">
        <is>
          <t>is_pl</t>
        </is>
      </c>
      <c r="D237" s="2" t="inlineStr">
        <is>
          <t>Extract the reported value for 'Goods &amp; Services' from the stated section. Do not calculate or replace it from other rows, because the revised template does not designate this field as formula-driven.</t>
        </is>
      </c>
      <c r="E237" s="2" t="inlineStr">
        <is>
          <t>Goods &amp; Services</t>
        </is>
      </c>
      <c r="F237" s="2" t="inlineStr">
        <is>
          <t>Goods &amp; Services</t>
        </is>
      </c>
      <c r="G237" s="2" t="inlineStr">
        <is>
          <t>^Goods\s+\&amp;\s+Services$</t>
        </is>
      </c>
      <c r="H237" s="2" t="inlineStr"/>
      <c r="I237" s="2" t="inlineStr">
        <is>
          <t>Amounts or disclosures explicitly reported for Goods &amp; Services in Income Statement / is_pl.</t>
        </is>
      </c>
      <c r="J237" s="2" t="inlineStr">
        <is>
          <t>Do not substitute another section, period, entity scope, currency or unit; do not double count a parent and its children.</t>
        </is>
      </c>
      <c r="K237" s="2" t="inlineStr"/>
      <c r="L237" s="2" t="inlineStr">
        <is>
          <t>as_reported</t>
        </is>
      </c>
      <c r="M237" s="2" t="inlineStr">
        <is>
          <t>direct_exclusive</t>
        </is>
      </c>
      <c r="N237" s="2" t="n">
        <v>90</v>
      </c>
      <c r="O237" s="2" t="inlineStr">
        <is>
          <t>normalized_exact_then_regex</t>
        </is>
      </c>
      <c r="P237" s="3" t="inlineStr">
        <is>
          <t>extract</t>
        </is>
      </c>
      <c r="Q237" s="2" t="inlineStr">
        <is>
          <t>currency_amount</t>
        </is>
      </c>
      <c r="R237" s="2" t="inlineStr">
        <is>
          <t>period_flow</t>
        </is>
      </c>
      <c r="S237" s="2" t="inlineStr">
        <is>
          <t>allowed_with_provenance</t>
        </is>
      </c>
      <c r="T237" s="2" t="b">
        <v>0</v>
      </c>
      <c r="U237" s="2" t="b">
        <v>0</v>
      </c>
      <c r="V237" s="2" t="inlineStr"/>
      <c r="W237" s="2" t="inlineStr"/>
      <c r="X237" s="2" t="inlineStr">
        <is>
          <t>Decompose only from explicit face or note evidence; never fabricate a split.</t>
        </is>
      </c>
      <c r="Y237" s="2" t="inlineStr">
        <is>
          <t>Aggregate only mutually exclusive facts with identical period, scope, currency and unit.</t>
        </is>
      </c>
      <c r="Z237" s="2" t="inlineStr">
        <is>
          <t>Bind only to Income Statement / is_pl.</t>
        </is>
      </c>
      <c r="AA237" s="2" t="inlineStr"/>
      <c r="AB237" s="2" t="b">
        <v>1</v>
      </c>
      <c r="AC237" s="2" t="inlineStr"/>
      <c r="AD237" s="2" t="inlineStr">
        <is>
          <t>Exact field from Income Statement!A13; value cell B13.</t>
        </is>
      </c>
      <c r="AE237" s="2" t="inlineStr">
        <is>
          <t>Notes may support direct extraction or decomposition with provenance. Formula outputs must be derived only from template dependencies.</t>
        </is>
      </c>
      <c r="AF237" s="2" t="inlineStr"/>
      <c r="AG237" s="2" t="inlineStr">
        <is>
          <t>[]</t>
        </is>
      </c>
      <c r="AH237" s="2" t="inlineStr">
        <is>
          <t>Goods &amp; Services</t>
        </is>
      </c>
      <c r="AI237" s="2" t="inlineStr"/>
      <c r="AJ237" s="2" t="inlineStr">
        <is>
          <t>{"template_sheet": "Income Statement", "template_row": 13, "template_cell": "B13", "template_value_or_formula": 14, "calculation_type": "reported_input", "dependencies": [], "source_template": "Copy of Output_CSV Template.xlsx"}</t>
        </is>
      </c>
    </row>
    <row r="238">
      <c r="A238" s="2" t="inlineStr">
        <is>
          <t>is_pl__material_expenses</t>
        </is>
      </c>
      <c r="B238" s="2" t="inlineStr">
        <is>
          <t>Material Expenses</t>
        </is>
      </c>
      <c r="C238" s="2" t="inlineStr">
        <is>
          <t>is_pl</t>
        </is>
      </c>
      <c r="D238" s="2" t="inlineStr">
        <is>
          <t>Extract the reported value for 'Material Expenses' from the stated section. Do not calculate or replace it from other rows, because the revised template does not designate this field as formula-driven.</t>
        </is>
      </c>
      <c r="E238" s="2" t="inlineStr">
        <is>
          <t>Material Expenses</t>
        </is>
      </c>
      <c r="F238" s="2" t="inlineStr">
        <is>
          <t>Material Expenses</t>
        </is>
      </c>
      <c r="G238" s="2" t="inlineStr">
        <is>
          <t>^Material\s+Expenses$</t>
        </is>
      </c>
      <c r="H238" s="2" t="inlineStr"/>
      <c r="I238" s="2" t="inlineStr">
        <is>
          <t>Amounts or disclosures explicitly reported for Material Expenses in Income Statement / is_pl.</t>
        </is>
      </c>
      <c r="J238" s="2" t="inlineStr">
        <is>
          <t>Do not substitute another section, period, entity scope, currency or unit; do not double count a parent and its children.</t>
        </is>
      </c>
      <c r="K238" s="2" t="inlineStr"/>
      <c r="L238" s="2" t="inlineStr">
        <is>
          <t>as_reported</t>
        </is>
      </c>
      <c r="M238" s="2" t="inlineStr">
        <is>
          <t>direct_exclusive</t>
        </is>
      </c>
      <c r="N238" s="2" t="n">
        <v>90</v>
      </c>
      <c r="O238" s="2" t="inlineStr">
        <is>
          <t>normalized_exact_then_regex</t>
        </is>
      </c>
      <c r="P238" s="3" t="inlineStr">
        <is>
          <t>extract</t>
        </is>
      </c>
      <c r="Q238" s="2" t="inlineStr">
        <is>
          <t>currency_amount</t>
        </is>
      </c>
      <c r="R238" s="2" t="inlineStr">
        <is>
          <t>period_flow</t>
        </is>
      </c>
      <c r="S238" s="2" t="inlineStr">
        <is>
          <t>allowed_with_provenance</t>
        </is>
      </c>
      <c r="T238" s="2" t="b">
        <v>0</v>
      </c>
      <c r="U238" s="2" t="b">
        <v>0</v>
      </c>
      <c r="V238" s="2" t="inlineStr"/>
      <c r="W238" s="2" t="inlineStr"/>
      <c r="X238" s="2" t="inlineStr">
        <is>
          <t>Decompose only from explicit face or note evidence; never fabricate a split.</t>
        </is>
      </c>
      <c r="Y238" s="2" t="inlineStr">
        <is>
          <t>Aggregate only mutually exclusive facts with identical period, scope, currency and unit.</t>
        </is>
      </c>
      <c r="Z238" s="2" t="inlineStr">
        <is>
          <t>Bind only to Income Statement / is_pl.</t>
        </is>
      </c>
      <c r="AA238" s="2" t="inlineStr"/>
      <c r="AB238" s="2" t="b">
        <v>1</v>
      </c>
      <c r="AC238" s="2" t="inlineStr"/>
      <c r="AD238" s="2" t="inlineStr">
        <is>
          <t>Exact field from Income Statement!A14; value cell B14.</t>
        </is>
      </c>
      <c r="AE238" s="2" t="inlineStr">
        <is>
          <t>Notes may support direct extraction or decomposition with provenance. Formula outputs must be derived only from template dependencies.</t>
        </is>
      </c>
      <c r="AF238" s="2" t="inlineStr"/>
      <c r="AG238" s="2" t="inlineStr">
        <is>
          <t>[]</t>
        </is>
      </c>
      <c r="AH238" s="2" t="inlineStr">
        <is>
          <t>Material Expenses</t>
        </is>
      </c>
      <c r="AI238" s="2" t="inlineStr"/>
      <c r="AJ238" s="2" t="inlineStr">
        <is>
          <t>{"template_sheet": "Income Statement", "template_row": 14, "template_cell": "B14", "template_value_or_formula": 31, "calculation_type": "reported_input", "dependencies": [], "source_template": "Copy of Output_CSV Template.xlsx"}</t>
        </is>
      </c>
    </row>
    <row r="239">
      <c r="A239" s="2" t="inlineStr">
        <is>
          <t>is_pl__amort_and_impairment_intgbl_cos</t>
        </is>
      </c>
      <c r="B239" s="2" t="inlineStr">
        <is>
          <t>Amort &amp; Impairment(Intgbl)(COS)</t>
        </is>
      </c>
      <c r="C239" s="2" t="inlineStr">
        <is>
          <t>is_pl</t>
        </is>
      </c>
      <c r="D239" s="2" t="inlineStr">
        <is>
          <t>Extract the reported value for 'Amort &amp; Impairment(Intgbl)(COS)' from the stated section. Do not calculate or replace it from other rows, because the revised template does not designate this field as formula-driven.</t>
        </is>
      </c>
      <c r="E239" s="2" t="inlineStr">
        <is>
          <t>Amort &amp; Impairment(Intgbl)(COS)</t>
        </is>
      </c>
      <c r="F239" s="2" t="inlineStr">
        <is>
          <t>Amort &amp; Impairment(Intgbl)(COS)</t>
        </is>
      </c>
      <c r="G239" s="2" t="inlineStr">
        <is>
          <t>^Amort\s+\&amp;\s+Impairment\(Intgbl\)\(COS\)$</t>
        </is>
      </c>
      <c r="H239" s="2" t="inlineStr"/>
      <c r="I239" s="2" t="inlineStr">
        <is>
          <t>Amounts or disclosures explicitly reported for Amort &amp; Impairment(Intgbl)(COS) in Income Statement / is_pl.</t>
        </is>
      </c>
      <c r="J239" s="2" t="inlineStr">
        <is>
          <t>Do not substitute another section, period, entity scope, currency or unit; do not double count a parent and its children.</t>
        </is>
      </c>
      <c r="K239" s="2" t="inlineStr"/>
      <c r="L239" s="2" t="inlineStr">
        <is>
          <t>as_reported</t>
        </is>
      </c>
      <c r="M239" s="2" t="inlineStr">
        <is>
          <t>direct_exclusive</t>
        </is>
      </c>
      <c r="N239" s="2" t="n">
        <v>90</v>
      </c>
      <c r="O239" s="2" t="inlineStr">
        <is>
          <t>normalized_exact_then_regex</t>
        </is>
      </c>
      <c r="P239" s="3" t="inlineStr">
        <is>
          <t>extract</t>
        </is>
      </c>
      <c r="Q239" s="2" t="inlineStr">
        <is>
          <t>currency_amount</t>
        </is>
      </c>
      <c r="R239" s="2" t="inlineStr">
        <is>
          <t>period_flow</t>
        </is>
      </c>
      <c r="S239" s="2" t="inlineStr">
        <is>
          <t>allowed_with_provenance</t>
        </is>
      </c>
      <c r="T239" s="2" t="b">
        <v>0</v>
      </c>
      <c r="U239" s="2" t="b">
        <v>0</v>
      </c>
      <c r="V239" s="2" t="inlineStr"/>
      <c r="W239" s="2" t="inlineStr"/>
      <c r="X239" s="2" t="inlineStr">
        <is>
          <t>Decompose only from explicit face or note evidence; never fabricate a split.</t>
        </is>
      </c>
      <c r="Y239" s="2" t="inlineStr">
        <is>
          <t>Aggregate only mutually exclusive facts with identical period, scope, currency and unit.</t>
        </is>
      </c>
      <c r="Z239" s="2" t="inlineStr">
        <is>
          <t>Bind only to Income Statement / is_pl.</t>
        </is>
      </c>
      <c r="AA239" s="2" t="inlineStr"/>
      <c r="AB239" s="2" t="b">
        <v>1</v>
      </c>
      <c r="AC239" s="2" t="inlineStr"/>
      <c r="AD239" s="2" t="inlineStr">
        <is>
          <t>Exact field from Income Statement!A15; value cell B15.</t>
        </is>
      </c>
      <c r="AE239" s="2" t="inlineStr">
        <is>
          <t>Notes may support direct extraction or decomposition with provenance. Formula outputs must be derived only from template dependencies.</t>
        </is>
      </c>
      <c r="AF239" s="2" t="inlineStr"/>
      <c r="AG239" s="2" t="inlineStr">
        <is>
          <t>[]</t>
        </is>
      </c>
      <c r="AH239" s="2" t="inlineStr">
        <is>
          <t>Amort &amp; Impairment(Intgbl)(COS)</t>
        </is>
      </c>
      <c r="AI239" s="2" t="inlineStr"/>
      <c r="AJ239" s="2" t="inlineStr">
        <is>
          <t>{"template_sheet": "Income Statement", "template_row": 15, "template_cell": "B15", "template_value_or_formula": 48, "calculation_type": "reported_input", "dependencies": [], "source_template": "Copy of Output_CSV Template.xlsx"}</t>
        </is>
      </c>
    </row>
    <row r="240">
      <c r="A240" s="2" t="inlineStr">
        <is>
          <t>is_pl__deprec_and_impairment_cos</t>
        </is>
      </c>
      <c r="B240" s="2" t="inlineStr">
        <is>
          <t>Deprec &amp; Impairment(COS)</t>
        </is>
      </c>
      <c r="C240" s="2" t="inlineStr">
        <is>
          <t>is_pl</t>
        </is>
      </c>
      <c r="D240" s="2" t="inlineStr">
        <is>
          <t>Extract the reported value for 'Deprec &amp; Impairment(COS)' from the stated section. Do not calculate or replace it from other rows, because the revised template does not designate this field as formula-driven.</t>
        </is>
      </c>
      <c r="E240" s="2" t="inlineStr">
        <is>
          <t>Deprec &amp; Impairment(COS)</t>
        </is>
      </c>
      <c r="F240" s="2" t="inlineStr">
        <is>
          <t>Deprec &amp; Impairment(COS)</t>
        </is>
      </c>
      <c r="G240" s="2" t="inlineStr">
        <is>
          <t>^Deprec\s+\&amp;\s+Impairment\(COS\)$</t>
        </is>
      </c>
      <c r="H240" s="2" t="inlineStr"/>
      <c r="I240" s="2" t="inlineStr">
        <is>
          <t>Amounts or disclosures explicitly reported for Deprec &amp; Impairment(COS) in Income Statement / is_pl.</t>
        </is>
      </c>
      <c r="J240" s="2" t="inlineStr">
        <is>
          <t>Do not substitute another section, period, entity scope, currency or unit; do not double count a parent and its children.</t>
        </is>
      </c>
      <c r="K240" s="2" t="inlineStr"/>
      <c r="L240" s="2" t="inlineStr">
        <is>
          <t>as_reported</t>
        </is>
      </c>
      <c r="M240" s="2" t="inlineStr">
        <is>
          <t>direct_exclusive</t>
        </is>
      </c>
      <c r="N240" s="2" t="n">
        <v>90</v>
      </c>
      <c r="O240" s="2" t="inlineStr">
        <is>
          <t>normalized_exact_then_regex</t>
        </is>
      </c>
      <c r="P240" s="3" t="inlineStr">
        <is>
          <t>extract</t>
        </is>
      </c>
      <c r="Q240" s="2" t="inlineStr">
        <is>
          <t>currency_amount</t>
        </is>
      </c>
      <c r="R240" s="2" t="inlineStr">
        <is>
          <t>period_flow</t>
        </is>
      </c>
      <c r="S240" s="2" t="inlineStr">
        <is>
          <t>allowed_with_provenance</t>
        </is>
      </c>
      <c r="T240" s="2" t="b">
        <v>0</v>
      </c>
      <c r="U240" s="2" t="b">
        <v>0</v>
      </c>
      <c r="V240" s="2" t="inlineStr"/>
      <c r="W240" s="2" t="inlineStr"/>
      <c r="X240" s="2" t="inlineStr">
        <is>
          <t>Decompose only from explicit face or note evidence; never fabricate a split.</t>
        </is>
      </c>
      <c r="Y240" s="2" t="inlineStr">
        <is>
          <t>Aggregate only mutually exclusive facts with identical period, scope, currency and unit.</t>
        </is>
      </c>
      <c r="Z240" s="2" t="inlineStr">
        <is>
          <t>Bind only to Income Statement / is_pl.</t>
        </is>
      </c>
      <c r="AA240" s="2" t="inlineStr"/>
      <c r="AB240" s="2" t="b">
        <v>1</v>
      </c>
      <c r="AC240" s="2" t="inlineStr"/>
      <c r="AD240" s="2" t="inlineStr">
        <is>
          <t>Exact field from Income Statement!A16; value cell B16.</t>
        </is>
      </c>
      <c r="AE240" s="2" t="inlineStr">
        <is>
          <t>Notes may support direct extraction or decomposition with provenance. Formula outputs must be derived only from template dependencies.</t>
        </is>
      </c>
      <c r="AF240" s="2" t="inlineStr"/>
      <c r="AG240" s="2" t="inlineStr">
        <is>
          <t>[]</t>
        </is>
      </c>
      <c r="AH240" s="2" t="inlineStr">
        <is>
          <t>Deprec &amp; Impairment(COS)</t>
        </is>
      </c>
      <c r="AI240" s="2" t="inlineStr"/>
      <c r="AJ240" s="2" t="inlineStr">
        <is>
          <t>{"template_sheet": "Income Statement", "template_row": 16, "template_cell": "B16", "template_value_or_formula": 22, "calculation_type": "reported_input", "dependencies": [], "source_template": "Copy of Output_CSV Template.xlsx"}</t>
        </is>
      </c>
    </row>
    <row r="241">
      <c r="A241" s="2" t="inlineStr">
        <is>
          <t>is_pl__total_cost_of_sales</t>
        </is>
      </c>
      <c r="B241" s="2" t="inlineStr">
        <is>
          <t>Total Cost of Sales</t>
        </is>
      </c>
      <c r="C241" s="2" t="inlineStr">
        <is>
          <t>is_pl</t>
        </is>
      </c>
      <c r="D241" s="2" t="inlineStr">
        <is>
          <t>Calculated target using the exact formula retained in the supplied template: =SUM({is_pl__derivatives_cos}:{is_pl__deprec_and_impairment_cos})</t>
        </is>
      </c>
      <c r="E241" s="2" t="inlineStr">
        <is>
          <t>Total Cost of Sales</t>
        </is>
      </c>
      <c r="F241" s="2" t="inlineStr">
        <is>
          <t>Total Cost of Sales</t>
        </is>
      </c>
      <c r="G241" s="2" t="inlineStr">
        <is>
          <t>^Total\s+Cost\s+of\s+Sales$</t>
        </is>
      </c>
      <c r="H241" s="2" t="inlineStr"/>
      <c r="I241" s="2" t="inlineStr">
        <is>
          <t>Amounts or disclosures explicitly reported for Total Cost of Sales in Income Statement / is_pl.</t>
        </is>
      </c>
      <c r="J241" s="2" t="inlineStr">
        <is>
          <t>Do not substitute another section, period, entity scope, currency or unit; do not double count a parent and its children.</t>
        </is>
      </c>
      <c r="K241" s="2" t="inlineStr"/>
      <c r="L241" s="2" t="inlineStr">
        <is>
          <t>as_reported</t>
        </is>
      </c>
      <c r="M241" s="2" t="inlineStr">
        <is>
          <t>derived_total</t>
        </is>
      </c>
      <c r="N241" s="2" t="n">
        <v>100</v>
      </c>
      <c r="O241" s="2" t="inlineStr">
        <is>
          <t>disabled</t>
        </is>
      </c>
      <c r="P241" s="4" t="inlineStr">
        <is>
          <t>derive</t>
        </is>
      </c>
      <c r="Q241" s="2" t="inlineStr">
        <is>
          <t>currency_amount</t>
        </is>
      </c>
      <c r="R241" s="2" t="inlineStr">
        <is>
          <t>period_flow</t>
        </is>
      </c>
      <c r="S241" s="2" t="inlineStr">
        <is>
          <t>allowed_with_provenance</t>
        </is>
      </c>
      <c r="T241" s="2" t="b">
        <v>0</v>
      </c>
      <c r="U241" s="2" t="b">
        <v>1</v>
      </c>
      <c r="V241" s="2" t="inlineStr">
        <is>
          <t>is_pl__derivatives_cos | is_pl__deprec_and_impairment_cos</t>
        </is>
      </c>
      <c r="W241" s="2">
        <f>SUM({is_pl__derivatives_cos}:{is_pl__deprec_and_impairment_cos})</f>
        <v/>
      </c>
      <c r="X241" s="2" t="inlineStr">
        <is>
          <t>Use only dependencies stated in the formula; never fabricate missing components.</t>
        </is>
      </c>
      <c r="Y241" s="2" t="inlineStr">
        <is>
          <t>Calculate only after every dependency is populated and validated.</t>
        </is>
      </c>
      <c r="Z241" s="2" t="inlineStr">
        <is>
          <t>Bind only to Income Statement / is_pl.</t>
        </is>
      </c>
      <c r="AA241" s="2" t="inlineStr"/>
      <c r="AB241" s="2" t="b">
        <v>0</v>
      </c>
      <c r="AC241" s="2" t="inlineStr">
        <is>
          <t>is_pl__derivatives_cos | is_pl__deprec_and_impairment_cos</t>
        </is>
      </c>
      <c r="AD241" s="2" t="inlineStr">
        <is>
          <t>Exact field from Income Statement!A17; value cell B17.</t>
        </is>
      </c>
      <c r="AE241" s="2" t="inlineStr">
        <is>
          <t>Notes may support direct extraction or decomposition with provenance. Formula outputs must be derived only from template dependencies.</t>
        </is>
      </c>
      <c r="AF241" s="2" t="inlineStr"/>
      <c r="AG241" s="2" t="inlineStr">
        <is>
          <t>[]</t>
        </is>
      </c>
      <c r="AH241" s="2" t="inlineStr">
        <is>
          <t>Total Cost of Sales</t>
        </is>
      </c>
      <c r="AI241" s="2" t="inlineStr"/>
      <c r="AJ241" s="2" t="inlineStr">
        <is>
          <t>{"template_sheet": "Income Statement", "template_row": 17, "template_cell": "B17", "template_value_or_formula": "=SUM(B10:B16)", "calculation_type": "formula", "dependencies": ["is_pl__derivatives_cos", "is_pl__deprec_and_impairment_cos"], "source_template": "Copy of Output_CSV Template.xlsx"}</t>
        </is>
      </c>
    </row>
    <row r="242">
      <c r="A242" s="2" t="inlineStr">
        <is>
          <t>is_pl__gross_profit</t>
        </is>
      </c>
      <c r="B242" s="2" t="inlineStr">
        <is>
          <t>Gross Profit</t>
        </is>
      </c>
      <c r="C242" s="2" t="inlineStr">
        <is>
          <t>is_pl</t>
        </is>
      </c>
      <c r="D242" s="2" t="inlineStr">
        <is>
          <t>Calculated target using the exact formula retained in the supplied template: =SUM({is_pl__sales_revenues}:{is_pl__expenses_own_work_capitalized})-{is_pl__total_cost_of_sales}</t>
        </is>
      </c>
      <c r="E242" s="2" t="inlineStr">
        <is>
          <t>Gross Profit</t>
        </is>
      </c>
      <c r="F242" s="2" t="inlineStr">
        <is>
          <t>Gross Profit</t>
        </is>
      </c>
      <c r="G242" s="2" t="inlineStr">
        <is>
          <t>^Gross\s+Profit$</t>
        </is>
      </c>
      <c r="H242" s="2" t="inlineStr"/>
      <c r="I242" s="2" t="inlineStr">
        <is>
          <t>Amounts or disclosures explicitly reported for Gross Profit in Income Statement / is_pl.</t>
        </is>
      </c>
      <c r="J242" s="2" t="inlineStr">
        <is>
          <t>Do not substitute another section, period, entity scope, currency or unit; do not double count a parent and its children.</t>
        </is>
      </c>
      <c r="K242" s="2" t="inlineStr"/>
      <c r="L242" s="2" t="inlineStr">
        <is>
          <t>as_reported</t>
        </is>
      </c>
      <c r="M242" s="2" t="inlineStr">
        <is>
          <t>derived_total</t>
        </is>
      </c>
      <c r="N242" s="2" t="n">
        <v>100</v>
      </c>
      <c r="O242" s="2" t="inlineStr">
        <is>
          <t>disabled</t>
        </is>
      </c>
      <c r="P242" s="4" t="inlineStr">
        <is>
          <t>derive</t>
        </is>
      </c>
      <c r="Q242" s="2" t="inlineStr">
        <is>
          <t>currency_amount</t>
        </is>
      </c>
      <c r="R242" s="2" t="inlineStr">
        <is>
          <t>period_flow</t>
        </is>
      </c>
      <c r="S242" s="2" t="inlineStr">
        <is>
          <t>allowed_with_provenance</t>
        </is>
      </c>
      <c r="T242" s="2" t="b">
        <v>0</v>
      </c>
      <c r="U242" s="2" t="b">
        <v>1</v>
      </c>
      <c r="V242" s="2" t="inlineStr">
        <is>
          <t>is_pl__sales_revenues | is_pl__expenses_own_work_capitalized | is_pl__total_cost_of_sales</t>
        </is>
      </c>
      <c r="W242" s="2">
        <f>SUM({is_pl__sales_revenues}:{is_pl__expenses_own_work_capitalized})-{is_pl__total_cost_of_sales}</f>
        <v/>
      </c>
      <c r="X242" s="2" t="inlineStr">
        <is>
          <t>Use only dependencies stated in the formula; never fabricate missing components.</t>
        </is>
      </c>
      <c r="Y242" s="2" t="inlineStr">
        <is>
          <t>Calculate only after every dependency is populated and validated.</t>
        </is>
      </c>
      <c r="Z242" s="2" t="inlineStr">
        <is>
          <t>Bind only to Income Statement / is_pl.</t>
        </is>
      </c>
      <c r="AA242" s="2" t="inlineStr"/>
      <c r="AB242" s="2" t="b">
        <v>0</v>
      </c>
      <c r="AC242" s="2" t="inlineStr">
        <is>
          <t>is_pl__sales_revenues | is_pl__expenses_own_work_capitalized | is_pl__total_cost_of_sales</t>
        </is>
      </c>
      <c r="AD242" s="2" t="inlineStr">
        <is>
          <t>Exact field from Income Statement!A18; value cell B18.</t>
        </is>
      </c>
      <c r="AE242" s="2" t="inlineStr">
        <is>
          <t>Notes may support direct extraction or decomposition with provenance. Formula outputs must be derived only from template dependencies.</t>
        </is>
      </c>
      <c r="AF242" s="2" t="inlineStr"/>
      <c r="AG242" s="2" t="inlineStr">
        <is>
          <t>[]</t>
        </is>
      </c>
      <c r="AH242" s="2" t="inlineStr">
        <is>
          <t>Gross Profit</t>
        </is>
      </c>
      <c r="AI242" s="2" t="inlineStr"/>
      <c r="AJ242" s="2" t="inlineStr">
        <is>
          <t>{"template_sheet": "Income Statement", "template_row": 18, "template_cell": "B18", "template_value_or_formula": "=SUM(B6:B9)-B17", "calculation_type": "formula", "dependencies": ["is_pl__sales_revenues", "is_pl__expenses_own_work_capitalized", "is_pl__total_cost_of_sales"], "source_template": "Copy of Output_CSV Template.xlsx"}</t>
        </is>
      </c>
    </row>
    <row r="243">
      <c r="A243" s="2" t="inlineStr">
        <is>
          <t>is_pl__rents_and_royalty_income</t>
        </is>
      </c>
      <c r="B243" s="2" t="inlineStr">
        <is>
          <t>Rents &amp; Royalty Income</t>
        </is>
      </c>
      <c r="C243" s="2" t="inlineStr">
        <is>
          <t>is_pl</t>
        </is>
      </c>
      <c r="D243" s="2" t="inlineStr">
        <is>
          <t>Extract the reported value for 'Rents &amp; Royalty Income' from the stated section. Do not calculate or replace it from other rows, because the revised template does not designate this field as formula-driven.</t>
        </is>
      </c>
      <c r="E243" s="2" t="inlineStr">
        <is>
          <t>Rents &amp; Royalty Income</t>
        </is>
      </c>
      <c r="F243" s="2" t="inlineStr">
        <is>
          <t>Rents &amp; Royalty Income</t>
        </is>
      </c>
      <c r="G243" s="2" t="inlineStr">
        <is>
          <t>^Rents\s+\&amp;\s+Royalty\s+Income$</t>
        </is>
      </c>
      <c r="H243" s="2" t="inlineStr"/>
      <c r="I243" s="2" t="inlineStr">
        <is>
          <t>Amounts or disclosures explicitly reported for Rents &amp; Royalty Income in Income Statement / is_pl.</t>
        </is>
      </c>
      <c r="J243" s="2" t="inlineStr">
        <is>
          <t>Do not substitute another section, period, entity scope, currency or unit; do not double count a parent and its children.</t>
        </is>
      </c>
      <c r="K243" s="2" t="inlineStr"/>
      <c r="L243" s="2" t="inlineStr">
        <is>
          <t>as_reported</t>
        </is>
      </c>
      <c r="M243" s="2" t="inlineStr">
        <is>
          <t>direct_exclusive</t>
        </is>
      </c>
      <c r="N243" s="2" t="n">
        <v>90</v>
      </c>
      <c r="O243" s="2" t="inlineStr">
        <is>
          <t>normalized_exact_then_regex</t>
        </is>
      </c>
      <c r="P243" s="3" t="inlineStr">
        <is>
          <t>extract</t>
        </is>
      </c>
      <c r="Q243" s="2" t="inlineStr">
        <is>
          <t>currency_amount</t>
        </is>
      </c>
      <c r="R243" s="2" t="inlineStr">
        <is>
          <t>period_flow</t>
        </is>
      </c>
      <c r="S243" s="2" t="inlineStr">
        <is>
          <t>allowed_with_provenance</t>
        </is>
      </c>
      <c r="T243" s="2" t="b">
        <v>0</v>
      </c>
      <c r="U243" s="2" t="b">
        <v>0</v>
      </c>
      <c r="V243" s="2" t="inlineStr"/>
      <c r="W243" s="2" t="inlineStr"/>
      <c r="X243" s="2" t="inlineStr">
        <is>
          <t>Decompose only from explicit face or note evidence; never fabricate a split.</t>
        </is>
      </c>
      <c r="Y243" s="2" t="inlineStr">
        <is>
          <t>Aggregate only mutually exclusive facts with identical period, scope, currency and unit.</t>
        </is>
      </c>
      <c r="Z243" s="2" t="inlineStr">
        <is>
          <t>Bind only to Income Statement / is_pl.</t>
        </is>
      </c>
      <c r="AA243" s="2" t="inlineStr"/>
      <c r="AB243" s="2" t="b">
        <v>1</v>
      </c>
      <c r="AC243" s="2" t="inlineStr"/>
      <c r="AD243" s="2" t="inlineStr">
        <is>
          <t>Exact field from Income Statement!A19; value cell B19.</t>
        </is>
      </c>
      <c r="AE243" s="2" t="inlineStr">
        <is>
          <t>Notes may support direct extraction or decomposition with provenance. Formula outputs must be derived only from template dependencies.</t>
        </is>
      </c>
      <c r="AF243" s="2" t="inlineStr"/>
      <c r="AG243" s="2" t="inlineStr">
        <is>
          <t>[]</t>
        </is>
      </c>
      <c r="AH243" s="2" t="inlineStr">
        <is>
          <t>Rents &amp; Royalty Income</t>
        </is>
      </c>
      <c r="AI243" s="2" t="inlineStr"/>
      <c r="AJ243" s="2" t="inlineStr">
        <is>
          <t>{"template_sheet": "Income Statement", "template_row": 19, "template_cell": "B19", "template_value_or_formula": 30, "calculation_type": "reported_input", "dependencies": [], "source_template": "Copy of Output_CSV Template.xlsx"}</t>
        </is>
      </c>
    </row>
    <row r="244">
      <c r="A244" s="2" t="inlineStr">
        <is>
          <t>is_pl__other_operating_income</t>
        </is>
      </c>
      <c r="B244" s="2" t="inlineStr">
        <is>
          <t>Other Operating Income</t>
        </is>
      </c>
      <c r="C244" s="2" t="inlineStr">
        <is>
          <t>is_pl</t>
        </is>
      </c>
      <c r="D244" s="2" t="inlineStr">
        <is>
          <t>Extract the reported value for 'Other Operating Income' from the stated section. Do not calculate or replace it from other rows, because the revised template does not designate this field as formula-driven.</t>
        </is>
      </c>
      <c r="E244" s="2" t="inlineStr">
        <is>
          <t>Other Operating Income</t>
        </is>
      </c>
      <c r="F244" s="2" t="inlineStr">
        <is>
          <t>Other Operating Income</t>
        </is>
      </c>
      <c r="G244" s="2" t="inlineStr">
        <is>
          <t>^Other\s+Operating\s+Income$</t>
        </is>
      </c>
      <c r="H244" s="2" t="inlineStr"/>
      <c r="I244" s="2" t="inlineStr">
        <is>
          <t>Amounts or disclosures explicitly reported for Other Operating Income in Income Statement / is_pl.</t>
        </is>
      </c>
      <c r="J244" s="2" t="inlineStr">
        <is>
          <t>Do not substitute another section, period, entity scope, currency or unit; do not double count a parent and its children.</t>
        </is>
      </c>
      <c r="K244" s="2" t="inlineStr"/>
      <c r="L244" s="2" t="inlineStr">
        <is>
          <t>as_reported</t>
        </is>
      </c>
      <c r="M244" s="2" t="inlineStr">
        <is>
          <t>direct_exclusive</t>
        </is>
      </c>
      <c r="N244" s="2" t="n">
        <v>90</v>
      </c>
      <c r="O244" s="2" t="inlineStr">
        <is>
          <t>normalized_exact_then_regex</t>
        </is>
      </c>
      <c r="P244" s="3" t="inlineStr">
        <is>
          <t>extract</t>
        </is>
      </c>
      <c r="Q244" s="2" t="inlineStr">
        <is>
          <t>currency_amount</t>
        </is>
      </c>
      <c r="R244" s="2" t="inlineStr">
        <is>
          <t>period_flow</t>
        </is>
      </c>
      <c r="S244" s="2" t="inlineStr">
        <is>
          <t>allowed_with_provenance</t>
        </is>
      </c>
      <c r="T244" s="2" t="b">
        <v>0</v>
      </c>
      <c r="U244" s="2" t="b">
        <v>0</v>
      </c>
      <c r="V244" s="2" t="inlineStr"/>
      <c r="W244" s="2" t="inlineStr"/>
      <c r="X244" s="2" t="inlineStr">
        <is>
          <t>Decompose only from explicit face or note evidence; never fabricate a split.</t>
        </is>
      </c>
      <c r="Y244" s="2" t="inlineStr">
        <is>
          <t>Aggregate only mutually exclusive facts with identical period, scope, currency and unit.</t>
        </is>
      </c>
      <c r="Z244" s="2" t="inlineStr">
        <is>
          <t>Bind only to Income Statement / is_pl.</t>
        </is>
      </c>
      <c r="AA244" s="2" t="inlineStr"/>
      <c r="AB244" s="2" t="b">
        <v>1</v>
      </c>
      <c r="AC244" s="2" t="inlineStr"/>
      <c r="AD244" s="2" t="inlineStr">
        <is>
          <t>Exact field from Income Statement!A20; value cell B20.</t>
        </is>
      </c>
      <c r="AE244" s="2" t="inlineStr">
        <is>
          <t>Notes may support direct extraction or decomposition with provenance. Formula outputs must be derived only from template dependencies.</t>
        </is>
      </c>
      <c r="AF244" s="2" t="inlineStr">
        <is>
          <t>{"mode": "no_balancing_plug", "negative_result": "review"}</t>
        </is>
      </c>
      <c r="AG244" s="2" t="inlineStr">
        <is>
          <t>[]</t>
        </is>
      </c>
      <c r="AH244" s="2" t="inlineStr">
        <is>
          <t>Other Operating Income</t>
        </is>
      </c>
      <c r="AI244" s="2" t="inlineStr"/>
      <c r="AJ244" s="2" t="inlineStr">
        <is>
          <t>{"template_sheet": "Income Statement", "template_row": 20, "template_cell": "B20", "template_value_or_formula": 47, "calculation_type": "reported_input", "dependencies": [], "source_template": "Copy of Output_CSV Template.xlsx"}</t>
        </is>
      </c>
    </row>
    <row r="245">
      <c r="A245" s="2" t="inlineStr">
        <is>
          <t>is_pl__commission_income_other_operating_inc</t>
        </is>
      </c>
      <c r="B245" s="2" t="inlineStr">
        <is>
          <t>Commission Income (Other Operating Inc)</t>
        </is>
      </c>
      <c r="C245" s="2" t="inlineStr">
        <is>
          <t>is_pl</t>
        </is>
      </c>
      <c r="D245" s="2" t="inlineStr">
        <is>
          <t>Extract the reported value for 'Commission Income (Other Operating Inc)' from the stated section. Do not calculate or replace it from other rows, because the revised template does not designate this field as formula-driven.</t>
        </is>
      </c>
      <c r="E245" s="2" t="inlineStr">
        <is>
          <t>Commission Income (Other Operating Inc)</t>
        </is>
      </c>
      <c r="F245" s="2" t="inlineStr">
        <is>
          <t>Commission Income (Other Operating Inc)</t>
        </is>
      </c>
      <c r="G245" s="2" t="inlineStr">
        <is>
          <t>^Commission\s+Income\s+\(Other\s+Operating\s+Inc\)$</t>
        </is>
      </c>
      <c r="H245" s="2" t="inlineStr"/>
      <c r="I245" s="2" t="inlineStr">
        <is>
          <t>Amounts or disclosures explicitly reported for Commission Income (Other Operating Inc) in Income Statement / is_pl.</t>
        </is>
      </c>
      <c r="J245" s="2" t="inlineStr">
        <is>
          <t>Do not substitute another section, period, entity scope, currency or unit; do not double count a parent and its children.</t>
        </is>
      </c>
      <c r="K245" s="2" t="inlineStr"/>
      <c r="L245" s="2" t="inlineStr">
        <is>
          <t>as_reported</t>
        </is>
      </c>
      <c r="M245" s="2" t="inlineStr">
        <is>
          <t>direct_exclusive</t>
        </is>
      </c>
      <c r="N245" s="2" t="n">
        <v>90</v>
      </c>
      <c r="O245" s="2" t="inlineStr">
        <is>
          <t>normalized_exact_then_regex</t>
        </is>
      </c>
      <c r="P245" s="3" t="inlineStr">
        <is>
          <t>extract</t>
        </is>
      </c>
      <c r="Q245" s="2" t="inlineStr">
        <is>
          <t>currency_amount</t>
        </is>
      </c>
      <c r="R245" s="2" t="inlineStr">
        <is>
          <t>period_flow</t>
        </is>
      </c>
      <c r="S245" s="2" t="inlineStr">
        <is>
          <t>allowed_with_provenance</t>
        </is>
      </c>
      <c r="T245" s="2" t="b">
        <v>0</v>
      </c>
      <c r="U245" s="2" t="b">
        <v>0</v>
      </c>
      <c r="V245" s="2" t="inlineStr"/>
      <c r="W245" s="2" t="inlineStr"/>
      <c r="X245" s="2" t="inlineStr">
        <is>
          <t>Decompose only from explicit face or note evidence; never fabricate a split.</t>
        </is>
      </c>
      <c r="Y245" s="2" t="inlineStr">
        <is>
          <t>Aggregate only mutually exclusive facts with identical period, scope, currency and unit.</t>
        </is>
      </c>
      <c r="Z245" s="2" t="inlineStr">
        <is>
          <t>Bind only to Income Statement / is_pl.</t>
        </is>
      </c>
      <c r="AA245" s="2" t="inlineStr"/>
      <c r="AB245" s="2" t="b">
        <v>1</v>
      </c>
      <c r="AC245" s="2" t="inlineStr"/>
      <c r="AD245" s="2" t="inlineStr">
        <is>
          <t>Exact field from Income Statement!A21; value cell B21.</t>
        </is>
      </c>
      <c r="AE245" s="2" t="inlineStr">
        <is>
          <t>Notes may support direct extraction or decomposition with provenance. Formula outputs must be derived only from template dependencies.</t>
        </is>
      </c>
      <c r="AF245" s="2" t="inlineStr"/>
      <c r="AG245" s="2" t="inlineStr">
        <is>
          <t>[]</t>
        </is>
      </c>
      <c r="AH245" s="2" t="inlineStr">
        <is>
          <t>Commission Income (Other Operating Inc)</t>
        </is>
      </c>
      <c r="AI245" s="2" t="inlineStr"/>
      <c r="AJ245" s="2" t="inlineStr">
        <is>
          <t>{"template_sheet": "Income Statement", "template_row": 21, "template_cell": "B21", "template_value_or_formula": 21, "calculation_type": "reported_input", "dependencies": [], "source_template": "Copy of Output_CSV Template.xlsx"}</t>
        </is>
      </c>
    </row>
    <row r="246">
      <c r="A246" s="2" t="inlineStr">
        <is>
          <t>is_pl__commission_income_sales</t>
        </is>
      </c>
      <c r="B246" s="2" t="inlineStr">
        <is>
          <t>Commission Income (Sales)</t>
        </is>
      </c>
      <c r="C246" s="2" t="inlineStr">
        <is>
          <t>is_pl</t>
        </is>
      </c>
      <c r="D246" s="2" t="inlineStr">
        <is>
          <t>Extract the reported value for 'Commission Income (Sales)' from the stated section. Do not calculate or replace it from other rows, because the revised template does not designate this field as formula-driven.</t>
        </is>
      </c>
      <c r="E246" s="2" t="inlineStr">
        <is>
          <t>Commission Income (Sales)</t>
        </is>
      </c>
      <c r="F246" s="2" t="inlineStr">
        <is>
          <t>Commission Income (Sales)</t>
        </is>
      </c>
      <c r="G246" s="2" t="inlineStr">
        <is>
          <t>^Commission\s+Income\s+\(Sales\)$</t>
        </is>
      </c>
      <c r="H246" s="2" t="inlineStr"/>
      <c r="I246" s="2" t="inlineStr">
        <is>
          <t>Amounts or disclosures explicitly reported for Commission Income (Sales) in Income Statement / is_pl.</t>
        </is>
      </c>
      <c r="J246" s="2" t="inlineStr">
        <is>
          <t>Do not substitute another section, period, entity scope, currency or unit; do not double count a parent and its children.</t>
        </is>
      </c>
      <c r="K246" s="2" t="inlineStr"/>
      <c r="L246" s="2" t="inlineStr">
        <is>
          <t>as_reported</t>
        </is>
      </c>
      <c r="M246" s="2" t="inlineStr">
        <is>
          <t>direct_exclusive</t>
        </is>
      </c>
      <c r="N246" s="2" t="n">
        <v>90</v>
      </c>
      <c r="O246" s="2" t="inlineStr">
        <is>
          <t>normalized_exact_then_regex</t>
        </is>
      </c>
      <c r="P246" s="3" t="inlineStr">
        <is>
          <t>extract</t>
        </is>
      </c>
      <c r="Q246" s="2" t="inlineStr">
        <is>
          <t>currency_amount</t>
        </is>
      </c>
      <c r="R246" s="2" t="inlineStr">
        <is>
          <t>period_flow</t>
        </is>
      </c>
      <c r="S246" s="2" t="inlineStr">
        <is>
          <t>allowed_with_provenance</t>
        </is>
      </c>
      <c r="T246" s="2" t="b">
        <v>0</v>
      </c>
      <c r="U246" s="2" t="b">
        <v>0</v>
      </c>
      <c r="V246" s="2" t="inlineStr"/>
      <c r="W246" s="2" t="inlineStr"/>
      <c r="X246" s="2" t="inlineStr">
        <is>
          <t>Decompose only from explicit face or note evidence; never fabricate a split.</t>
        </is>
      </c>
      <c r="Y246" s="2" t="inlineStr">
        <is>
          <t>Aggregate only mutually exclusive facts with identical period, scope, currency and unit.</t>
        </is>
      </c>
      <c r="Z246" s="2" t="inlineStr">
        <is>
          <t>Bind only to Income Statement / is_pl.</t>
        </is>
      </c>
      <c r="AA246" s="2" t="inlineStr"/>
      <c r="AB246" s="2" t="b">
        <v>1</v>
      </c>
      <c r="AC246" s="2" t="inlineStr"/>
      <c r="AD246" s="2" t="inlineStr">
        <is>
          <t>Exact field from Income Statement!A22; value cell B22.</t>
        </is>
      </c>
      <c r="AE246" s="2" t="inlineStr">
        <is>
          <t>Notes may support direct extraction or decomposition with provenance. Formula outputs must be derived only from template dependencies.</t>
        </is>
      </c>
      <c r="AF246" s="2" t="inlineStr"/>
      <c r="AG246" s="2" t="inlineStr">
        <is>
          <t>[]</t>
        </is>
      </c>
      <c r="AH246" s="2" t="inlineStr">
        <is>
          <t>Commission Income (Sales)</t>
        </is>
      </c>
      <c r="AI246" s="2" t="inlineStr"/>
      <c r="AJ246" s="2" t="inlineStr">
        <is>
          <t>{"template_sheet": "Income Statement", "template_row": 22, "template_cell": "B22", "template_value_or_formula": 38, "calculation_type": "reported_input", "dependencies": [], "source_template": "Copy of Output_CSV Template.xlsx"}</t>
        </is>
      </c>
    </row>
    <row r="247">
      <c r="A247" s="2" t="inlineStr">
        <is>
          <t>is_pl__grants_and_subsidies</t>
        </is>
      </c>
      <c r="B247" s="2" t="inlineStr">
        <is>
          <t>Grants &amp; Subsidies</t>
        </is>
      </c>
      <c r="C247" s="2" t="inlineStr">
        <is>
          <t>is_pl</t>
        </is>
      </c>
      <c r="D247" s="2" t="inlineStr">
        <is>
          <t>Extract the reported value for 'Grants &amp; Subsidies' from the stated section. Do not calculate or replace it from other rows, because the revised template does not designate this field as formula-driven.</t>
        </is>
      </c>
      <c r="E247" s="2" t="inlineStr">
        <is>
          <t>Grants &amp; Subsidies</t>
        </is>
      </c>
      <c r="F247" s="2" t="inlineStr">
        <is>
          <t>Grants &amp; Subsidies</t>
        </is>
      </c>
      <c r="G247" s="2" t="inlineStr">
        <is>
          <t>^Grants\s+\&amp;\s+Subsidies$</t>
        </is>
      </c>
      <c r="H247" s="2" t="inlineStr"/>
      <c r="I247" s="2" t="inlineStr">
        <is>
          <t>Amounts or disclosures explicitly reported for Grants &amp; Subsidies in Income Statement / is_pl.</t>
        </is>
      </c>
      <c r="J247" s="2" t="inlineStr">
        <is>
          <t>Do not substitute another section, period, entity scope, currency or unit; do not double count a parent and its children.</t>
        </is>
      </c>
      <c r="K247" s="2" t="inlineStr"/>
      <c r="L247" s="2" t="inlineStr">
        <is>
          <t>as_reported</t>
        </is>
      </c>
      <c r="M247" s="2" t="inlineStr">
        <is>
          <t>direct_exclusive</t>
        </is>
      </c>
      <c r="N247" s="2" t="n">
        <v>90</v>
      </c>
      <c r="O247" s="2" t="inlineStr">
        <is>
          <t>normalized_exact_then_regex</t>
        </is>
      </c>
      <c r="P247" s="3" t="inlineStr">
        <is>
          <t>extract</t>
        </is>
      </c>
      <c r="Q247" s="2" t="inlineStr">
        <is>
          <t>currency_amount</t>
        </is>
      </c>
      <c r="R247" s="2" t="inlineStr">
        <is>
          <t>period_flow</t>
        </is>
      </c>
      <c r="S247" s="2" t="inlineStr">
        <is>
          <t>allowed_with_provenance</t>
        </is>
      </c>
      <c r="T247" s="2" t="b">
        <v>0</v>
      </c>
      <c r="U247" s="2" t="b">
        <v>0</v>
      </c>
      <c r="V247" s="2" t="inlineStr"/>
      <c r="W247" s="2" t="inlineStr"/>
      <c r="X247" s="2" t="inlineStr">
        <is>
          <t>Decompose only from explicit face or note evidence; never fabricate a split.</t>
        </is>
      </c>
      <c r="Y247" s="2" t="inlineStr">
        <is>
          <t>Aggregate only mutually exclusive facts with identical period, scope, currency and unit.</t>
        </is>
      </c>
      <c r="Z247" s="2" t="inlineStr">
        <is>
          <t>Bind only to Income Statement / is_pl.</t>
        </is>
      </c>
      <c r="AA247" s="2" t="inlineStr"/>
      <c r="AB247" s="2" t="b">
        <v>1</v>
      </c>
      <c r="AC247" s="2" t="inlineStr"/>
      <c r="AD247" s="2" t="inlineStr">
        <is>
          <t>Exact field from Income Statement!A23; value cell B23.</t>
        </is>
      </c>
      <c r="AE247" s="2" t="inlineStr">
        <is>
          <t>Notes may support direct extraction or decomposition with provenance. Formula outputs must be derived only from template dependencies.</t>
        </is>
      </c>
      <c r="AF247" s="2" t="inlineStr"/>
      <c r="AG247" s="2" t="inlineStr">
        <is>
          <t>[]</t>
        </is>
      </c>
      <c r="AH247" s="2" t="inlineStr">
        <is>
          <t>Grants &amp; Subsidies</t>
        </is>
      </c>
      <c r="AI247" s="2" t="inlineStr"/>
      <c r="AJ247" s="2" t="inlineStr">
        <is>
          <t>{"template_sheet": "Income Statement", "template_row": 23, "template_cell": "B23", "template_value_or_formula": 12, "calculation_type": "reported_input", "dependencies": [], "source_template": "Copy of Output_CSV Template.xlsx"}</t>
        </is>
      </c>
    </row>
    <row r="248">
      <c r="A248" s="2" t="inlineStr">
        <is>
          <t>is_pl__selling_and_marketing_expenses</t>
        </is>
      </c>
      <c r="B248" s="2" t="inlineStr">
        <is>
          <t>Selling &amp; Marketing Expenses</t>
        </is>
      </c>
      <c r="C248" s="2" t="inlineStr">
        <is>
          <t>is_pl</t>
        </is>
      </c>
      <c r="D248" s="2" t="inlineStr">
        <is>
          <t>Extract the reported value for 'Selling &amp; Marketing Expenses' from the stated section. Do not calculate or replace it from other rows, because the revised template does not designate this field as formula-driven.</t>
        </is>
      </c>
      <c r="E248" s="2" t="inlineStr">
        <is>
          <t>Selling &amp; Marketing Expenses</t>
        </is>
      </c>
      <c r="F248" s="2" t="inlineStr">
        <is>
          <t>Selling &amp; Marketing Expenses</t>
        </is>
      </c>
      <c r="G248" s="2" t="inlineStr">
        <is>
          <t>^Selling\s+\&amp;\s+Marketing\s+Expenses$</t>
        </is>
      </c>
      <c r="H248" s="2" t="inlineStr"/>
      <c r="I248" s="2" t="inlineStr">
        <is>
          <t>Amounts or disclosures explicitly reported for Selling &amp; Marketing Expenses in Income Statement / is_pl.</t>
        </is>
      </c>
      <c r="J248" s="2" t="inlineStr">
        <is>
          <t>Do not substitute another section, period, entity scope, currency or unit; do not double count a parent and its children.</t>
        </is>
      </c>
      <c r="K248" s="2" t="inlineStr"/>
      <c r="L248" s="2" t="inlineStr">
        <is>
          <t>as_reported</t>
        </is>
      </c>
      <c r="M248" s="2" t="inlineStr">
        <is>
          <t>direct_exclusive</t>
        </is>
      </c>
      <c r="N248" s="2" t="n">
        <v>90</v>
      </c>
      <c r="O248" s="2" t="inlineStr">
        <is>
          <t>normalized_exact_then_regex</t>
        </is>
      </c>
      <c r="P248" s="3" t="inlineStr">
        <is>
          <t>extract</t>
        </is>
      </c>
      <c r="Q248" s="2" t="inlineStr">
        <is>
          <t>currency_amount</t>
        </is>
      </c>
      <c r="R248" s="2" t="inlineStr">
        <is>
          <t>period_flow</t>
        </is>
      </c>
      <c r="S248" s="2" t="inlineStr">
        <is>
          <t>allowed_with_provenance</t>
        </is>
      </c>
      <c r="T248" s="2" t="b">
        <v>0</v>
      </c>
      <c r="U248" s="2" t="b">
        <v>0</v>
      </c>
      <c r="V248" s="2" t="inlineStr"/>
      <c r="W248" s="2" t="inlineStr"/>
      <c r="X248" s="2" t="inlineStr">
        <is>
          <t>Decompose only from explicit face or note evidence; never fabricate a split.</t>
        </is>
      </c>
      <c r="Y248" s="2" t="inlineStr">
        <is>
          <t>Aggregate only mutually exclusive facts with identical period, scope, currency and unit.</t>
        </is>
      </c>
      <c r="Z248" s="2" t="inlineStr">
        <is>
          <t>Bind only to Income Statement / is_pl.</t>
        </is>
      </c>
      <c r="AA248" s="2" t="inlineStr"/>
      <c r="AB248" s="2" t="b">
        <v>1</v>
      </c>
      <c r="AC248" s="2" t="inlineStr"/>
      <c r="AD248" s="2" t="inlineStr">
        <is>
          <t>Exact field from Income Statement!A24; value cell B24.</t>
        </is>
      </c>
      <c r="AE248" s="2" t="inlineStr">
        <is>
          <t>Notes may support direct extraction or decomposition with provenance. Formula outputs must be derived only from template dependencies.</t>
        </is>
      </c>
      <c r="AF248" s="2" t="inlineStr"/>
      <c r="AG248" s="2" t="inlineStr">
        <is>
          <t>[]</t>
        </is>
      </c>
      <c r="AH248" s="2" t="inlineStr">
        <is>
          <t>Selling &amp; Marketing Expenses</t>
        </is>
      </c>
      <c r="AI248" s="2" t="inlineStr"/>
      <c r="AJ248" s="2" t="inlineStr">
        <is>
          <t>{"template_sheet": "Income Statement", "template_row": 24, "template_cell": "B24", "template_value_or_formula": 29, "calculation_type": "reported_input", "dependencies": [], "source_template": "Copy of Output_CSV Template.xlsx"}</t>
        </is>
      </c>
    </row>
    <row r="249">
      <c r="A249" s="2" t="inlineStr">
        <is>
          <t>is_pl__general_and_admin_expenses</t>
        </is>
      </c>
      <c r="B249" s="2" t="inlineStr">
        <is>
          <t>General &amp; Admin Expenses</t>
        </is>
      </c>
      <c r="C249" s="2" t="inlineStr">
        <is>
          <t>is_pl</t>
        </is>
      </c>
      <c r="D249" s="2" t="inlineStr">
        <is>
          <t>Extract the reported value for 'General &amp; Admin Expenses' from the stated section. Do not calculate or replace it from other rows, because the revised template does not designate this field as formula-driven.</t>
        </is>
      </c>
      <c r="E249" s="2" t="inlineStr">
        <is>
          <t>General &amp; Admin Expenses</t>
        </is>
      </c>
      <c r="F249" s="2" t="inlineStr">
        <is>
          <t>General &amp; Admin Expenses</t>
        </is>
      </c>
      <c r="G249" s="2" t="inlineStr">
        <is>
          <t>^General\s+\&amp;\s+Admin\s+Expenses$</t>
        </is>
      </c>
      <c r="H249" s="2" t="inlineStr"/>
      <c r="I249" s="2" t="inlineStr">
        <is>
          <t>Amounts or disclosures explicitly reported for General &amp; Admin Expenses in Income Statement / is_pl.</t>
        </is>
      </c>
      <c r="J249" s="2" t="inlineStr">
        <is>
          <t>Do not substitute another section, period, entity scope, currency or unit; do not double count a parent and its children.</t>
        </is>
      </c>
      <c r="K249" s="2" t="inlineStr"/>
      <c r="L249" s="2" t="inlineStr">
        <is>
          <t>as_reported</t>
        </is>
      </c>
      <c r="M249" s="2" t="inlineStr">
        <is>
          <t>direct_exclusive</t>
        </is>
      </c>
      <c r="N249" s="2" t="n">
        <v>90</v>
      </c>
      <c r="O249" s="2" t="inlineStr">
        <is>
          <t>normalized_exact_then_regex</t>
        </is>
      </c>
      <c r="P249" s="3" t="inlineStr">
        <is>
          <t>extract</t>
        </is>
      </c>
      <c r="Q249" s="2" t="inlineStr">
        <is>
          <t>currency_amount</t>
        </is>
      </c>
      <c r="R249" s="2" t="inlineStr">
        <is>
          <t>period_flow</t>
        </is>
      </c>
      <c r="S249" s="2" t="inlineStr">
        <is>
          <t>allowed_with_provenance</t>
        </is>
      </c>
      <c r="T249" s="2" t="b">
        <v>0</v>
      </c>
      <c r="U249" s="2" t="b">
        <v>0</v>
      </c>
      <c r="V249" s="2" t="inlineStr"/>
      <c r="W249" s="2" t="inlineStr"/>
      <c r="X249" s="2" t="inlineStr">
        <is>
          <t>Decompose only from explicit face or note evidence; never fabricate a split.</t>
        </is>
      </c>
      <c r="Y249" s="2" t="inlineStr">
        <is>
          <t>Aggregate only mutually exclusive facts with identical period, scope, currency and unit.</t>
        </is>
      </c>
      <c r="Z249" s="2" t="inlineStr">
        <is>
          <t>Bind only to Income Statement / is_pl.</t>
        </is>
      </c>
      <c r="AA249" s="2" t="inlineStr"/>
      <c r="AB249" s="2" t="b">
        <v>1</v>
      </c>
      <c r="AC249" s="2" t="inlineStr"/>
      <c r="AD249" s="2" t="inlineStr">
        <is>
          <t>Exact field from Income Statement!A25; value cell B25.</t>
        </is>
      </c>
      <c r="AE249" s="2" t="inlineStr">
        <is>
          <t>Notes may support direct extraction or decomposition with provenance. Formula outputs must be derived only from template dependencies.</t>
        </is>
      </c>
      <c r="AF249" s="2" t="inlineStr"/>
      <c r="AG249" s="2" t="inlineStr">
        <is>
          <t>[]</t>
        </is>
      </c>
      <c r="AH249" s="2" t="inlineStr">
        <is>
          <t>General &amp; Admin Expenses</t>
        </is>
      </c>
      <c r="AI249" s="2" t="inlineStr"/>
      <c r="AJ249" s="2" t="inlineStr">
        <is>
          <t>{"template_sheet": "Income Statement", "template_row": 25, "template_cell": "B25", "template_value_or_formula": 46, "calculation_type": "reported_input", "dependencies": [], "source_template": "Copy of Output_CSV Template.xlsx"}</t>
        </is>
      </c>
    </row>
    <row r="250">
      <c r="A250" s="2" t="inlineStr">
        <is>
          <t>is_pl__personnel_and_benefit_expenses</t>
        </is>
      </c>
      <c r="B250" s="2" t="inlineStr">
        <is>
          <t>Personnel &amp; Benefit Expenses</t>
        </is>
      </c>
      <c r="C250" s="2" t="inlineStr">
        <is>
          <t>is_pl</t>
        </is>
      </c>
      <c r="D250" s="2" t="inlineStr">
        <is>
          <t>Extract the reported value for 'Personnel &amp; Benefit Expenses' from the stated section. Do not calculate or replace it from other rows, because the revised template does not designate this field as formula-driven.</t>
        </is>
      </c>
      <c r="E250" s="2" t="inlineStr">
        <is>
          <t>Personnel &amp; Benefit Expenses</t>
        </is>
      </c>
      <c r="F250" s="2" t="inlineStr">
        <is>
          <t>Personnel &amp; Benefit Expenses</t>
        </is>
      </c>
      <c r="G250" s="2" t="inlineStr">
        <is>
          <t>^Personnel\s+\&amp;\s+Benefit\s+Expenses$</t>
        </is>
      </c>
      <c r="H250" s="2" t="inlineStr"/>
      <c r="I250" s="2" t="inlineStr">
        <is>
          <t>Amounts or disclosures explicitly reported for Personnel &amp; Benefit Expenses in Income Statement / is_pl.</t>
        </is>
      </c>
      <c r="J250" s="2" t="inlineStr">
        <is>
          <t>Do not substitute another section, period, entity scope, currency or unit; do not double count a parent and its children.</t>
        </is>
      </c>
      <c r="K250" s="2" t="inlineStr"/>
      <c r="L250" s="2" t="inlineStr">
        <is>
          <t>as_reported</t>
        </is>
      </c>
      <c r="M250" s="2" t="inlineStr">
        <is>
          <t>direct_exclusive</t>
        </is>
      </c>
      <c r="N250" s="2" t="n">
        <v>90</v>
      </c>
      <c r="O250" s="2" t="inlineStr">
        <is>
          <t>normalized_exact_then_regex</t>
        </is>
      </c>
      <c r="P250" s="3" t="inlineStr">
        <is>
          <t>extract</t>
        </is>
      </c>
      <c r="Q250" s="2" t="inlineStr">
        <is>
          <t>currency_amount</t>
        </is>
      </c>
      <c r="R250" s="2" t="inlineStr">
        <is>
          <t>period_flow</t>
        </is>
      </c>
      <c r="S250" s="2" t="inlineStr">
        <is>
          <t>allowed_with_provenance</t>
        </is>
      </c>
      <c r="T250" s="2" t="b">
        <v>0</v>
      </c>
      <c r="U250" s="2" t="b">
        <v>0</v>
      </c>
      <c r="V250" s="2" t="inlineStr"/>
      <c r="W250" s="2" t="inlineStr"/>
      <c r="X250" s="2" t="inlineStr">
        <is>
          <t>Decompose only from explicit face or note evidence; never fabricate a split.</t>
        </is>
      </c>
      <c r="Y250" s="2" t="inlineStr">
        <is>
          <t>Aggregate only mutually exclusive facts with identical period, scope, currency and unit.</t>
        </is>
      </c>
      <c r="Z250" s="2" t="inlineStr">
        <is>
          <t>Bind only to Income Statement / is_pl.</t>
        </is>
      </c>
      <c r="AA250" s="2" t="inlineStr"/>
      <c r="AB250" s="2" t="b">
        <v>1</v>
      </c>
      <c r="AC250" s="2" t="inlineStr"/>
      <c r="AD250" s="2" t="inlineStr">
        <is>
          <t>Exact field from Income Statement!A26; value cell B26.</t>
        </is>
      </c>
      <c r="AE250" s="2" t="inlineStr">
        <is>
          <t>Notes may support direct extraction or decomposition with provenance. Formula outputs must be derived only from template dependencies.</t>
        </is>
      </c>
      <c r="AF250" s="2" t="inlineStr"/>
      <c r="AG250" s="2" t="inlineStr">
        <is>
          <t>[]</t>
        </is>
      </c>
      <c r="AH250" s="2" t="inlineStr">
        <is>
          <t>Personnel &amp; Benefit Expenses</t>
        </is>
      </c>
      <c r="AI250" s="2" t="inlineStr"/>
      <c r="AJ250" s="2" t="inlineStr">
        <is>
          <t>{"template_sheet": "Income Statement", "template_row": 26, "template_cell": "B26", "template_value_or_formula": 20, "calculation_type": "reported_input", "dependencies": [], "source_template": "Copy of Output_CSV Template.xlsx"}</t>
        </is>
      </c>
    </row>
    <row r="251">
      <c r="A251" s="2" t="inlineStr">
        <is>
          <t>is_pl__officers_compensation</t>
        </is>
      </c>
      <c r="B251" s="2" t="inlineStr">
        <is>
          <t>Officers Compensation</t>
        </is>
      </c>
      <c r="C251" s="2" t="inlineStr">
        <is>
          <t>is_pl</t>
        </is>
      </c>
      <c r="D251" s="2" t="inlineStr">
        <is>
          <t>Extract the reported value for 'Officers Compensation' from the stated section. Do not calculate or replace it from other rows, because the revised template does not designate this field as formula-driven.</t>
        </is>
      </c>
      <c r="E251" s="2" t="inlineStr">
        <is>
          <t>Officers Compensation</t>
        </is>
      </c>
      <c r="F251" s="2" t="inlineStr">
        <is>
          <t>Officers Compensation</t>
        </is>
      </c>
      <c r="G251" s="2" t="inlineStr">
        <is>
          <t>^Officers\s+Compensation$</t>
        </is>
      </c>
      <c r="H251" s="2" t="inlineStr"/>
      <c r="I251" s="2" t="inlineStr">
        <is>
          <t>Amounts or disclosures explicitly reported for Officers Compensation in Income Statement / is_pl.</t>
        </is>
      </c>
      <c r="J251" s="2" t="inlineStr">
        <is>
          <t>Do not substitute another section, period, entity scope, currency or unit; do not double count a parent and its children.</t>
        </is>
      </c>
      <c r="K251" s="2" t="inlineStr"/>
      <c r="L251" s="2" t="inlineStr">
        <is>
          <t>as_reported</t>
        </is>
      </c>
      <c r="M251" s="2" t="inlineStr">
        <is>
          <t>direct_exclusive</t>
        </is>
      </c>
      <c r="N251" s="2" t="n">
        <v>90</v>
      </c>
      <c r="O251" s="2" t="inlineStr">
        <is>
          <t>normalized_exact_then_regex</t>
        </is>
      </c>
      <c r="P251" s="3" t="inlineStr">
        <is>
          <t>extract</t>
        </is>
      </c>
      <c r="Q251" s="2" t="inlineStr">
        <is>
          <t>currency_amount</t>
        </is>
      </c>
      <c r="R251" s="2" t="inlineStr">
        <is>
          <t>period_flow</t>
        </is>
      </c>
      <c r="S251" s="2" t="inlineStr">
        <is>
          <t>allowed_with_provenance</t>
        </is>
      </c>
      <c r="T251" s="2" t="b">
        <v>0</v>
      </c>
      <c r="U251" s="2" t="b">
        <v>0</v>
      </c>
      <c r="V251" s="2" t="inlineStr"/>
      <c r="W251" s="2" t="inlineStr"/>
      <c r="X251" s="2" t="inlineStr">
        <is>
          <t>Decompose only from explicit face or note evidence; never fabricate a split.</t>
        </is>
      </c>
      <c r="Y251" s="2" t="inlineStr">
        <is>
          <t>Aggregate only mutually exclusive facts with identical period, scope, currency and unit.</t>
        </is>
      </c>
      <c r="Z251" s="2" t="inlineStr">
        <is>
          <t>Bind only to Income Statement / is_pl.</t>
        </is>
      </c>
      <c r="AA251" s="2" t="inlineStr"/>
      <c r="AB251" s="2" t="b">
        <v>1</v>
      </c>
      <c r="AC251" s="2" t="inlineStr"/>
      <c r="AD251" s="2" t="inlineStr">
        <is>
          <t>Exact field from Income Statement!A27; value cell B27.</t>
        </is>
      </c>
      <c r="AE251" s="2" t="inlineStr">
        <is>
          <t>Notes may support direct extraction or decomposition with provenance. Formula outputs must be derived only from template dependencies.</t>
        </is>
      </c>
      <c r="AF251" s="2" t="inlineStr"/>
      <c r="AG251" s="2" t="inlineStr">
        <is>
          <t>[]</t>
        </is>
      </c>
      <c r="AH251" s="2" t="inlineStr">
        <is>
          <t>Officers Compensation</t>
        </is>
      </c>
      <c r="AI251" s="2" t="inlineStr"/>
      <c r="AJ251" s="2" t="inlineStr">
        <is>
          <t>{"template_sheet": "Income Statement", "template_row": 27, "template_cell": "B27", "template_value_or_formula": 37, "calculation_type": "reported_input", "dependencies": [], "source_template": "Copy of Output_CSV Template.xlsx"}</t>
        </is>
      </c>
    </row>
    <row r="252">
      <c r="A252" s="2" t="inlineStr">
        <is>
          <t>is_pl__operating_lease_and_rent_expenses</t>
        </is>
      </c>
      <c r="B252" s="2" t="inlineStr">
        <is>
          <t>Operating Lease &amp; Rent Expenses</t>
        </is>
      </c>
      <c r="C252" s="2" t="inlineStr">
        <is>
          <t>is_pl</t>
        </is>
      </c>
      <c r="D252" s="2" t="inlineStr">
        <is>
          <t>Extract the reported value for 'Operating Lease &amp; Rent Expenses' from the stated section. Do not calculate or replace it from other rows, because the revised template does not designate this field as formula-driven.</t>
        </is>
      </c>
      <c r="E252" s="2" t="inlineStr">
        <is>
          <t>Operating Lease &amp; Rent Expenses</t>
        </is>
      </c>
      <c r="F252" s="2" t="inlineStr">
        <is>
          <t>Operating Lease &amp; Rent Expenses</t>
        </is>
      </c>
      <c r="G252" s="2" t="inlineStr">
        <is>
          <t>^Operating\s+Lease\s+\&amp;\s+Rent\s+Expenses$</t>
        </is>
      </c>
      <c r="H252" s="2" t="inlineStr"/>
      <c r="I252" s="2" t="inlineStr">
        <is>
          <t>Amounts or disclosures explicitly reported for Operating Lease &amp; Rent Expenses in Income Statement / is_pl.</t>
        </is>
      </c>
      <c r="J252" s="2" t="inlineStr">
        <is>
          <t>Do not substitute another section, period, entity scope, currency or unit; do not double count a parent and its children.</t>
        </is>
      </c>
      <c r="K252" s="2" t="inlineStr"/>
      <c r="L252" s="2" t="inlineStr">
        <is>
          <t>as_reported</t>
        </is>
      </c>
      <c r="M252" s="2" t="inlineStr">
        <is>
          <t>direct_exclusive</t>
        </is>
      </c>
      <c r="N252" s="2" t="n">
        <v>90</v>
      </c>
      <c r="O252" s="2" t="inlineStr">
        <is>
          <t>normalized_exact_then_regex</t>
        </is>
      </c>
      <c r="P252" s="3" t="inlineStr">
        <is>
          <t>extract</t>
        </is>
      </c>
      <c r="Q252" s="2" t="inlineStr">
        <is>
          <t>currency_amount</t>
        </is>
      </c>
      <c r="R252" s="2" t="inlineStr">
        <is>
          <t>period_flow</t>
        </is>
      </c>
      <c r="S252" s="2" t="inlineStr">
        <is>
          <t>allowed_with_provenance</t>
        </is>
      </c>
      <c r="T252" s="2" t="b">
        <v>0</v>
      </c>
      <c r="U252" s="2" t="b">
        <v>0</v>
      </c>
      <c r="V252" s="2" t="inlineStr"/>
      <c r="W252" s="2" t="inlineStr"/>
      <c r="X252" s="2" t="inlineStr">
        <is>
          <t>Decompose only from explicit face or note evidence; never fabricate a split.</t>
        </is>
      </c>
      <c r="Y252" s="2" t="inlineStr">
        <is>
          <t>Aggregate only mutually exclusive facts with identical period, scope, currency and unit.</t>
        </is>
      </c>
      <c r="Z252" s="2" t="inlineStr">
        <is>
          <t>Bind only to Income Statement / is_pl.</t>
        </is>
      </c>
      <c r="AA252" s="2" t="inlineStr"/>
      <c r="AB252" s="2" t="b">
        <v>1</v>
      </c>
      <c r="AC252" s="2" t="inlineStr"/>
      <c r="AD252" s="2" t="inlineStr">
        <is>
          <t>Exact field from Income Statement!A28; value cell B28.</t>
        </is>
      </c>
      <c r="AE252" s="2" t="inlineStr">
        <is>
          <t>Notes may support direct extraction or decomposition with provenance. Formula outputs must be derived only from template dependencies.</t>
        </is>
      </c>
      <c r="AF252" s="2" t="inlineStr"/>
      <c r="AG252" s="2" t="inlineStr">
        <is>
          <t>[]</t>
        </is>
      </c>
      <c r="AH252" s="2" t="inlineStr">
        <is>
          <t>Operating Lease &amp; Rent Expenses</t>
        </is>
      </c>
      <c r="AI252" s="2" t="inlineStr"/>
      <c r="AJ252" s="2" t="inlineStr">
        <is>
          <t>{"template_sheet": "Income Statement", "template_row": 28, "template_cell": "B28", "template_value_or_formula": 11, "calculation_type": "reported_input", "dependencies": [], "source_template": "Copy of Output_CSV Template.xlsx"}</t>
        </is>
      </c>
    </row>
    <row r="253">
      <c r="A253" s="2" t="inlineStr">
        <is>
          <t>is_pl__research_and_development</t>
        </is>
      </c>
      <c r="B253" s="2" t="inlineStr">
        <is>
          <t>Research &amp; Development</t>
        </is>
      </c>
      <c r="C253" s="2" t="inlineStr">
        <is>
          <t>is_pl</t>
        </is>
      </c>
      <c r="D253" s="2" t="inlineStr">
        <is>
          <t>Extract the reported value for 'Research &amp; Development' from the stated section. Do not calculate or replace it from other rows, because the revised template does not designate this field as formula-driven.</t>
        </is>
      </c>
      <c r="E253" s="2" t="inlineStr">
        <is>
          <t>Research &amp; Development</t>
        </is>
      </c>
      <c r="F253" s="2" t="inlineStr">
        <is>
          <t>Research &amp; Development</t>
        </is>
      </c>
      <c r="G253" s="2" t="inlineStr">
        <is>
          <t>^Research\s+\&amp;\s+Development$</t>
        </is>
      </c>
      <c r="H253" s="2" t="inlineStr"/>
      <c r="I253" s="2" t="inlineStr">
        <is>
          <t>Amounts or disclosures explicitly reported for Research &amp; Development in Income Statement / is_pl.</t>
        </is>
      </c>
      <c r="J253" s="2" t="inlineStr">
        <is>
          <t>Do not substitute another section, period, entity scope, currency or unit; do not double count a parent and its children.</t>
        </is>
      </c>
      <c r="K253" s="2" t="inlineStr"/>
      <c r="L253" s="2" t="inlineStr">
        <is>
          <t>as_reported</t>
        </is>
      </c>
      <c r="M253" s="2" t="inlineStr">
        <is>
          <t>direct_exclusive</t>
        </is>
      </c>
      <c r="N253" s="2" t="n">
        <v>90</v>
      </c>
      <c r="O253" s="2" t="inlineStr">
        <is>
          <t>normalized_exact_then_regex</t>
        </is>
      </c>
      <c r="P253" s="3" t="inlineStr">
        <is>
          <t>extract</t>
        </is>
      </c>
      <c r="Q253" s="2" t="inlineStr">
        <is>
          <t>currency_amount</t>
        </is>
      </c>
      <c r="R253" s="2" t="inlineStr">
        <is>
          <t>period_flow</t>
        </is>
      </c>
      <c r="S253" s="2" t="inlineStr">
        <is>
          <t>allowed_with_provenance</t>
        </is>
      </c>
      <c r="T253" s="2" t="b">
        <v>0</v>
      </c>
      <c r="U253" s="2" t="b">
        <v>0</v>
      </c>
      <c r="V253" s="2" t="inlineStr"/>
      <c r="W253" s="2" t="inlineStr"/>
      <c r="X253" s="2" t="inlineStr">
        <is>
          <t>Decompose only from explicit face or note evidence; never fabricate a split.</t>
        </is>
      </c>
      <c r="Y253" s="2" t="inlineStr">
        <is>
          <t>Aggregate only mutually exclusive facts with identical period, scope, currency and unit.</t>
        </is>
      </c>
      <c r="Z253" s="2" t="inlineStr">
        <is>
          <t>Bind only to Income Statement / is_pl.</t>
        </is>
      </c>
      <c r="AA253" s="2" t="inlineStr"/>
      <c r="AB253" s="2" t="b">
        <v>1</v>
      </c>
      <c r="AC253" s="2" t="inlineStr"/>
      <c r="AD253" s="2" t="inlineStr">
        <is>
          <t>Exact field from Income Statement!A29; value cell B29.</t>
        </is>
      </c>
      <c r="AE253" s="2" t="inlineStr">
        <is>
          <t>Notes may support direct extraction or decomposition with provenance. Formula outputs must be derived only from template dependencies.</t>
        </is>
      </c>
      <c r="AF253" s="2" t="inlineStr"/>
      <c r="AG253" s="2" t="inlineStr">
        <is>
          <t>[]</t>
        </is>
      </c>
      <c r="AH253" s="2" t="inlineStr">
        <is>
          <t>Research &amp; Development</t>
        </is>
      </c>
      <c r="AI253" s="2" t="inlineStr"/>
      <c r="AJ253" s="2" t="inlineStr">
        <is>
          <t>{"template_sheet": "Income Statement", "template_row": 29, "template_cell": "B29", "template_value_or_formula": 28, "calculation_type": "reported_input", "dependencies": [], "source_template": "Copy of Output_CSV Template.xlsx"}</t>
        </is>
      </c>
    </row>
    <row r="254">
      <c r="A254" s="2" t="inlineStr">
        <is>
          <t>is_pl__restructuring_costs</t>
        </is>
      </c>
      <c r="B254" s="2" t="inlineStr">
        <is>
          <t>Restructuring Costs</t>
        </is>
      </c>
      <c r="C254" s="2" t="inlineStr">
        <is>
          <t>is_pl</t>
        </is>
      </c>
      <c r="D254" s="2" t="inlineStr">
        <is>
          <t>Extract the reported value for 'Restructuring Costs' from the stated section. Do not calculate or replace it from other rows, because the revised template does not designate this field as formula-driven.</t>
        </is>
      </c>
      <c r="E254" s="2" t="inlineStr">
        <is>
          <t>Restructuring Costs</t>
        </is>
      </c>
      <c r="F254" s="2" t="inlineStr">
        <is>
          <t>Restructuring Costs</t>
        </is>
      </c>
      <c r="G254" s="2" t="inlineStr">
        <is>
          <t>^Restructuring\s+Costs$</t>
        </is>
      </c>
      <c r="H254" s="2" t="inlineStr"/>
      <c r="I254" s="2" t="inlineStr">
        <is>
          <t>Amounts or disclosures explicitly reported for Restructuring Costs in Income Statement / is_pl.</t>
        </is>
      </c>
      <c r="J254" s="2" t="inlineStr">
        <is>
          <t>Do not substitute another section, period, entity scope, currency or unit; do not double count a parent and its children.</t>
        </is>
      </c>
      <c r="K254" s="2" t="inlineStr"/>
      <c r="L254" s="2" t="inlineStr">
        <is>
          <t>as_reported</t>
        </is>
      </c>
      <c r="M254" s="2" t="inlineStr">
        <is>
          <t>direct_exclusive</t>
        </is>
      </c>
      <c r="N254" s="2" t="n">
        <v>90</v>
      </c>
      <c r="O254" s="2" t="inlineStr">
        <is>
          <t>normalized_exact_then_regex</t>
        </is>
      </c>
      <c r="P254" s="3" t="inlineStr">
        <is>
          <t>extract</t>
        </is>
      </c>
      <c r="Q254" s="2" t="inlineStr">
        <is>
          <t>currency_amount</t>
        </is>
      </c>
      <c r="R254" s="2" t="inlineStr">
        <is>
          <t>period_flow</t>
        </is>
      </c>
      <c r="S254" s="2" t="inlineStr">
        <is>
          <t>allowed_with_provenance</t>
        </is>
      </c>
      <c r="T254" s="2" t="b">
        <v>0</v>
      </c>
      <c r="U254" s="2" t="b">
        <v>0</v>
      </c>
      <c r="V254" s="2" t="inlineStr"/>
      <c r="W254" s="2" t="inlineStr"/>
      <c r="X254" s="2" t="inlineStr">
        <is>
          <t>Decompose only from explicit face or note evidence; never fabricate a split.</t>
        </is>
      </c>
      <c r="Y254" s="2" t="inlineStr">
        <is>
          <t>Aggregate only mutually exclusive facts with identical period, scope, currency and unit.</t>
        </is>
      </c>
      <c r="Z254" s="2" t="inlineStr">
        <is>
          <t>Bind only to Income Statement / is_pl.</t>
        </is>
      </c>
      <c r="AA254" s="2" t="inlineStr"/>
      <c r="AB254" s="2" t="b">
        <v>1</v>
      </c>
      <c r="AC254" s="2" t="inlineStr"/>
      <c r="AD254" s="2" t="inlineStr">
        <is>
          <t>Exact field from Income Statement!A30; value cell B30.</t>
        </is>
      </c>
      <c r="AE254" s="2" t="inlineStr">
        <is>
          <t>Notes may support direct extraction or decomposition with provenance. Formula outputs must be derived only from template dependencies.</t>
        </is>
      </c>
      <c r="AF254" s="2" t="inlineStr"/>
      <c r="AG254" s="2" t="inlineStr">
        <is>
          <t>[]</t>
        </is>
      </c>
      <c r="AH254" s="2" t="inlineStr">
        <is>
          <t>Restructuring Costs</t>
        </is>
      </c>
      <c r="AI254" s="2" t="inlineStr"/>
      <c r="AJ254" s="2" t="inlineStr">
        <is>
          <t>{"template_sheet": "Income Statement", "template_row": 30, "template_cell": "B30", "template_value_or_formula": 45, "calculation_type": "reported_input", "dependencies": [], "source_template": "Copy of Output_CSV Template.xlsx"}</t>
        </is>
      </c>
    </row>
    <row r="255">
      <c r="A255" s="2" t="inlineStr">
        <is>
          <t>is_pl__asset_impairment_loss</t>
        </is>
      </c>
      <c r="B255" s="2" t="inlineStr">
        <is>
          <t>Asset impairment loss</t>
        </is>
      </c>
      <c r="C255" s="2" t="inlineStr">
        <is>
          <t>is_pl</t>
        </is>
      </c>
      <c r="D255" s="2" t="inlineStr">
        <is>
          <t>Extract the reported value for 'Asset impairment loss' from the stated section. Do not calculate or replace it from other rows, because the revised template does not designate this field as formula-driven.</t>
        </is>
      </c>
      <c r="E255" s="2" t="inlineStr">
        <is>
          <t>Asset impairment loss</t>
        </is>
      </c>
      <c r="F255" s="2" t="inlineStr">
        <is>
          <t>Asset impairment loss</t>
        </is>
      </c>
      <c r="G255" s="2" t="inlineStr">
        <is>
          <t>^Asset\s+impairment\s+loss$</t>
        </is>
      </c>
      <c r="H255" s="2" t="inlineStr"/>
      <c r="I255" s="2" t="inlineStr">
        <is>
          <t>Amounts or disclosures explicitly reported for Asset impairment loss in Income Statement / is_pl.</t>
        </is>
      </c>
      <c r="J255" s="2" t="inlineStr">
        <is>
          <t>Do not substitute another section, period, entity scope, currency or unit; do not double count a parent and its children.</t>
        </is>
      </c>
      <c r="K255" s="2" t="inlineStr"/>
      <c r="L255" s="2" t="inlineStr">
        <is>
          <t>as_reported</t>
        </is>
      </c>
      <c r="M255" s="2" t="inlineStr">
        <is>
          <t>direct_exclusive</t>
        </is>
      </c>
      <c r="N255" s="2" t="n">
        <v>90</v>
      </c>
      <c r="O255" s="2" t="inlineStr">
        <is>
          <t>normalized_exact_then_regex</t>
        </is>
      </c>
      <c r="P255" s="3" t="inlineStr">
        <is>
          <t>extract</t>
        </is>
      </c>
      <c r="Q255" s="2" t="inlineStr">
        <is>
          <t>currency_amount</t>
        </is>
      </c>
      <c r="R255" s="2" t="inlineStr">
        <is>
          <t>period_flow</t>
        </is>
      </c>
      <c r="S255" s="2" t="inlineStr">
        <is>
          <t>allowed_with_provenance</t>
        </is>
      </c>
      <c r="T255" s="2" t="b">
        <v>0</v>
      </c>
      <c r="U255" s="2" t="b">
        <v>0</v>
      </c>
      <c r="V255" s="2" t="inlineStr"/>
      <c r="W255" s="2" t="inlineStr"/>
      <c r="X255" s="2" t="inlineStr">
        <is>
          <t>Decompose only from explicit face or note evidence; never fabricate a split.</t>
        </is>
      </c>
      <c r="Y255" s="2" t="inlineStr">
        <is>
          <t>Aggregate only mutually exclusive facts with identical period, scope, currency and unit.</t>
        </is>
      </c>
      <c r="Z255" s="2" t="inlineStr">
        <is>
          <t>Bind only to Income Statement / is_pl.</t>
        </is>
      </c>
      <c r="AA255" s="2" t="inlineStr"/>
      <c r="AB255" s="2" t="b">
        <v>1</v>
      </c>
      <c r="AC255" s="2" t="inlineStr"/>
      <c r="AD255" s="2" t="inlineStr">
        <is>
          <t>Exact field from Income Statement!A31; value cell B31.</t>
        </is>
      </c>
      <c r="AE255" s="2" t="inlineStr">
        <is>
          <t>Notes may support direct extraction or decomposition with provenance. Formula outputs must be derived only from template dependencies.</t>
        </is>
      </c>
      <c r="AF255" s="2" t="inlineStr"/>
      <c r="AG255" s="2" t="inlineStr">
        <is>
          <t>[]</t>
        </is>
      </c>
      <c r="AH255" s="2" t="inlineStr">
        <is>
          <t>Asset impairment loss</t>
        </is>
      </c>
      <c r="AI255" s="2" t="inlineStr"/>
      <c r="AJ255" s="2" t="inlineStr">
        <is>
          <t>{"template_sheet": "Income Statement", "template_row": 31, "template_cell": "B31", "template_value_or_formula": 19, "calculation_type": "reported_input", "dependencies": [], "source_template": "Copy of Output_CSV Template.xlsx"}</t>
        </is>
      </c>
    </row>
    <row r="256">
      <c r="A256" s="2" t="inlineStr">
        <is>
          <t>is_pl__other_operating_expenses</t>
        </is>
      </c>
      <c r="B256" s="2" t="inlineStr">
        <is>
          <t>Other Operating Expenses</t>
        </is>
      </c>
      <c r="C256" s="2" t="inlineStr">
        <is>
          <t>is_pl</t>
        </is>
      </c>
      <c r="D256" s="2" t="inlineStr">
        <is>
          <t>Extract the reported value for 'Other Operating Expenses' from the stated section. Do not calculate or replace it from other rows, because the revised template does not designate this field as formula-driven.</t>
        </is>
      </c>
      <c r="E256" s="2" t="inlineStr">
        <is>
          <t>Other Operating Expenses</t>
        </is>
      </c>
      <c r="F256" s="2" t="inlineStr">
        <is>
          <t>Other Operating Expenses</t>
        </is>
      </c>
      <c r="G256" s="2" t="inlineStr">
        <is>
          <t>^Other\s+Operating\s+Expenses$</t>
        </is>
      </c>
      <c r="H256" s="2" t="inlineStr"/>
      <c r="I256" s="2" t="inlineStr">
        <is>
          <t>Amounts or disclosures explicitly reported for Other Operating Expenses in Income Statement / is_pl.</t>
        </is>
      </c>
      <c r="J256" s="2" t="inlineStr">
        <is>
          <t>Do not substitute another section, period, entity scope, currency or unit; do not double count a parent and its children.</t>
        </is>
      </c>
      <c r="K256" s="2" t="inlineStr"/>
      <c r="L256" s="2" t="inlineStr">
        <is>
          <t>as_reported</t>
        </is>
      </c>
      <c r="M256" s="2" t="inlineStr">
        <is>
          <t>direct_exclusive</t>
        </is>
      </c>
      <c r="N256" s="2" t="n">
        <v>90</v>
      </c>
      <c r="O256" s="2" t="inlineStr">
        <is>
          <t>normalized_exact_then_regex</t>
        </is>
      </c>
      <c r="P256" s="3" t="inlineStr">
        <is>
          <t>extract</t>
        </is>
      </c>
      <c r="Q256" s="2" t="inlineStr">
        <is>
          <t>currency_amount</t>
        </is>
      </c>
      <c r="R256" s="2" t="inlineStr">
        <is>
          <t>period_flow</t>
        </is>
      </c>
      <c r="S256" s="2" t="inlineStr">
        <is>
          <t>allowed_with_provenance</t>
        </is>
      </c>
      <c r="T256" s="2" t="b">
        <v>0</v>
      </c>
      <c r="U256" s="2" t="b">
        <v>0</v>
      </c>
      <c r="V256" s="2" t="inlineStr"/>
      <c r="W256" s="2" t="inlineStr"/>
      <c r="X256" s="2" t="inlineStr">
        <is>
          <t>Decompose only from explicit face or note evidence; never fabricate a split.</t>
        </is>
      </c>
      <c r="Y256" s="2" t="inlineStr">
        <is>
          <t>Aggregate only mutually exclusive facts with identical period, scope, currency and unit.</t>
        </is>
      </c>
      <c r="Z256" s="2" t="inlineStr">
        <is>
          <t>Bind only to Income Statement / is_pl.</t>
        </is>
      </c>
      <c r="AA256" s="2" t="inlineStr"/>
      <c r="AB256" s="2" t="b">
        <v>1</v>
      </c>
      <c r="AC256" s="2" t="inlineStr"/>
      <c r="AD256" s="2" t="inlineStr">
        <is>
          <t>Exact field from Income Statement!A32; value cell B32.</t>
        </is>
      </c>
      <c r="AE256" s="2" t="inlineStr">
        <is>
          <t>Notes may support direct extraction or decomposition with provenance. Formula outputs must be derived only from template dependencies.</t>
        </is>
      </c>
      <c r="AF256" s="2" t="inlineStr">
        <is>
          <t>{"mode": "no_balancing_plug", "negative_result": "review"}</t>
        </is>
      </c>
      <c r="AG256" s="2" t="inlineStr">
        <is>
          <t>[]</t>
        </is>
      </c>
      <c r="AH256" s="2" t="inlineStr">
        <is>
          <t>Other Operating Expenses</t>
        </is>
      </c>
      <c r="AI256" s="2" t="inlineStr"/>
      <c r="AJ256" s="2" t="inlineStr">
        <is>
          <t>{"template_sheet": "Income Statement", "template_row": 32, "template_cell": "B32", "template_value_or_formula": 36, "calculation_type": "reported_input", "dependencies": [], "source_template": "Copy of Output_CSV Template.xlsx"}</t>
        </is>
      </c>
    </row>
    <row r="257">
      <c r="A257" s="2" t="inlineStr">
        <is>
          <t>is_pl__commission_expenses_other_operating_exp</t>
        </is>
      </c>
      <c r="B257" s="2" t="inlineStr">
        <is>
          <t>Commission Expenses (Other Operating Exp)</t>
        </is>
      </c>
      <c r="C257" s="2" t="inlineStr">
        <is>
          <t>is_pl</t>
        </is>
      </c>
      <c r="D257" s="2" t="inlineStr">
        <is>
          <t>Extract the reported value for 'Commission Expenses (Other Operating Exp)' from the stated section. Do not calculate or replace it from other rows, because the revised template does not designate this field as formula-driven.</t>
        </is>
      </c>
      <c r="E257" s="2" t="inlineStr">
        <is>
          <t>Commission Expenses (Other Operating Exp)</t>
        </is>
      </c>
      <c r="F257" s="2" t="inlineStr">
        <is>
          <t>Commission Expenses (Other Operating Exp)</t>
        </is>
      </c>
      <c r="G257" s="2" t="inlineStr">
        <is>
          <t>^Commission\s+Expenses\s+\(Other\s+Operating\s+Exp\)$</t>
        </is>
      </c>
      <c r="H257" s="2" t="inlineStr"/>
      <c r="I257" s="2" t="inlineStr">
        <is>
          <t>Amounts or disclosures explicitly reported for Commission Expenses (Other Operating Exp) in Income Statement / is_pl.</t>
        </is>
      </c>
      <c r="J257" s="2" t="inlineStr">
        <is>
          <t>Do not substitute another section, period, entity scope, currency or unit; do not double count a parent and its children.</t>
        </is>
      </c>
      <c r="K257" s="2" t="inlineStr"/>
      <c r="L257" s="2" t="inlineStr">
        <is>
          <t>as_reported</t>
        </is>
      </c>
      <c r="M257" s="2" t="inlineStr">
        <is>
          <t>direct_exclusive</t>
        </is>
      </c>
      <c r="N257" s="2" t="n">
        <v>90</v>
      </c>
      <c r="O257" s="2" t="inlineStr">
        <is>
          <t>normalized_exact_then_regex</t>
        </is>
      </c>
      <c r="P257" s="3" t="inlineStr">
        <is>
          <t>extract</t>
        </is>
      </c>
      <c r="Q257" s="2" t="inlineStr">
        <is>
          <t>currency_amount</t>
        </is>
      </c>
      <c r="R257" s="2" t="inlineStr">
        <is>
          <t>period_flow</t>
        </is>
      </c>
      <c r="S257" s="2" t="inlineStr">
        <is>
          <t>allowed_with_provenance</t>
        </is>
      </c>
      <c r="T257" s="2" t="b">
        <v>0</v>
      </c>
      <c r="U257" s="2" t="b">
        <v>0</v>
      </c>
      <c r="V257" s="2" t="inlineStr"/>
      <c r="W257" s="2" t="inlineStr"/>
      <c r="X257" s="2" t="inlineStr">
        <is>
          <t>Decompose only from explicit face or note evidence; never fabricate a split.</t>
        </is>
      </c>
      <c r="Y257" s="2" t="inlineStr">
        <is>
          <t>Aggregate only mutually exclusive facts with identical period, scope, currency and unit.</t>
        </is>
      </c>
      <c r="Z257" s="2" t="inlineStr">
        <is>
          <t>Bind only to Income Statement / is_pl.</t>
        </is>
      </c>
      <c r="AA257" s="2" t="inlineStr"/>
      <c r="AB257" s="2" t="b">
        <v>1</v>
      </c>
      <c r="AC257" s="2" t="inlineStr"/>
      <c r="AD257" s="2" t="inlineStr">
        <is>
          <t>Exact field from Income Statement!A33; value cell B33.</t>
        </is>
      </c>
      <c r="AE257" s="2" t="inlineStr">
        <is>
          <t>Notes may support direct extraction or decomposition with provenance. Formula outputs must be derived only from template dependencies.</t>
        </is>
      </c>
      <c r="AF257" s="2" t="inlineStr"/>
      <c r="AG257" s="2" t="inlineStr">
        <is>
          <t>[]</t>
        </is>
      </c>
      <c r="AH257" s="2" t="inlineStr">
        <is>
          <t>Commission Expenses (Other Operating Exp)</t>
        </is>
      </c>
      <c r="AI257" s="2" t="inlineStr"/>
      <c r="AJ257" s="2" t="inlineStr">
        <is>
          <t>{"template_sheet": "Income Statement", "template_row": 33, "template_cell": "B33", "template_value_or_formula": 10, "calculation_type": "reported_input", "dependencies": [], "source_template": "Copy of Output_CSV Template.xlsx"}</t>
        </is>
      </c>
    </row>
    <row r="258">
      <c r="A258" s="2" t="inlineStr">
        <is>
          <t>is_pl__commission_expenses_cost_of_sales</t>
        </is>
      </c>
      <c r="B258" s="2" t="inlineStr">
        <is>
          <t>Commission Expenses (Cost of Sales)</t>
        </is>
      </c>
      <c r="C258" s="2" t="inlineStr">
        <is>
          <t>is_pl</t>
        </is>
      </c>
      <c r="D258" s="2" t="inlineStr">
        <is>
          <t>Extract the reported value for 'Commission Expenses (Cost of Sales)' from the stated section. Do not calculate or replace it from other rows, because the revised template does not designate this field as formula-driven.</t>
        </is>
      </c>
      <c r="E258" s="2" t="inlineStr">
        <is>
          <t>Commission Expenses (Cost of Sales)</t>
        </is>
      </c>
      <c r="F258" s="2" t="inlineStr">
        <is>
          <t>Commission Expenses (Cost of Sales)</t>
        </is>
      </c>
      <c r="G258" s="2" t="inlineStr">
        <is>
          <t>^Commission\s+Expenses\s+\(Cost\s+of\s+Sales\)$</t>
        </is>
      </c>
      <c r="H258" s="2" t="inlineStr"/>
      <c r="I258" s="2" t="inlineStr">
        <is>
          <t>Amounts or disclosures explicitly reported for Commission Expenses (Cost of Sales) in Income Statement / is_pl.</t>
        </is>
      </c>
      <c r="J258" s="2" t="inlineStr">
        <is>
          <t>Do not substitute another section, period, entity scope, currency or unit; do not double count a parent and its children.</t>
        </is>
      </c>
      <c r="K258" s="2" t="inlineStr"/>
      <c r="L258" s="2" t="inlineStr">
        <is>
          <t>as_reported</t>
        </is>
      </c>
      <c r="M258" s="2" t="inlineStr">
        <is>
          <t>direct_exclusive</t>
        </is>
      </c>
      <c r="N258" s="2" t="n">
        <v>90</v>
      </c>
      <c r="O258" s="2" t="inlineStr">
        <is>
          <t>normalized_exact_then_regex</t>
        </is>
      </c>
      <c r="P258" s="3" t="inlineStr">
        <is>
          <t>extract</t>
        </is>
      </c>
      <c r="Q258" s="2" t="inlineStr">
        <is>
          <t>currency_amount</t>
        </is>
      </c>
      <c r="R258" s="2" t="inlineStr">
        <is>
          <t>period_flow</t>
        </is>
      </c>
      <c r="S258" s="2" t="inlineStr">
        <is>
          <t>allowed_with_provenance</t>
        </is>
      </c>
      <c r="T258" s="2" t="b">
        <v>0</v>
      </c>
      <c r="U258" s="2" t="b">
        <v>0</v>
      </c>
      <c r="V258" s="2" t="inlineStr"/>
      <c r="W258" s="2" t="inlineStr"/>
      <c r="X258" s="2" t="inlineStr">
        <is>
          <t>Decompose only from explicit face or note evidence; never fabricate a split.</t>
        </is>
      </c>
      <c r="Y258" s="2" t="inlineStr">
        <is>
          <t>Aggregate only mutually exclusive facts with identical period, scope, currency and unit.</t>
        </is>
      </c>
      <c r="Z258" s="2" t="inlineStr">
        <is>
          <t>Bind only to Income Statement / is_pl.</t>
        </is>
      </c>
      <c r="AA258" s="2" t="inlineStr"/>
      <c r="AB258" s="2" t="b">
        <v>1</v>
      </c>
      <c r="AC258" s="2" t="inlineStr"/>
      <c r="AD258" s="2" t="inlineStr">
        <is>
          <t>Exact field from Income Statement!A34; value cell B34.</t>
        </is>
      </c>
      <c r="AE258" s="2" t="inlineStr">
        <is>
          <t>Notes may support direct extraction or decomposition with provenance. Formula outputs must be derived only from template dependencies.</t>
        </is>
      </c>
      <c r="AF258" s="2" t="inlineStr"/>
      <c r="AG258" s="2" t="inlineStr">
        <is>
          <t>[]</t>
        </is>
      </c>
      <c r="AH258" s="2" t="inlineStr">
        <is>
          <t>Commission Expenses (Cost of Sales)</t>
        </is>
      </c>
      <c r="AI258" s="2" t="inlineStr"/>
      <c r="AJ258" s="2" t="inlineStr">
        <is>
          <t>{"template_sheet": "Income Statement", "template_row": 34, "template_cell": "B34", "template_value_or_formula": 27, "calculation_type": "reported_input", "dependencies": [], "source_template": "Copy of Output_CSV Template.xlsx"}</t>
        </is>
      </c>
    </row>
    <row r="259">
      <c r="A259" s="2" t="inlineStr">
        <is>
          <t>is_pl__bad_debt_expense_other_receivables</t>
        </is>
      </c>
      <c r="B259" s="2" t="inlineStr">
        <is>
          <t>Bad Debt Expense (Other Receivables)</t>
        </is>
      </c>
      <c r="C259" s="2" t="inlineStr">
        <is>
          <t>is_pl</t>
        </is>
      </c>
      <c r="D259" s="2" t="inlineStr">
        <is>
          <t>Extract the reported value for 'Bad Debt Expense (Other Receivables)' from the stated section. Do not calculate or replace it from other rows, because the revised template does not designate this field as formula-driven.</t>
        </is>
      </c>
      <c r="E259" s="2" t="inlineStr">
        <is>
          <t>Bad Debt Expense (Other Receivables)</t>
        </is>
      </c>
      <c r="F259" s="2" t="inlineStr">
        <is>
          <t>Bad Debt Expense (Other Receivables)</t>
        </is>
      </c>
      <c r="G259" s="2" t="inlineStr">
        <is>
          <t>^Bad\s+Debt\s+Expense\s+\(Other\s+Receivables\)$</t>
        </is>
      </c>
      <c r="H259" s="2" t="inlineStr"/>
      <c r="I259" s="2" t="inlineStr">
        <is>
          <t>Amounts or disclosures explicitly reported for Bad Debt Expense (Other Receivables) in Income Statement / is_pl.</t>
        </is>
      </c>
      <c r="J259" s="2" t="inlineStr">
        <is>
          <t>Do not substitute another section, period, entity scope, currency or unit; do not double count a parent and its children.</t>
        </is>
      </c>
      <c r="K259" s="2" t="inlineStr"/>
      <c r="L259" s="2" t="inlineStr">
        <is>
          <t>as_reported</t>
        </is>
      </c>
      <c r="M259" s="2" t="inlineStr">
        <is>
          <t>direct_exclusive</t>
        </is>
      </c>
      <c r="N259" s="2" t="n">
        <v>90</v>
      </c>
      <c r="O259" s="2" t="inlineStr">
        <is>
          <t>normalized_exact_then_regex</t>
        </is>
      </c>
      <c r="P259" s="3" t="inlineStr">
        <is>
          <t>extract</t>
        </is>
      </c>
      <c r="Q259" s="2" t="inlineStr">
        <is>
          <t>currency_amount</t>
        </is>
      </c>
      <c r="R259" s="2" t="inlineStr">
        <is>
          <t>period_flow</t>
        </is>
      </c>
      <c r="S259" s="2" t="inlineStr">
        <is>
          <t>allowed_with_provenance</t>
        </is>
      </c>
      <c r="T259" s="2" t="b">
        <v>0</v>
      </c>
      <c r="U259" s="2" t="b">
        <v>0</v>
      </c>
      <c r="V259" s="2" t="inlineStr"/>
      <c r="W259" s="2" t="inlineStr"/>
      <c r="X259" s="2" t="inlineStr">
        <is>
          <t>Decompose only from explicit face or note evidence; never fabricate a split.</t>
        </is>
      </c>
      <c r="Y259" s="2" t="inlineStr">
        <is>
          <t>Aggregate only mutually exclusive facts with identical period, scope, currency and unit.</t>
        </is>
      </c>
      <c r="Z259" s="2" t="inlineStr">
        <is>
          <t>Bind only to Income Statement / is_pl.</t>
        </is>
      </c>
      <c r="AA259" s="2" t="inlineStr"/>
      <c r="AB259" s="2" t="b">
        <v>1</v>
      </c>
      <c r="AC259" s="2" t="inlineStr"/>
      <c r="AD259" s="2" t="inlineStr">
        <is>
          <t>Exact field from Income Statement!A35; value cell B35.</t>
        </is>
      </c>
      <c r="AE259" s="2" t="inlineStr">
        <is>
          <t>Notes may support direct extraction or decomposition with provenance. Formula outputs must be derived only from template dependencies.</t>
        </is>
      </c>
      <c r="AF259" s="2" t="inlineStr"/>
      <c r="AG259" s="2" t="inlineStr">
        <is>
          <t>[]</t>
        </is>
      </c>
      <c r="AH259" s="2" t="inlineStr">
        <is>
          <t>Bad Debt Expense (Other Receivables)</t>
        </is>
      </c>
      <c r="AI259" s="2" t="inlineStr"/>
      <c r="AJ259" s="2" t="inlineStr">
        <is>
          <t>{"template_sheet": "Income Statement", "template_row": 35, "template_cell": "B35", "template_value_or_formula": 44, "calculation_type": "reported_input", "dependencies": [], "source_template": "Copy of Output_CSV Template.xlsx"}</t>
        </is>
      </c>
    </row>
    <row r="260">
      <c r="A260" s="2" t="inlineStr">
        <is>
          <t>is_pl__bad_debt_expense_trade_and_other_receivables</t>
        </is>
      </c>
      <c r="B260" s="2" t="inlineStr">
        <is>
          <t>Bad Debt Expense (Trade and Other Receivables)</t>
        </is>
      </c>
      <c r="C260" s="2" t="inlineStr">
        <is>
          <t>is_pl</t>
        </is>
      </c>
      <c r="D260" s="2" t="inlineStr">
        <is>
          <t>Extract the reported value for 'Bad Debt Expense (Trade and Other Receivables)' from the stated section. Do not calculate or replace it from other rows, because the revised template does not designate this field as formula-driven.</t>
        </is>
      </c>
      <c r="E260" s="2" t="inlineStr">
        <is>
          <t>Bad Debt Expense (Trade and Other Receivables)</t>
        </is>
      </c>
      <c r="F260" s="2" t="inlineStr">
        <is>
          <t>Bad Debt Expense (Trade and Other Receivables)</t>
        </is>
      </c>
      <c r="G260" s="2" t="inlineStr">
        <is>
          <t>^Bad\s+Debt\s+Expense\s+\(Trade\s+and\s+Other\s+Receivables\)$</t>
        </is>
      </c>
      <c r="H260" s="2" t="inlineStr"/>
      <c r="I260" s="2" t="inlineStr">
        <is>
          <t>Amounts or disclosures explicitly reported for Bad Debt Expense (Trade and Other Receivables) in Income Statement / is_pl.</t>
        </is>
      </c>
      <c r="J260" s="2" t="inlineStr">
        <is>
          <t>Do not substitute another section, period, entity scope, currency or unit; do not double count a parent and its children.</t>
        </is>
      </c>
      <c r="K260" s="2" t="inlineStr"/>
      <c r="L260" s="2" t="inlineStr">
        <is>
          <t>as_reported</t>
        </is>
      </c>
      <c r="M260" s="2" t="inlineStr">
        <is>
          <t>direct_exclusive</t>
        </is>
      </c>
      <c r="N260" s="2" t="n">
        <v>90</v>
      </c>
      <c r="O260" s="2" t="inlineStr">
        <is>
          <t>normalized_exact_then_regex</t>
        </is>
      </c>
      <c r="P260" s="3" t="inlineStr">
        <is>
          <t>extract</t>
        </is>
      </c>
      <c r="Q260" s="2" t="inlineStr">
        <is>
          <t>currency_amount</t>
        </is>
      </c>
      <c r="R260" s="2" t="inlineStr">
        <is>
          <t>period_flow</t>
        </is>
      </c>
      <c r="S260" s="2" t="inlineStr">
        <is>
          <t>allowed_with_provenance</t>
        </is>
      </c>
      <c r="T260" s="2" t="b">
        <v>0</v>
      </c>
      <c r="U260" s="2" t="b">
        <v>0</v>
      </c>
      <c r="V260" s="2" t="inlineStr"/>
      <c r="W260" s="2" t="inlineStr"/>
      <c r="X260" s="2" t="inlineStr">
        <is>
          <t>Decompose only from explicit face or note evidence; never fabricate a split.</t>
        </is>
      </c>
      <c r="Y260" s="2" t="inlineStr">
        <is>
          <t>Aggregate only mutually exclusive facts with identical period, scope, currency and unit.</t>
        </is>
      </c>
      <c r="Z260" s="2" t="inlineStr">
        <is>
          <t>Bind only to Income Statement / is_pl.</t>
        </is>
      </c>
      <c r="AA260" s="2" t="inlineStr"/>
      <c r="AB260" s="2" t="b">
        <v>1</v>
      </c>
      <c r="AC260" s="2" t="inlineStr"/>
      <c r="AD260" s="2" t="inlineStr">
        <is>
          <t>Exact field from Income Statement!A36; value cell B36.</t>
        </is>
      </c>
      <c r="AE260" s="2" t="inlineStr">
        <is>
          <t>Notes may support direct extraction or decomposition with provenance. Formula outputs must be derived only from template dependencies.</t>
        </is>
      </c>
      <c r="AF260" s="2" t="inlineStr"/>
      <c r="AG260" s="2" t="inlineStr">
        <is>
          <t>[]</t>
        </is>
      </c>
      <c r="AH260" s="2" t="inlineStr">
        <is>
          <t>Bad Debt Expense (Trade and Other Receivables)</t>
        </is>
      </c>
      <c r="AI260" s="2" t="inlineStr"/>
      <c r="AJ260" s="2" t="inlineStr">
        <is>
          <t>{"template_sheet": "Income Statement", "template_row": 36, "template_cell": "B36", "template_value_or_formula": 18, "calculation_type": "reported_input", "dependencies": [], "source_template": "Copy of Output_CSV Template.xlsx"}</t>
        </is>
      </c>
    </row>
    <row r="261">
      <c r="A261" s="2" t="inlineStr">
        <is>
          <t>is_pl__bad_debt_expense</t>
        </is>
      </c>
      <c r="B261" s="2" t="inlineStr">
        <is>
          <t>Bad Debt Expense</t>
        </is>
      </c>
      <c r="C261" s="2" t="inlineStr">
        <is>
          <t>is_pl</t>
        </is>
      </c>
      <c r="D261" s="2" t="inlineStr">
        <is>
          <t>Extract the reported value for 'Bad Debt Expense' from the stated section. Do not calculate or replace it from other rows, because the revised template does not designate this field as formula-driven.</t>
        </is>
      </c>
      <c r="E261" s="2" t="inlineStr">
        <is>
          <t>Bad Debt Expense</t>
        </is>
      </c>
      <c r="F261" s="2" t="inlineStr">
        <is>
          <t>Bad Debt Expense</t>
        </is>
      </c>
      <c r="G261" s="2" t="inlineStr">
        <is>
          <t>^Bad\s+Debt\s+Expense$</t>
        </is>
      </c>
      <c r="H261" s="2" t="inlineStr"/>
      <c r="I261" s="2" t="inlineStr">
        <is>
          <t>Amounts or disclosures explicitly reported for Bad Debt Expense in Income Statement / is_pl.</t>
        </is>
      </c>
      <c r="J261" s="2" t="inlineStr">
        <is>
          <t>Do not substitute another section, period, entity scope, currency or unit; do not double count a parent and its children.</t>
        </is>
      </c>
      <c r="K261" s="2" t="inlineStr"/>
      <c r="L261" s="2" t="inlineStr">
        <is>
          <t>as_reported</t>
        </is>
      </c>
      <c r="M261" s="2" t="inlineStr">
        <is>
          <t>direct_exclusive</t>
        </is>
      </c>
      <c r="N261" s="2" t="n">
        <v>90</v>
      </c>
      <c r="O261" s="2" t="inlineStr">
        <is>
          <t>normalized_exact_then_regex</t>
        </is>
      </c>
      <c r="P261" s="3" t="inlineStr">
        <is>
          <t>extract</t>
        </is>
      </c>
      <c r="Q261" s="2" t="inlineStr">
        <is>
          <t>currency_amount</t>
        </is>
      </c>
      <c r="R261" s="2" t="inlineStr">
        <is>
          <t>period_flow</t>
        </is>
      </c>
      <c r="S261" s="2" t="inlineStr">
        <is>
          <t>allowed_with_provenance</t>
        </is>
      </c>
      <c r="T261" s="2" t="b">
        <v>0</v>
      </c>
      <c r="U261" s="2" t="b">
        <v>0</v>
      </c>
      <c r="V261" s="2" t="inlineStr"/>
      <c r="W261" s="2" t="inlineStr"/>
      <c r="X261" s="2" t="inlineStr">
        <is>
          <t>Decompose only from explicit face or note evidence; never fabricate a split.</t>
        </is>
      </c>
      <c r="Y261" s="2" t="inlineStr">
        <is>
          <t>Aggregate only mutually exclusive facts with identical period, scope, currency and unit.</t>
        </is>
      </c>
      <c r="Z261" s="2" t="inlineStr">
        <is>
          <t>Bind only to Income Statement / is_pl.</t>
        </is>
      </c>
      <c r="AA261" s="2" t="inlineStr"/>
      <c r="AB261" s="2" t="b">
        <v>1</v>
      </c>
      <c r="AC261" s="2" t="inlineStr"/>
      <c r="AD261" s="2" t="inlineStr">
        <is>
          <t>Exact field from Income Statement!A37; value cell B37.</t>
        </is>
      </c>
      <c r="AE261" s="2" t="inlineStr">
        <is>
          <t>Notes may support direct extraction or decomposition with provenance. Formula outputs must be derived only from template dependencies.</t>
        </is>
      </c>
      <c r="AF261" s="2" t="inlineStr"/>
      <c r="AG261" s="2" t="inlineStr">
        <is>
          <t>[]</t>
        </is>
      </c>
      <c r="AH261" s="2" t="inlineStr">
        <is>
          <t>Bad Debt Expense</t>
        </is>
      </c>
      <c r="AI261" s="2" t="inlineStr"/>
      <c r="AJ261" s="2" t="inlineStr">
        <is>
          <t>{"template_sheet": "Income Statement", "template_row": 37, "template_cell": "B37", "template_value_or_formula": 35, "calculation_type": "reported_input", "dependencies": [], "source_template": "Copy of Output_CSV Template.xlsx"}</t>
        </is>
      </c>
    </row>
    <row r="262">
      <c r="A262" s="2" t="inlineStr">
        <is>
          <t>is_pl__prov_for_retirement_costs</t>
        </is>
      </c>
      <c r="B262" s="2" t="inlineStr">
        <is>
          <t>Prov for Retirement Costs</t>
        </is>
      </c>
      <c r="C262" s="2" t="inlineStr">
        <is>
          <t>is_pl</t>
        </is>
      </c>
      <c r="D262" s="2" t="inlineStr">
        <is>
          <t>Extract the reported value for 'Prov for Retirement Costs' from the stated section. Do not calculate or replace it from other rows, because the revised template does not designate this field as formula-driven.</t>
        </is>
      </c>
      <c r="E262" s="2" t="inlineStr">
        <is>
          <t>Prov for Retirement Costs</t>
        </is>
      </c>
      <c r="F262" s="2" t="inlineStr">
        <is>
          <t>Prov for Retirement Costs</t>
        </is>
      </c>
      <c r="G262" s="2" t="inlineStr">
        <is>
          <t>^Prov\s+for\s+Retirement\s+Costs$</t>
        </is>
      </c>
      <c r="H262" s="2" t="inlineStr"/>
      <c r="I262" s="2" t="inlineStr">
        <is>
          <t>Amounts or disclosures explicitly reported for Prov for Retirement Costs in Income Statement / is_pl.</t>
        </is>
      </c>
      <c r="J262" s="2" t="inlineStr">
        <is>
          <t>Do not substitute another section, period, entity scope, currency or unit; do not double count a parent and its children.</t>
        </is>
      </c>
      <c r="K262" s="2" t="inlineStr"/>
      <c r="L262" s="2" t="inlineStr">
        <is>
          <t>as_reported</t>
        </is>
      </c>
      <c r="M262" s="2" t="inlineStr">
        <is>
          <t>direct_exclusive</t>
        </is>
      </c>
      <c r="N262" s="2" t="n">
        <v>90</v>
      </c>
      <c r="O262" s="2" t="inlineStr">
        <is>
          <t>normalized_exact_then_regex</t>
        </is>
      </c>
      <c r="P262" s="3" t="inlineStr">
        <is>
          <t>extract</t>
        </is>
      </c>
      <c r="Q262" s="2" t="inlineStr">
        <is>
          <t>currency_amount</t>
        </is>
      </c>
      <c r="R262" s="2" t="inlineStr">
        <is>
          <t>period_flow</t>
        </is>
      </c>
      <c r="S262" s="2" t="inlineStr">
        <is>
          <t>allowed_with_provenance</t>
        </is>
      </c>
      <c r="T262" s="2" t="b">
        <v>0</v>
      </c>
      <c r="U262" s="2" t="b">
        <v>0</v>
      </c>
      <c r="V262" s="2" t="inlineStr"/>
      <c r="W262" s="2" t="inlineStr"/>
      <c r="X262" s="2" t="inlineStr">
        <is>
          <t>Decompose only from explicit face or note evidence; never fabricate a split.</t>
        </is>
      </c>
      <c r="Y262" s="2" t="inlineStr">
        <is>
          <t>Aggregate only mutually exclusive facts with identical period, scope, currency and unit.</t>
        </is>
      </c>
      <c r="Z262" s="2" t="inlineStr">
        <is>
          <t>Bind only to Income Statement / is_pl.</t>
        </is>
      </c>
      <c r="AA262" s="2" t="inlineStr"/>
      <c r="AB262" s="2" t="b">
        <v>1</v>
      </c>
      <c r="AC262" s="2" t="inlineStr"/>
      <c r="AD262" s="2" t="inlineStr">
        <is>
          <t>Exact field from Income Statement!A38; value cell B38.</t>
        </is>
      </c>
      <c r="AE262" s="2" t="inlineStr">
        <is>
          <t>Notes may support direct extraction or decomposition with provenance. Formula outputs must be derived only from template dependencies.</t>
        </is>
      </c>
      <c r="AF262" s="2" t="inlineStr"/>
      <c r="AG262" s="2" t="inlineStr">
        <is>
          <t>[]</t>
        </is>
      </c>
      <c r="AH262" s="2" t="inlineStr">
        <is>
          <t>Prov for Retirement Costs</t>
        </is>
      </c>
      <c r="AI262" s="2" t="inlineStr"/>
      <c r="AJ262" s="2" t="inlineStr">
        <is>
          <t>{"template_sheet": "Income Statement", "template_row": 38, "template_cell": "B38", "template_value_or_formula": 9, "calculation_type": "reported_input", "dependencies": [], "source_template": "Copy of Output_CSV Template.xlsx"}</t>
        </is>
      </c>
    </row>
    <row r="263">
      <c r="A263" s="2" t="inlineStr">
        <is>
          <t>is_pl__share_option_costs</t>
        </is>
      </c>
      <c r="B263" s="2" t="inlineStr">
        <is>
          <t>Share Option Costs</t>
        </is>
      </c>
      <c r="C263" s="2" t="inlineStr">
        <is>
          <t>is_pl</t>
        </is>
      </c>
      <c r="D263" s="2" t="inlineStr">
        <is>
          <t>Extract the reported value for 'Share Option Costs' from the stated section. Do not calculate or replace it from other rows, because the revised template does not designate this field as formula-driven.</t>
        </is>
      </c>
      <c r="E263" s="2" t="inlineStr">
        <is>
          <t>Share Option Costs</t>
        </is>
      </c>
      <c r="F263" s="2" t="inlineStr">
        <is>
          <t>Share Option Costs</t>
        </is>
      </c>
      <c r="G263" s="2" t="inlineStr">
        <is>
          <t>^Share\s+Option\s+Costs$</t>
        </is>
      </c>
      <c r="H263" s="2" t="inlineStr"/>
      <c r="I263" s="2" t="inlineStr">
        <is>
          <t>Amounts or disclosures explicitly reported for Share Option Costs in Income Statement / is_pl.</t>
        </is>
      </c>
      <c r="J263" s="2" t="inlineStr">
        <is>
          <t>Do not substitute another section, period, entity scope, currency or unit; do not double count a parent and its children.</t>
        </is>
      </c>
      <c r="K263" s="2" t="inlineStr"/>
      <c r="L263" s="2" t="inlineStr">
        <is>
          <t>as_reported</t>
        </is>
      </c>
      <c r="M263" s="2" t="inlineStr">
        <is>
          <t>direct_exclusive</t>
        </is>
      </c>
      <c r="N263" s="2" t="n">
        <v>90</v>
      </c>
      <c r="O263" s="2" t="inlineStr">
        <is>
          <t>normalized_exact_then_regex</t>
        </is>
      </c>
      <c r="P263" s="3" t="inlineStr">
        <is>
          <t>extract</t>
        </is>
      </c>
      <c r="Q263" s="2" t="inlineStr">
        <is>
          <t>currency_amount</t>
        </is>
      </c>
      <c r="R263" s="2" t="inlineStr">
        <is>
          <t>period_flow</t>
        </is>
      </c>
      <c r="S263" s="2" t="inlineStr">
        <is>
          <t>allowed_with_provenance</t>
        </is>
      </c>
      <c r="T263" s="2" t="b">
        <v>0</v>
      </c>
      <c r="U263" s="2" t="b">
        <v>0</v>
      </c>
      <c r="V263" s="2" t="inlineStr"/>
      <c r="W263" s="2" t="inlineStr"/>
      <c r="X263" s="2" t="inlineStr">
        <is>
          <t>Decompose only from explicit face or note evidence; never fabricate a split.</t>
        </is>
      </c>
      <c r="Y263" s="2" t="inlineStr">
        <is>
          <t>Aggregate only mutually exclusive facts with identical period, scope, currency and unit.</t>
        </is>
      </c>
      <c r="Z263" s="2" t="inlineStr">
        <is>
          <t>Bind only to Income Statement / is_pl.</t>
        </is>
      </c>
      <c r="AA263" s="2" t="inlineStr"/>
      <c r="AB263" s="2" t="b">
        <v>1</v>
      </c>
      <c r="AC263" s="2" t="inlineStr"/>
      <c r="AD263" s="2" t="inlineStr">
        <is>
          <t>Exact field from Income Statement!A39; value cell B39.</t>
        </is>
      </c>
      <c r="AE263" s="2" t="inlineStr">
        <is>
          <t>Notes may support direct extraction or decomposition with provenance. Formula outputs must be derived only from template dependencies.</t>
        </is>
      </c>
      <c r="AF263" s="2" t="inlineStr"/>
      <c r="AG263" s="2" t="inlineStr">
        <is>
          <t>[]</t>
        </is>
      </c>
      <c r="AH263" s="2" t="inlineStr">
        <is>
          <t>Share Option Costs</t>
        </is>
      </c>
      <c r="AI263" s="2" t="inlineStr"/>
      <c r="AJ263" s="2" t="inlineStr">
        <is>
          <t>{"template_sheet": "Income Statement", "template_row": 39, "template_cell": "B39", "template_value_or_formula": 26, "calculation_type": "reported_input", "dependencies": [], "source_template": "Copy of Output_CSV Template.xlsx"}</t>
        </is>
      </c>
    </row>
    <row r="264">
      <c r="A264" s="2" t="inlineStr">
        <is>
          <t>is_pl__other_taxes</t>
        </is>
      </c>
      <c r="B264" s="2" t="inlineStr">
        <is>
          <t>Other Taxes</t>
        </is>
      </c>
      <c r="C264" s="2" t="inlineStr">
        <is>
          <t>is_pl</t>
        </is>
      </c>
      <c r="D264" s="2" t="inlineStr">
        <is>
          <t>Extract the reported value for 'Other Taxes' from the stated section. Do not calculate or replace it from other rows, because the revised template does not designate this field as formula-driven.</t>
        </is>
      </c>
      <c r="E264" s="2" t="inlineStr">
        <is>
          <t>Other Taxes</t>
        </is>
      </c>
      <c r="F264" s="2" t="inlineStr">
        <is>
          <t>Other Taxes</t>
        </is>
      </c>
      <c r="G264" s="2" t="inlineStr">
        <is>
          <t>^Other\s+Taxes$</t>
        </is>
      </c>
      <c r="H264" s="2" t="inlineStr"/>
      <c r="I264" s="2" t="inlineStr">
        <is>
          <t>Amounts or disclosures explicitly reported for Other Taxes in Income Statement / is_pl.</t>
        </is>
      </c>
      <c r="J264" s="2" t="inlineStr">
        <is>
          <t>Do not substitute another section, period, entity scope, currency or unit; do not double count a parent and its children.</t>
        </is>
      </c>
      <c r="K264" s="2" t="inlineStr"/>
      <c r="L264" s="2" t="inlineStr">
        <is>
          <t>as_reported</t>
        </is>
      </c>
      <c r="M264" s="2" t="inlineStr">
        <is>
          <t>direct_exclusive</t>
        </is>
      </c>
      <c r="N264" s="2" t="n">
        <v>90</v>
      </c>
      <c r="O264" s="2" t="inlineStr">
        <is>
          <t>normalized_exact_then_regex</t>
        </is>
      </c>
      <c r="P264" s="3" t="inlineStr">
        <is>
          <t>extract</t>
        </is>
      </c>
      <c r="Q264" s="2" t="inlineStr">
        <is>
          <t>currency_amount</t>
        </is>
      </c>
      <c r="R264" s="2" t="inlineStr">
        <is>
          <t>period_flow</t>
        </is>
      </c>
      <c r="S264" s="2" t="inlineStr">
        <is>
          <t>allowed_with_provenance</t>
        </is>
      </c>
      <c r="T264" s="2" t="b">
        <v>0</v>
      </c>
      <c r="U264" s="2" t="b">
        <v>0</v>
      </c>
      <c r="V264" s="2" t="inlineStr"/>
      <c r="W264" s="2" t="inlineStr"/>
      <c r="X264" s="2" t="inlineStr">
        <is>
          <t>Decompose only from explicit face or note evidence; never fabricate a split.</t>
        </is>
      </c>
      <c r="Y264" s="2" t="inlineStr">
        <is>
          <t>Aggregate only mutually exclusive facts with identical period, scope, currency and unit.</t>
        </is>
      </c>
      <c r="Z264" s="2" t="inlineStr">
        <is>
          <t>Bind only to Income Statement / is_pl.</t>
        </is>
      </c>
      <c r="AA264" s="2" t="inlineStr"/>
      <c r="AB264" s="2" t="b">
        <v>1</v>
      </c>
      <c r="AC264" s="2" t="inlineStr"/>
      <c r="AD264" s="2" t="inlineStr">
        <is>
          <t>Exact field from Income Statement!A40; value cell B40.</t>
        </is>
      </c>
      <c r="AE264" s="2" t="inlineStr">
        <is>
          <t>Notes may support direct extraction or decomposition with provenance. Formula outputs must be derived only from template dependencies.</t>
        </is>
      </c>
      <c r="AF264" s="2" t="inlineStr">
        <is>
          <t>{"mode": "no_balancing_plug", "negative_result": "review"}</t>
        </is>
      </c>
      <c r="AG264" s="2" t="inlineStr">
        <is>
          <t>[]</t>
        </is>
      </c>
      <c r="AH264" s="2" t="inlineStr">
        <is>
          <t>Other Taxes</t>
        </is>
      </c>
      <c r="AI264" s="2" t="inlineStr"/>
      <c r="AJ264" s="2" t="inlineStr">
        <is>
          <t>{"template_sheet": "Income Statement", "template_row": 40, "template_cell": "B40", "template_value_or_formula": 43, "calculation_type": "reported_input", "dependencies": [], "source_template": "Copy of Output_CSV Template.xlsx"}</t>
        </is>
      </c>
    </row>
    <row r="265">
      <c r="A265" s="2" t="inlineStr">
        <is>
          <t>is_pl__other_oper_exp_provisions</t>
        </is>
      </c>
      <c r="B265" s="2" t="inlineStr">
        <is>
          <t>Other Oper Exp(Provisions)</t>
        </is>
      </c>
      <c r="C265" s="2" t="inlineStr">
        <is>
          <t>is_pl</t>
        </is>
      </c>
      <c r="D265" s="2" t="inlineStr">
        <is>
          <t>Extract the reported value for 'Other Oper Exp(Provisions)' from the stated section. Do not calculate or replace it from other rows, because the revised template does not designate this field as formula-driven.</t>
        </is>
      </c>
      <c r="E265" s="2" t="inlineStr">
        <is>
          <t>Other Oper Exp(Provisions)</t>
        </is>
      </c>
      <c r="F265" s="2" t="inlineStr">
        <is>
          <t>Other Oper Exp(Provisions)</t>
        </is>
      </c>
      <c r="G265" s="2" t="inlineStr">
        <is>
          <t>^Other\s+Oper\s+Exp\(Provisions\)$</t>
        </is>
      </c>
      <c r="H265" s="2" t="inlineStr"/>
      <c r="I265" s="2" t="inlineStr">
        <is>
          <t>Amounts or disclosures explicitly reported for Other Oper Exp(Provisions) in Income Statement / is_pl.</t>
        </is>
      </c>
      <c r="J265" s="2" t="inlineStr">
        <is>
          <t>Do not substitute another section, period, entity scope, currency or unit; do not double count a parent and its children.</t>
        </is>
      </c>
      <c r="K265" s="2" t="inlineStr"/>
      <c r="L265" s="2" t="inlineStr">
        <is>
          <t>as_reported</t>
        </is>
      </c>
      <c r="M265" s="2" t="inlineStr">
        <is>
          <t>direct_exclusive</t>
        </is>
      </c>
      <c r="N265" s="2" t="n">
        <v>90</v>
      </c>
      <c r="O265" s="2" t="inlineStr">
        <is>
          <t>normalized_exact_then_regex</t>
        </is>
      </c>
      <c r="P265" s="3" t="inlineStr">
        <is>
          <t>extract</t>
        </is>
      </c>
      <c r="Q265" s="2" t="inlineStr">
        <is>
          <t>currency_amount</t>
        </is>
      </c>
      <c r="R265" s="2" t="inlineStr">
        <is>
          <t>period_flow</t>
        </is>
      </c>
      <c r="S265" s="2" t="inlineStr">
        <is>
          <t>allowed_with_provenance</t>
        </is>
      </c>
      <c r="T265" s="2" t="b">
        <v>0</v>
      </c>
      <c r="U265" s="2" t="b">
        <v>0</v>
      </c>
      <c r="V265" s="2" t="inlineStr"/>
      <c r="W265" s="2" t="inlineStr"/>
      <c r="X265" s="2" t="inlineStr">
        <is>
          <t>Decompose only from explicit face or note evidence; never fabricate a split.</t>
        </is>
      </c>
      <c r="Y265" s="2" t="inlineStr">
        <is>
          <t>Aggregate only mutually exclusive facts with identical period, scope, currency and unit.</t>
        </is>
      </c>
      <c r="Z265" s="2" t="inlineStr">
        <is>
          <t>Bind only to Income Statement / is_pl.</t>
        </is>
      </c>
      <c r="AA265" s="2" t="inlineStr"/>
      <c r="AB265" s="2" t="b">
        <v>1</v>
      </c>
      <c r="AC265" s="2" t="inlineStr"/>
      <c r="AD265" s="2" t="inlineStr">
        <is>
          <t>Exact field from Income Statement!A41; value cell B41.</t>
        </is>
      </c>
      <c r="AE265" s="2" t="inlineStr">
        <is>
          <t>Notes may support direct extraction or decomposition with provenance. Formula outputs must be derived only from template dependencies.</t>
        </is>
      </c>
      <c r="AF265" s="2" t="inlineStr">
        <is>
          <t>{"mode": "no_balancing_plug", "negative_result": "review"}</t>
        </is>
      </c>
      <c r="AG265" s="2" t="inlineStr">
        <is>
          <t>[]</t>
        </is>
      </c>
      <c r="AH265" s="2" t="inlineStr">
        <is>
          <t>Other Oper Exp(Provisions)</t>
        </is>
      </c>
      <c r="AI265" s="2" t="inlineStr"/>
      <c r="AJ265" s="2" t="inlineStr">
        <is>
          <t>{"template_sheet": "Income Statement", "template_row": 41, "template_cell": "B41", "template_value_or_formula": 17, "calculation_type": "reported_input", "dependencies": [], "source_template": "Copy of Output_CSV Template.xlsx"}</t>
        </is>
      </c>
    </row>
    <row r="266">
      <c r="A266" s="2" t="inlineStr">
        <is>
          <t>is_pl__impairment_fixed_assets_oper_exp</t>
        </is>
      </c>
      <c r="B266" s="2" t="inlineStr">
        <is>
          <t>Impairment(Fixed Assets)(Oper Exp)</t>
        </is>
      </c>
      <c r="C266" s="2" t="inlineStr">
        <is>
          <t>is_pl</t>
        </is>
      </c>
      <c r="D266" s="2" t="inlineStr">
        <is>
          <t>Extract the reported value for 'Impairment(Fixed Assets)(Oper Exp)' from the stated section. Do not calculate or replace it from other rows, because the revised template does not designate this field as formula-driven.</t>
        </is>
      </c>
      <c r="E266" s="2" t="inlineStr">
        <is>
          <t>Impairment(Fixed Assets)(Oper Exp)</t>
        </is>
      </c>
      <c r="F266" s="2" t="inlineStr">
        <is>
          <t>Impairment(Fixed Assets)(Oper Exp)</t>
        </is>
      </c>
      <c r="G266" s="2" t="inlineStr">
        <is>
          <t>^Impairment\(Fixed\s+Assets\)\(Oper\s+Exp\)$</t>
        </is>
      </c>
      <c r="H266" s="2" t="inlineStr"/>
      <c r="I266" s="2" t="inlineStr">
        <is>
          <t>Amounts or disclosures explicitly reported for Impairment(Fixed Assets)(Oper Exp) in Income Statement / is_pl.</t>
        </is>
      </c>
      <c r="J266" s="2" t="inlineStr">
        <is>
          <t>Do not substitute another section, period, entity scope, currency or unit; do not double count a parent and its children.</t>
        </is>
      </c>
      <c r="K266" s="2" t="inlineStr"/>
      <c r="L266" s="2" t="inlineStr">
        <is>
          <t>as_reported</t>
        </is>
      </c>
      <c r="M266" s="2" t="inlineStr">
        <is>
          <t>direct_exclusive</t>
        </is>
      </c>
      <c r="N266" s="2" t="n">
        <v>90</v>
      </c>
      <c r="O266" s="2" t="inlineStr">
        <is>
          <t>normalized_exact_then_regex</t>
        </is>
      </c>
      <c r="P266" s="3" t="inlineStr">
        <is>
          <t>extract</t>
        </is>
      </c>
      <c r="Q266" s="2" t="inlineStr">
        <is>
          <t>currency_amount</t>
        </is>
      </c>
      <c r="R266" s="2" t="inlineStr">
        <is>
          <t>period_flow</t>
        </is>
      </c>
      <c r="S266" s="2" t="inlineStr">
        <is>
          <t>allowed_with_provenance</t>
        </is>
      </c>
      <c r="T266" s="2" t="b">
        <v>0</v>
      </c>
      <c r="U266" s="2" t="b">
        <v>0</v>
      </c>
      <c r="V266" s="2" t="inlineStr"/>
      <c r="W266" s="2" t="inlineStr"/>
      <c r="X266" s="2" t="inlineStr">
        <is>
          <t>Decompose only from explicit face or note evidence; never fabricate a split.</t>
        </is>
      </c>
      <c r="Y266" s="2" t="inlineStr">
        <is>
          <t>Aggregate only mutually exclusive facts with identical period, scope, currency and unit.</t>
        </is>
      </c>
      <c r="Z266" s="2" t="inlineStr">
        <is>
          <t>Bind only to Income Statement / is_pl.</t>
        </is>
      </c>
      <c r="AA266" s="2" t="inlineStr"/>
      <c r="AB266" s="2" t="b">
        <v>1</v>
      </c>
      <c r="AC266" s="2" t="inlineStr"/>
      <c r="AD266" s="2" t="inlineStr">
        <is>
          <t>Exact field from Income Statement!A42; value cell B42.</t>
        </is>
      </c>
      <c r="AE266" s="2" t="inlineStr">
        <is>
          <t>Notes may support direct extraction or decomposition with provenance. Formula outputs must be derived only from template dependencies.</t>
        </is>
      </c>
      <c r="AF266" s="2" t="inlineStr"/>
      <c r="AG266" s="2" t="inlineStr">
        <is>
          <t>[]</t>
        </is>
      </c>
      <c r="AH266" s="2" t="inlineStr">
        <is>
          <t>Impairment(Fixed Assets)(Oper Exp)</t>
        </is>
      </c>
      <c r="AI266" s="2" t="inlineStr"/>
      <c r="AJ266" s="2" t="inlineStr">
        <is>
          <t>{"template_sheet": "Income Statement", "template_row": 42, "template_cell": "B42", "template_value_or_formula": 34, "calculation_type": "reported_input", "dependencies": [], "source_template": "Copy of Output_CSV Template.xlsx"}</t>
        </is>
      </c>
    </row>
    <row r="267">
      <c r="A267" s="2" t="inlineStr">
        <is>
          <t>is_pl__deprec_and_impairment_oper_exp</t>
        </is>
      </c>
      <c r="B267" s="2" t="inlineStr">
        <is>
          <t>Deprec &amp; Impairment(Oper Exp)</t>
        </is>
      </c>
      <c r="C267" s="2" t="inlineStr">
        <is>
          <t>is_pl</t>
        </is>
      </c>
      <c r="D267" s="2" t="inlineStr">
        <is>
          <t>Extract the reported value for 'Deprec &amp; Impairment(Oper Exp)' from the stated section. Do not calculate or replace it from other rows, because the revised template does not designate this field as formula-driven.</t>
        </is>
      </c>
      <c r="E267" s="2" t="inlineStr">
        <is>
          <t>Deprec &amp; Impairment(Oper Exp)</t>
        </is>
      </c>
      <c r="F267" s="2" t="inlineStr">
        <is>
          <t>Deprec &amp; Impairment(Oper Exp)</t>
        </is>
      </c>
      <c r="G267" s="2" t="inlineStr">
        <is>
          <t>^Deprec\s+\&amp;\s+Impairment\(Oper\s+Exp\)$</t>
        </is>
      </c>
      <c r="H267" s="2" t="inlineStr"/>
      <c r="I267" s="2" t="inlineStr">
        <is>
          <t>Amounts or disclosures explicitly reported for Deprec &amp; Impairment(Oper Exp) in Income Statement / is_pl.</t>
        </is>
      </c>
      <c r="J267" s="2" t="inlineStr">
        <is>
          <t>Do not substitute another section, period, entity scope, currency or unit; do not double count a parent and its children.</t>
        </is>
      </c>
      <c r="K267" s="2" t="inlineStr"/>
      <c r="L267" s="2" t="inlineStr">
        <is>
          <t>as_reported</t>
        </is>
      </c>
      <c r="M267" s="2" t="inlineStr">
        <is>
          <t>direct_exclusive</t>
        </is>
      </c>
      <c r="N267" s="2" t="n">
        <v>90</v>
      </c>
      <c r="O267" s="2" t="inlineStr">
        <is>
          <t>normalized_exact_then_regex</t>
        </is>
      </c>
      <c r="P267" s="3" t="inlineStr">
        <is>
          <t>extract</t>
        </is>
      </c>
      <c r="Q267" s="2" t="inlineStr">
        <is>
          <t>currency_amount</t>
        </is>
      </c>
      <c r="R267" s="2" t="inlineStr">
        <is>
          <t>period_flow</t>
        </is>
      </c>
      <c r="S267" s="2" t="inlineStr">
        <is>
          <t>allowed_with_provenance</t>
        </is>
      </c>
      <c r="T267" s="2" t="b">
        <v>0</v>
      </c>
      <c r="U267" s="2" t="b">
        <v>0</v>
      </c>
      <c r="V267" s="2" t="inlineStr"/>
      <c r="W267" s="2" t="inlineStr"/>
      <c r="X267" s="2" t="inlineStr">
        <is>
          <t>Decompose only from explicit face or note evidence; never fabricate a split.</t>
        </is>
      </c>
      <c r="Y267" s="2" t="inlineStr">
        <is>
          <t>Aggregate only mutually exclusive facts with identical period, scope, currency and unit.</t>
        </is>
      </c>
      <c r="Z267" s="2" t="inlineStr">
        <is>
          <t>Bind only to Income Statement / is_pl.</t>
        </is>
      </c>
      <c r="AA267" s="2" t="inlineStr"/>
      <c r="AB267" s="2" t="b">
        <v>1</v>
      </c>
      <c r="AC267" s="2" t="inlineStr"/>
      <c r="AD267" s="2" t="inlineStr">
        <is>
          <t>Exact field from Income Statement!A43; value cell B43.</t>
        </is>
      </c>
      <c r="AE267" s="2" t="inlineStr">
        <is>
          <t>Notes may support direct extraction or decomposition with provenance. Formula outputs must be derived only from template dependencies.</t>
        </is>
      </c>
      <c r="AF267" s="2" t="inlineStr"/>
      <c r="AG267" s="2" t="inlineStr">
        <is>
          <t>[]</t>
        </is>
      </c>
      <c r="AH267" s="2" t="inlineStr">
        <is>
          <t>Deprec &amp; Impairment(Oper Exp)</t>
        </is>
      </c>
      <c r="AI267" s="2" t="inlineStr"/>
      <c r="AJ267" s="2" t="inlineStr">
        <is>
          <t>{"template_sheet": "Income Statement", "template_row": 43, "template_cell": "B43", "template_value_or_formula": 8, "calculation_type": "reported_input", "dependencies": [], "source_template": "Copy of Output_CSV Template.xlsx"}</t>
        </is>
      </c>
    </row>
    <row r="268">
      <c r="A268" s="2" t="inlineStr">
        <is>
          <t>is_pl__impairment_intgbl</t>
        </is>
      </c>
      <c r="B268" s="2" t="inlineStr">
        <is>
          <t>Impairment(Intgbl)</t>
        </is>
      </c>
      <c r="C268" s="2" t="inlineStr">
        <is>
          <t>is_pl</t>
        </is>
      </c>
      <c r="D268" s="2" t="inlineStr">
        <is>
          <t>Extract the reported value for 'Impairment(Intgbl)' from the stated section. Do not calculate or replace it from other rows, because the revised template does not designate this field as formula-driven.</t>
        </is>
      </c>
      <c r="E268" s="2" t="inlineStr">
        <is>
          <t>Impairment(Intgbl)</t>
        </is>
      </c>
      <c r="F268" s="2" t="inlineStr">
        <is>
          <t>Impairment(Intgbl)</t>
        </is>
      </c>
      <c r="G268" s="2" t="inlineStr">
        <is>
          <t>^Impairment\(Intgbl\)$</t>
        </is>
      </c>
      <c r="H268" s="2" t="inlineStr"/>
      <c r="I268" s="2" t="inlineStr">
        <is>
          <t>Amounts or disclosures explicitly reported for Impairment(Intgbl) in Income Statement / is_pl.</t>
        </is>
      </c>
      <c r="J268" s="2" t="inlineStr">
        <is>
          <t>Do not substitute another section, period, entity scope, currency or unit; do not double count a parent and its children.</t>
        </is>
      </c>
      <c r="K268" s="2" t="inlineStr"/>
      <c r="L268" s="2" t="inlineStr">
        <is>
          <t>as_reported</t>
        </is>
      </c>
      <c r="M268" s="2" t="inlineStr">
        <is>
          <t>direct_exclusive</t>
        </is>
      </c>
      <c r="N268" s="2" t="n">
        <v>90</v>
      </c>
      <c r="O268" s="2" t="inlineStr">
        <is>
          <t>normalized_exact_then_regex</t>
        </is>
      </c>
      <c r="P268" s="3" t="inlineStr">
        <is>
          <t>extract</t>
        </is>
      </c>
      <c r="Q268" s="2" t="inlineStr">
        <is>
          <t>currency_amount</t>
        </is>
      </c>
      <c r="R268" s="2" t="inlineStr">
        <is>
          <t>period_flow</t>
        </is>
      </c>
      <c r="S268" s="2" t="inlineStr">
        <is>
          <t>allowed_with_provenance</t>
        </is>
      </c>
      <c r="T268" s="2" t="b">
        <v>0</v>
      </c>
      <c r="U268" s="2" t="b">
        <v>0</v>
      </c>
      <c r="V268" s="2" t="inlineStr"/>
      <c r="W268" s="2" t="inlineStr"/>
      <c r="X268" s="2" t="inlineStr">
        <is>
          <t>Decompose only from explicit face or note evidence; never fabricate a split.</t>
        </is>
      </c>
      <c r="Y268" s="2" t="inlineStr">
        <is>
          <t>Aggregate only mutually exclusive facts with identical period, scope, currency and unit.</t>
        </is>
      </c>
      <c r="Z268" s="2" t="inlineStr">
        <is>
          <t>Bind only to Income Statement / is_pl.</t>
        </is>
      </c>
      <c r="AA268" s="2" t="inlineStr"/>
      <c r="AB268" s="2" t="b">
        <v>1</v>
      </c>
      <c r="AC268" s="2" t="inlineStr"/>
      <c r="AD268" s="2" t="inlineStr">
        <is>
          <t>Exact field from Income Statement!A44; value cell B44.</t>
        </is>
      </c>
      <c r="AE268" s="2" t="inlineStr">
        <is>
          <t>Notes may support direct extraction or decomposition with provenance. Formula outputs must be derived only from template dependencies.</t>
        </is>
      </c>
      <c r="AF268" s="2" t="inlineStr"/>
      <c r="AG268" s="2" t="inlineStr">
        <is>
          <t>[]</t>
        </is>
      </c>
      <c r="AH268" s="2" t="inlineStr">
        <is>
          <t>Impairment(Intgbl)</t>
        </is>
      </c>
      <c r="AI268" s="2" t="inlineStr"/>
      <c r="AJ268" s="2" t="inlineStr">
        <is>
          <t>{"template_sheet": "Income Statement", "template_row": 44, "template_cell": "B44", "template_value_or_formula": 25, "calculation_type": "reported_input", "dependencies": [], "source_template": "Copy of Output_CSV Template.xlsx"}</t>
        </is>
      </c>
    </row>
    <row r="269">
      <c r="A269" s="2" t="inlineStr">
        <is>
          <t>is_pl__amort_and_impairment_intgbl</t>
        </is>
      </c>
      <c r="B269" s="2" t="inlineStr">
        <is>
          <t>Amort &amp; Impairment(Intgbl)</t>
        </is>
      </c>
      <c r="C269" s="2" t="inlineStr">
        <is>
          <t>is_pl</t>
        </is>
      </c>
      <c r="D269" s="2" t="inlineStr">
        <is>
          <t>Extract the reported value for 'Amort &amp; Impairment(Intgbl)' from the stated section. Do not calculate or replace it from other rows, because the revised template does not designate this field as formula-driven.</t>
        </is>
      </c>
      <c r="E269" s="2" t="inlineStr">
        <is>
          <t>Amort &amp; Impairment(Intgbl)</t>
        </is>
      </c>
      <c r="F269" s="2" t="inlineStr">
        <is>
          <t>Amort &amp; Impairment(Intgbl)</t>
        </is>
      </c>
      <c r="G269" s="2" t="inlineStr">
        <is>
          <t>^Amort\s+\&amp;\s+Impairment\(Intgbl\)$</t>
        </is>
      </c>
      <c r="H269" s="2" t="inlineStr"/>
      <c r="I269" s="2" t="inlineStr">
        <is>
          <t>Amounts or disclosures explicitly reported for Amort &amp; Impairment(Intgbl) in Income Statement / is_pl.</t>
        </is>
      </c>
      <c r="J269" s="2" t="inlineStr">
        <is>
          <t>Do not substitute another section, period, entity scope, currency or unit; do not double count a parent and its children.</t>
        </is>
      </c>
      <c r="K269" s="2" t="inlineStr"/>
      <c r="L269" s="2" t="inlineStr">
        <is>
          <t>as_reported</t>
        </is>
      </c>
      <c r="M269" s="2" t="inlineStr">
        <is>
          <t>direct_exclusive</t>
        </is>
      </c>
      <c r="N269" s="2" t="n">
        <v>90</v>
      </c>
      <c r="O269" s="2" t="inlineStr">
        <is>
          <t>normalized_exact_then_regex</t>
        </is>
      </c>
      <c r="P269" s="3" t="inlineStr">
        <is>
          <t>extract</t>
        </is>
      </c>
      <c r="Q269" s="2" t="inlineStr">
        <is>
          <t>currency_amount</t>
        </is>
      </c>
      <c r="R269" s="2" t="inlineStr">
        <is>
          <t>period_flow</t>
        </is>
      </c>
      <c r="S269" s="2" t="inlineStr">
        <is>
          <t>allowed_with_provenance</t>
        </is>
      </c>
      <c r="T269" s="2" t="b">
        <v>0</v>
      </c>
      <c r="U269" s="2" t="b">
        <v>0</v>
      </c>
      <c r="V269" s="2" t="inlineStr"/>
      <c r="W269" s="2" t="inlineStr"/>
      <c r="X269" s="2" t="inlineStr">
        <is>
          <t>Decompose only from explicit face or note evidence; never fabricate a split.</t>
        </is>
      </c>
      <c r="Y269" s="2" t="inlineStr">
        <is>
          <t>Aggregate only mutually exclusive facts with identical period, scope, currency and unit.</t>
        </is>
      </c>
      <c r="Z269" s="2" t="inlineStr">
        <is>
          <t>Bind only to Income Statement / is_pl.</t>
        </is>
      </c>
      <c r="AA269" s="2" t="inlineStr"/>
      <c r="AB269" s="2" t="b">
        <v>1</v>
      </c>
      <c r="AC269" s="2" t="inlineStr"/>
      <c r="AD269" s="2" t="inlineStr">
        <is>
          <t>Exact field from Income Statement!A45; value cell B45.</t>
        </is>
      </c>
      <c r="AE269" s="2" t="inlineStr">
        <is>
          <t>Notes may support direct extraction or decomposition with provenance. Formula outputs must be derived only from template dependencies.</t>
        </is>
      </c>
      <c r="AF269" s="2" t="inlineStr"/>
      <c r="AG269" s="2" t="inlineStr">
        <is>
          <t>[]</t>
        </is>
      </c>
      <c r="AH269" s="2" t="inlineStr">
        <is>
          <t>Amort &amp; Impairment(Intgbl)</t>
        </is>
      </c>
      <c r="AI269" s="2" t="inlineStr"/>
      <c r="AJ269" s="2" t="inlineStr">
        <is>
          <t>{"template_sheet": "Income Statement", "template_row": 45, "template_cell": "B45", "template_value_or_formula": 42, "calculation_type": "reported_input", "dependencies": [], "source_template": "Copy of Output_CSV Template.xlsx"}</t>
        </is>
      </c>
    </row>
    <row r="270">
      <c r="A270" s="2" t="inlineStr">
        <is>
          <t>is_pl__goodwill_amortization</t>
        </is>
      </c>
      <c r="B270" s="2" t="inlineStr">
        <is>
          <t>Goodwill Amortization</t>
        </is>
      </c>
      <c r="C270" s="2" t="inlineStr">
        <is>
          <t>is_pl</t>
        </is>
      </c>
      <c r="D270" s="2" t="inlineStr">
        <is>
          <t>Extract the reported value for 'Goodwill Amortization' from the stated section. Do not calculate or replace it from other rows, because the revised template does not designate this field as formula-driven.</t>
        </is>
      </c>
      <c r="E270" s="2" t="inlineStr">
        <is>
          <t>Goodwill Amortization</t>
        </is>
      </c>
      <c r="F270" s="2" t="inlineStr">
        <is>
          <t>Goodwill Amortization</t>
        </is>
      </c>
      <c r="G270" s="2" t="inlineStr">
        <is>
          <t>^Goodwill\s+Amortization$</t>
        </is>
      </c>
      <c r="H270" s="2" t="inlineStr"/>
      <c r="I270" s="2" t="inlineStr">
        <is>
          <t>Amounts or disclosures explicitly reported for Goodwill Amortization in Income Statement / is_pl.</t>
        </is>
      </c>
      <c r="J270" s="2" t="inlineStr">
        <is>
          <t>Do not substitute another section, period, entity scope, currency or unit; do not double count a parent and its children.</t>
        </is>
      </c>
      <c r="K270" s="2" t="inlineStr"/>
      <c r="L270" s="2" t="inlineStr">
        <is>
          <t>as_reported</t>
        </is>
      </c>
      <c r="M270" s="2" t="inlineStr">
        <is>
          <t>direct_exclusive</t>
        </is>
      </c>
      <c r="N270" s="2" t="n">
        <v>90</v>
      </c>
      <c r="O270" s="2" t="inlineStr">
        <is>
          <t>normalized_exact_then_regex</t>
        </is>
      </c>
      <c r="P270" s="3" t="inlineStr">
        <is>
          <t>extract</t>
        </is>
      </c>
      <c r="Q270" s="2" t="inlineStr">
        <is>
          <t>currency_amount</t>
        </is>
      </c>
      <c r="R270" s="2" t="inlineStr">
        <is>
          <t>period_flow</t>
        </is>
      </c>
      <c r="S270" s="2" t="inlineStr">
        <is>
          <t>allowed_with_provenance</t>
        </is>
      </c>
      <c r="T270" s="2" t="b">
        <v>0</v>
      </c>
      <c r="U270" s="2" t="b">
        <v>0</v>
      </c>
      <c r="V270" s="2" t="inlineStr"/>
      <c r="W270" s="2" t="inlineStr"/>
      <c r="X270" s="2" t="inlineStr">
        <is>
          <t>Decompose only from explicit face or note evidence; never fabricate a split.</t>
        </is>
      </c>
      <c r="Y270" s="2" t="inlineStr">
        <is>
          <t>Aggregate only mutually exclusive facts with identical period, scope, currency and unit.</t>
        </is>
      </c>
      <c r="Z270" s="2" t="inlineStr">
        <is>
          <t>Bind only to Income Statement / is_pl.</t>
        </is>
      </c>
      <c r="AA270" s="2" t="inlineStr"/>
      <c r="AB270" s="2" t="b">
        <v>1</v>
      </c>
      <c r="AC270" s="2" t="inlineStr"/>
      <c r="AD270" s="2" t="inlineStr">
        <is>
          <t>Exact field from Income Statement!A46; value cell B46.</t>
        </is>
      </c>
      <c r="AE270" s="2" t="inlineStr">
        <is>
          <t>Notes may support direct extraction or decomposition with provenance. Formula outputs must be derived only from template dependencies.</t>
        </is>
      </c>
      <c r="AF270" s="2" t="inlineStr"/>
      <c r="AG270" s="2" t="inlineStr">
        <is>
          <t>[]</t>
        </is>
      </c>
      <c r="AH270" s="2" t="inlineStr">
        <is>
          <t>Goodwill Amortization</t>
        </is>
      </c>
      <c r="AI270" s="2" t="inlineStr"/>
      <c r="AJ270" s="2" t="inlineStr">
        <is>
          <t>{"template_sheet": "Income Statement", "template_row": 46, "template_cell": "B46", "template_value_or_formula": 16, "calculation_type": "reported_input", "dependencies": [], "source_template": "Copy of Output_CSV Template.xlsx"}</t>
        </is>
      </c>
    </row>
    <row r="271">
      <c r="A271" s="2" t="inlineStr">
        <is>
          <t>is_pl__capitalized_costs</t>
        </is>
      </c>
      <c r="B271" s="2" t="inlineStr">
        <is>
          <t>Capitalized Costs</t>
        </is>
      </c>
      <c r="C271" s="2" t="inlineStr">
        <is>
          <t>is_pl</t>
        </is>
      </c>
      <c r="D271" s="2" t="inlineStr">
        <is>
          <t>Extract the reported value for 'Capitalized Costs' from the stated section. Do not calculate or replace it from other rows, because the revised template does not designate this field as formula-driven.</t>
        </is>
      </c>
      <c r="E271" s="2" t="inlineStr">
        <is>
          <t>Capitalized Costs</t>
        </is>
      </c>
      <c r="F271" s="2" t="inlineStr">
        <is>
          <t>Capitalized Costs</t>
        </is>
      </c>
      <c r="G271" s="2" t="inlineStr">
        <is>
          <t>^Capitalized\s+Costs$</t>
        </is>
      </c>
      <c r="H271" s="2" t="inlineStr"/>
      <c r="I271" s="2" t="inlineStr">
        <is>
          <t>Amounts or disclosures explicitly reported for Capitalized Costs in Income Statement / is_pl.</t>
        </is>
      </c>
      <c r="J271" s="2" t="inlineStr">
        <is>
          <t>Do not substitute another section, period, entity scope, currency or unit; do not double count a parent and its children.</t>
        </is>
      </c>
      <c r="K271" s="2" t="inlineStr"/>
      <c r="L271" s="2" t="inlineStr">
        <is>
          <t>as_reported</t>
        </is>
      </c>
      <c r="M271" s="2" t="inlineStr">
        <is>
          <t>direct_exclusive</t>
        </is>
      </c>
      <c r="N271" s="2" t="n">
        <v>90</v>
      </c>
      <c r="O271" s="2" t="inlineStr">
        <is>
          <t>normalized_exact_then_regex</t>
        </is>
      </c>
      <c r="P271" s="3" t="inlineStr">
        <is>
          <t>extract</t>
        </is>
      </c>
      <c r="Q271" s="2" t="inlineStr">
        <is>
          <t>currency_amount</t>
        </is>
      </c>
      <c r="R271" s="2" t="inlineStr">
        <is>
          <t>period_flow</t>
        </is>
      </c>
      <c r="S271" s="2" t="inlineStr">
        <is>
          <t>allowed_with_provenance</t>
        </is>
      </c>
      <c r="T271" s="2" t="b">
        <v>0</v>
      </c>
      <c r="U271" s="2" t="b">
        <v>0</v>
      </c>
      <c r="V271" s="2" t="inlineStr"/>
      <c r="W271" s="2" t="inlineStr"/>
      <c r="X271" s="2" t="inlineStr">
        <is>
          <t>Decompose only from explicit face or note evidence; never fabricate a split.</t>
        </is>
      </c>
      <c r="Y271" s="2" t="inlineStr">
        <is>
          <t>Aggregate only mutually exclusive facts with identical period, scope, currency and unit.</t>
        </is>
      </c>
      <c r="Z271" s="2" t="inlineStr">
        <is>
          <t>Bind only to Income Statement / is_pl.</t>
        </is>
      </c>
      <c r="AA271" s="2" t="inlineStr"/>
      <c r="AB271" s="2" t="b">
        <v>1</v>
      </c>
      <c r="AC271" s="2" t="inlineStr"/>
      <c r="AD271" s="2" t="inlineStr">
        <is>
          <t>Exact field from Income Statement!A47; value cell B47.</t>
        </is>
      </c>
      <c r="AE271" s="2" t="inlineStr">
        <is>
          <t>Notes may support direct extraction or decomposition with provenance. Formula outputs must be derived only from template dependencies.</t>
        </is>
      </c>
      <c r="AF271" s="2" t="inlineStr"/>
      <c r="AG271" s="2" t="inlineStr">
        <is>
          <t>[]</t>
        </is>
      </c>
      <c r="AH271" s="2" t="inlineStr">
        <is>
          <t>Capitalized Costs</t>
        </is>
      </c>
      <c r="AI271" s="2" t="inlineStr"/>
      <c r="AJ271" s="2" t="inlineStr">
        <is>
          <t>{"template_sheet": "Income Statement", "template_row": 47, "template_cell": "B47", "template_value_or_formula": 33, "calculation_type": "reported_input", "dependencies": [], "source_template": "Copy of Output_CSV Template.xlsx"}</t>
        </is>
      </c>
    </row>
    <row r="272">
      <c r="A272" s="2" t="inlineStr">
        <is>
          <t>is_pl__net_operating_profit</t>
        </is>
      </c>
      <c r="B272" s="2" t="inlineStr">
        <is>
          <t>Net Operating Profit</t>
        </is>
      </c>
      <c r="C272" s="2" t="inlineStr">
        <is>
          <t>is_pl</t>
        </is>
      </c>
      <c r="D272" s="2" t="inlineStr">
        <is>
          <t>Calculated target using the exact formula retained in the supplied template: ={is_pl__gross_profit}+SUM({is_pl__rents_and_royalty_income}:{is_pl__grants_and_subsidies})-SUM({is_pl__selling_and_marketing_expenses}:{is_pl__capitalized_costs})</t>
        </is>
      </c>
      <c r="E272" s="2" t="inlineStr">
        <is>
          <t>Net Operating Profit</t>
        </is>
      </c>
      <c r="F272" s="2" t="inlineStr">
        <is>
          <t>Net Operating Profit</t>
        </is>
      </c>
      <c r="G272" s="2" t="inlineStr">
        <is>
          <t>^Net\s+Operating\s+Profit$</t>
        </is>
      </c>
      <c r="H272" s="2" t="inlineStr"/>
      <c r="I272" s="2" t="inlineStr">
        <is>
          <t>Amounts or disclosures explicitly reported for Net Operating Profit in Income Statement / is_pl.</t>
        </is>
      </c>
      <c r="J272" s="2" t="inlineStr">
        <is>
          <t>Do not substitute another section, period, entity scope, currency or unit; do not double count a parent and its children.</t>
        </is>
      </c>
      <c r="K272" s="2" t="inlineStr"/>
      <c r="L272" s="2" t="inlineStr">
        <is>
          <t>as_reported</t>
        </is>
      </c>
      <c r="M272" s="2" t="inlineStr">
        <is>
          <t>derived_total</t>
        </is>
      </c>
      <c r="N272" s="2" t="n">
        <v>100</v>
      </c>
      <c r="O272" s="2" t="inlineStr">
        <is>
          <t>disabled</t>
        </is>
      </c>
      <c r="P272" s="4" t="inlineStr">
        <is>
          <t>derive</t>
        </is>
      </c>
      <c r="Q272" s="2" t="inlineStr">
        <is>
          <t>currency_amount</t>
        </is>
      </c>
      <c r="R272" s="2" t="inlineStr">
        <is>
          <t>period_flow</t>
        </is>
      </c>
      <c r="S272" s="2" t="inlineStr">
        <is>
          <t>allowed_with_provenance</t>
        </is>
      </c>
      <c r="T272" s="2" t="b">
        <v>0</v>
      </c>
      <c r="U272" s="2" t="b">
        <v>1</v>
      </c>
      <c r="V272" s="2" t="inlineStr">
        <is>
          <t>is_pl__gross_profit | is_pl__rents_and_royalty_income | is_pl__grants_and_subsidies | is_pl__selling_and_marketing_expenses | is_pl__capitalized_costs</t>
        </is>
      </c>
      <c r="W272" s="2">
        <f>{is_pl__gross_profit}+SUM({is_pl__rents_and_royalty_income}:{is_pl__grants_and_subsidies})-SUM({is_pl__selling_and_marketing_expenses}:{is_pl__capitalized_costs})</f>
        <v/>
      </c>
      <c r="X272" s="2" t="inlineStr">
        <is>
          <t>Use only dependencies stated in the formula; never fabricate missing components.</t>
        </is>
      </c>
      <c r="Y272" s="2" t="inlineStr">
        <is>
          <t>Calculate only after every dependency is populated and validated.</t>
        </is>
      </c>
      <c r="Z272" s="2" t="inlineStr">
        <is>
          <t>Bind only to Income Statement / is_pl.</t>
        </is>
      </c>
      <c r="AA272" s="2" t="inlineStr"/>
      <c r="AB272" s="2" t="b">
        <v>0</v>
      </c>
      <c r="AC272" s="2" t="inlineStr">
        <is>
          <t>is_pl__gross_profit | is_pl__rents_and_royalty_income | is_pl__grants_and_subsidies | is_pl__selling_and_marketing_expenses | is_pl__capitalized_costs</t>
        </is>
      </c>
      <c r="AD272" s="2" t="inlineStr">
        <is>
          <t>Exact field from Income Statement!A48; value cell B48.</t>
        </is>
      </c>
      <c r="AE272" s="2" t="inlineStr">
        <is>
          <t>Notes may support direct extraction or decomposition with provenance. Formula outputs must be derived only from template dependencies.</t>
        </is>
      </c>
      <c r="AF272" s="2" t="inlineStr"/>
      <c r="AG272" s="2" t="inlineStr">
        <is>
          <t>[]</t>
        </is>
      </c>
      <c r="AH272" s="2" t="inlineStr">
        <is>
          <t>Net Operating Profit</t>
        </is>
      </c>
      <c r="AI272" s="2" t="inlineStr"/>
      <c r="AJ272" s="2" t="inlineStr">
        <is>
          <t>{"template_sheet": "Income Statement", "template_row": 48, "template_cell": "B48", "template_value_or_formula": "=B18+SUM(B19:B23)-SUM(B24:B47)", "calculation_type": "formula", "dependencies": ["is_pl__gross_profit", "is_pl__rents_and_royalty_income", "is_pl__grants_and_subsidies", "is_pl__selling_and_marketing_expenses", "is_pl__capitalized_costs"], "source_template": "Copy of Output_CSV Template.xlsx"}</t>
        </is>
      </c>
    </row>
    <row r="273">
      <c r="A273" s="2" t="inlineStr">
        <is>
          <t>is_pl__interest_income_from_derivatives</t>
        </is>
      </c>
      <c r="B273" s="2" t="inlineStr">
        <is>
          <t>Interest income from derivatives</t>
        </is>
      </c>
      <c r="C273" s="2" t="inlineStr">
        <is>
          <t>is_pl</t>
        </is>
      </c>
      <c r="D273" s="2" t="inlineStr">
        <is>
          <t>Extract the reported value for 'Interest income from derivatives' from the stated section. Do not calculate or replace it from other rows, because the revised template does not designate this field as formula-driven.</t>
        </is>
      </c>
      <c r="E273" s="2" t="inlineStr">
        <is>
          <t>Interest income from derivatives</t>
        </is>
      </c>
      <c r="F273" s="2" t="inlineStr">
        <is>
          <t>Interest income from derivatives</t>
        </is>
      </c>
      <c r="G273" s="2" t="inlineStr">
        <is>
          <t>^Interest\s+income\s+from\s+derivatives$</t>
        </is>
      </c>
      <c r="H273" s="2" t="inlineStr"/>
      <c r="I273" s="2" t="inlineStr">
        <is>
          <t>Amounts or disclosures explicitly reported for Interest income from derivatives in Income Statement / is_pl.</t>
        </is>
      </c>
      <c r="J273" s="2" t="inlineStr">
        <is>
          <t>Do not substitute another section, period, entity scope, currency or unit; do not double count a parent and its children.</t>
        </is>
      </c>
      <c r="K273" s="2" t="inlineStr"/>
      <c r="L273" s="2" t="inlineStr">
        <is>
          <t>as_reported</t>
        </is>
      </c>
      <c r="M273" s="2" t="inlineStr">
        <is>
          <t>direct_exclusive</t>
        </is>
      </c>
      <c r="N273" s="2" t="n">
        <v>90</v>
      </c>
      <c r="O273" s="2" t="inlineStr">
        <is>
          <t>normalized_exact_then_regex</t>
        </is>
      </c>
      <c r="P273" s="3" t="inlineStr">
        <is>
          <t>extract</t>
        </is>
      </c>
      <c r="Q273" s="2" t="inlineStr">
        <is>
          <t>currency_amount</t>
        </is>
      </c>
      <c r="R273" s="2" t="inlineStr">
        <is>
          <t>period_flow</t>
        </is>
      </c>
      <c r="S273" s="2" t="inlineStr">
        <is>
          <t>allowed_with_provenance</t>
        </is>
      </c>
      <c r="T273" s="2" t="b">
        <v>0</v>
      </c>
      <c r="U273" s="2" t="b">
        <v>0</v>
      </c>
      <c r="V273" s="2" t="inlineStr"/>
      <c r="W273" s="2" t="inlineStr"/>
      <c r="X273" s="2" t="inlineStr">
        <is>
          <t>Decompose only from explicit face or note evidence; never fabricate a split.</t>
        </is>
      </c>
      <c r="Y273" s="2" t="inlineStr">
        <is>
          <t>Aggregate only mutually exclusive facts with identical period, scope, currency and unit.</t>
        </is>
      </c>
      <c r="Z273" s="2" t="inlineStr">
        <is>
          <t>Bind only to Income Statement / is_pl.</t>
        </is>
      </c>
      <c r="AA273" s="2" t="inlineStr"/>
      <c r="AB273" s="2" t="b">
        <v>1</v>
      </c>
      <c r="AC273" s="2" t="inlineStr"/>
      <c r="AD273" s="2" t="inlineStr">
        <is>
          <t>Exact field from Income Statement!A49; value cell B49.</t>
        </is>
      </c>
      <c r="AE273" s="2" t="inlineStr">
        <is>
          <t>Notes may support direct extraction or decomposition with provenance. Formula outputs must be derived only from template dependencies.</t>
        </is>
      </c>
      <c r="AF273" s="2" t="inlineStr"/>
      <c r="AG273" s="2" t="inlineStr">
        <is>
          <t>[]</t>
        </is>
      </c>
      <c r="AH273" s="2" t="inlineStr">
        <is>
          <t>Interest income from derivatives</t>
        </is>
      </c>
      <c r="AI273" s="2" t="inlineStr"/>
      <c r="AJ273" s="2" t="inlineStr">
        <is>
          <t>{"template_sheet": "Income Statement", "template_row": 49, "template_cell": "B49", "template_value_or_formula": 24, "calculation_type": "reported_input", "dependencies": [], "source_template": "Copy of Output_CSV Template.xlsx"}</t>
        </is>
      </c>
    </row>
    <row r="274">
      <c r="A274" s="2" t="inlineStr">
        <is>
          <t>is_pl__interest_income_from_wealth_management_products</t>
        </is>
      </c>
      <c r="B274" s="2" t="inlineStr">
        <is>
          <t>Interest income from wealth management products</t>
        </is>
      </c>
      <c r="C274" s="2" t="inlineStr">
        <is>
          <t>is_pl</t>
        </is>
      </c>
      <c r="D274" s="2" t="inlineStr">
        <is>
          <t>Extract the reported value for 'Interest income from wealth management products' from the stated section. Do not calculate or replace it from other rows, because the revised template does not designate this field as formula-driven.</t>
        </is>
      </c>
      <c r="E274" s="2" t="inlineStr">
        <is>
          <t>Interest income from wealth management products</t>
        </is>
      </c>
      <c r="F274" s="2" t="inlineStr">
        <is>
          <t>Interest income from wealth management products</t>
        </is>
      </c>
      <c r="G274" s="2" t="inlineStr">
        <is>
          <t>^Interest\s+income\s+from\s+wealth\s+management\s+products$</t>
        </is>
      </c>
      <c r="H274" s="2" t="inlineStr"/>
      <c r="I274" s="2" t="inlineStr">
        <is>
          <t>Amounts or disclosures explicitly reported for Interest income from wealth management products in Income Statement / is_pl.</t>
        </is>
      </c>
      <c r="J274" s="2" t="inlineStr">
        <is>
          <t>Do not substitute another section, period, entity scope, currency or unit; do not double count a parent and its children.</t>
        </is>
      </c>
      <c r="K274" s="2" t="inlineStr"/>
      <c r="L274" s="2" t="inlineStr">
        <is>
          <t>as_reported</t>
        </is>
      </c>
      <c r="M274" s="2" t="inlineStr">
        <is>
          <t>direct_exclusive</t>
        </is>
      </c>
      <c r="N274" s="2" t="n">
        <v>90</v>
      </c>
      <c r="O274" s="2" t="inlineStr">
        <is>
          <t>normalized_exact_then_regex</t>
        </is>
      </c>
      <c r="P274" s="3" t="inlineStr">
        <is>
          <t>extract</t>
        </is>
      </c>
      <c r="Q274" s="2" t="inlineStr">
        <is>
          <t>currency_amount</t>
        </is>
      </c>
      <c r="R274" s="2" t="inlineStr">
        <is>
          <t>period_flow</t>
        </is>
      </c>
      <c r="S274" s="2" t="inlineStr">
        <is>
          <t>allowed_with_provenance</t>
        </is>
      </c>
      <c r="T274" s="2" t="b">
        <v>0</v>
      </c>
      <c r="U274" s="2" t="b">
        <v>0</v>
      </c>
      <c r="V274" s="2" t="inlineStr"/>
      <c r="W274" s="2" t="inlineStr"/>
      <c r="X274" s="2" t="inlineStr">
        <is>
          <t>Decompose only from explicit face or note evidence; never fabricate a split.</t>
        </is>
      </c>
      <c r="Y274" s="2" t="inlineStr">
        <is>
          <t>Aggregate only mutually exclusive facts with identical period, scope, currency and unit.</t>
        </is>
      </c>
      <c r="Z274" s="2" t="inlineStr">
        <is>
          <t>Bind only to Income Statement / is_pl.</t>
        </is>
      </c>
      <c r="AA274" s="2" t="inlineStr"/>
      <c r="AB274" s="2" t="b">
        <v>1</v>
      </c>
      <c r="AC274" s="2" t="inlineStr"/>
      <c r="AD274" s="2" t="inlineStr">
        <is>
          <t>Exact field from Income Statement!A50; value cell B50.</t>
        </is>
      </c>
      <c r="AE274" s="2" t="inlineStr">
        <is>
          <t>Notes may support direct extraction or decomposition with provenance. Formula outputs must be derived only from template dependencies.</t>
        </is>
      </c>
      <c r="AF274" s="2" t="inlineStr"/>
      <c r="AG274" s="2" t="inlineStr">
        <is>
          <t>[]</t>
        </is>
      </c>
      <c r="AH274" s="2" t="inlineStr">
        <is>
          <t>Interest income from wealth management products</t>
        </is>
      </c>
      <c r="AI274" s="2" t="inlineStr"/>
      <c r="AJ274" s="2" t="inlineStr">
        <is>
          <t>{"template_sheet": "Income Statement", "template_row": 50, "template_cell": "B50", "template_value_or_formula": 41, "calculation_type": "reported_input", "dependencies": [], "source_template": "Copy of Output_CSV Template.xlsx"}</t>
        </is>
      </c>
    </row>
    <row r="275">
      <c r="A275" s="2" t="inlineStr">
        <is>
          <t>is_pl__interest_income_from_entrusted_loan_receivables</t>
        </is>
      </c>
      <c r="B275" s="2" t="inlineStr">
        <is>
          <t>Interest income from Entrusted loan receivables</t>
        </is>
      </c>
      <c r="C275" s="2" t="inlineStr">
        <is>
          <t>is_pl</t>
        </is>
      </c>
      <c r="D275" s="2" t="inlineStr">
        <is>
          <t>Extract the reported value for 'Interest income from Entrusted loan receivables' from the stated section. Do not calculate or replace it from other rows, because the revised template does not designate this field as formula-driven.</t>
        </is>
      </c>
      <c r="E275" s="2" t="inlineStr">
        <is>
          <t>Interest income from Entrusted loan receivables</t>
        </is>
      </c>
      <c r="F275" s="2" t="inlineStr">
        <is>
          <t>Interest income from Entrusted loan receivables</t>
        </is>
      </c>
      <c r="G275" s="2" t="inlineStr">
        <is>
          <t>^Interest\s+income\s+from\s+Entrusted\s+loan\s+receivables$</t>
        </is>
      </c>
      <c r="H275" s="2" t="inlineStr"/>
      <c r="I275" s="2" t="inlineStr">
        <is>
          <t>Amounts or disclosures explicitly reported for Interest income from Entrusted loan receivables in Income Statement / is_pl.</t>
        </is>
      </c>
      <c r="J275" s="2" t="inlineStr">
        <is>
          <t>Do not substitute another section, period, entity scope, currency or unit; do not double count a parent and its children.</t>
        </is>
      </c>
      <c r="K275" s="2" t="inlineStr"/>
      <c r="L275" s="2" t="inlineStr">
        <is>
          <t>as_reported</t>
        </is>
      </c>
      <c r="M275" s="2" t="inlineStr">
        <is>
          <t>direct_exclusive</t>
        </is>
      </c>
      <c r="N275" s="2" t="n">
        <v>90</v>
      </c>
      <c r="O275" s="2" t="inlineStr">
        <is>
          <t>normalized_exact_then_regex</t>
        </is>
      </c>
      <c r="P275" s="3" t="inlineStr">
        <is>
          <t>extract</t>
        </is>
      </c>
      <c r="Q275" s="2" t="inlineStr">
        <is>
          <t>currency_amount</t>
        </is>
      </c>
      <c r="R275" s="2" t="inlineStr">
        <is>
          <t>period_flow</t>
        </is>
      </c>
      <c r="S275" s="2" t="inlineStr">
        <is>
          <t>allowed_with_provenance</t>
        </is>
      </c>
      <c r="T275" s="2" t="b">
        <v>0</v>
      </c>
      <c r="U275" s="2" t="b">
        <v>0</v>
      </c>
      <c r="V275" s="2" t="inlineStr"/>
      <c r="W275" s="2" t="inlineStr"/>
      <c r="X275" s="2" t="inlineStr">
        <is>
          <t>Decompose only from explicit face or note evidence; never fabricate a split.</t>
        </is>
      </c>
      <c r="Y275" s="2" t="inlineStr">
        <is>
          <t>Aggregate only mutually exclusive facts with identical period, scope, currency and unit.</t>
        </is>
      </c>
      <c r="Z275" s="2" t="inlineStr">
        <is>
          <t>Bind only to Income Statement / is_pl.</t>
        </is>
      </c>
      <c r="AA275" s="2" t="inlineStr"/>
      <c r="AB275" s="2" t="b">
        <v>1</v>
      </c>
      <c r="AC275" s="2" t="inlineStr"/>
      <c r="AD275" s="2" t="inlineStr">
        <is>
          <t>Exact field from Income Statement!A51; value cell B51.</t>
        </is>
      </c>
      <c r="AE275" s="2" t="inlineStr">
        <is>
          <t>Notes may support direct extraction or decomposition with provenance. Formula outputs must be derived only from template dependencies.</t>
        </is>
      </c>
      <c r="AF275" s="2" t="inlineStr"/>
      <c r="AG275" s="2" t="inlineStr">
        <is>
          <t>[]</t>
        </is>
      </c>
      <c r="AH275" s="2" t="inlineStr">
        <is>
          <t>Interest income from Entrusted loan receivables</t>
        </is>
      </c>
      <c r="AI275" s="2" t="inlineStr"/>
      <c r="AJ275" s="2" t="inlineStr">
        <is>
          <t>{"template_sheet": "Income Statement", "template_row": 51, "template_cell": "B51", "template_value_or_formula": 15, "calculation_type": "reported_input", "dependencies": [], "source_template": "Copy of Output_CSV Template.xlsx"}</t>
        </is>
      </c>
    </row>
    <row r="276">
      <c r="A276" s="2" t="inlineStr">
        <is>
          <t>is_pl__interest_income</t>
        </is>
      </c>
      <c r="B276" s="2" t="inlineStr">
        <is>
          <t>Interest Income</t>
        </is>
      </c>
      <c r="C276" s="2" t="inlineStr">
        <is>
          <t>is_pl</t>
        </is>
      </c>
      <c r="D276" s="2" t="inlineStr">
        <is>
          <t>Extract the reported value for 'Interest Income' from the stated section. Do not calculate or replace it from other rows, because the revised template does not designate this field as formula-driven.</t>
        </is>
      </c>
      <c r="E276" s="2" t="inlineStr">
        <is>
          <t>Interest Income</t>
        </is>
      </c>
      <c r="F276" s="2" t="inlineStr">
        <is>
          <t>Interest Income</t>
        </is>
      </c>
      <c r="G276" s="2" t="inlineStr">
        <is>
          <t>^Interest\s+Income$</t>
        </is>
      </c>
      <c r="H276" s="2" t="inlineStr"/>
      <c r="I276" s="2" t="inlineStr">
        <is>
          <t>Amounts or disclosures explicitly reported for Interest Income in Income Statement / is_pl.</t>
        </is>
      </c>
      <c r="J276" s="2" t="inlineStr">
        <is>
          <t>Do not substitute another section, period, entity scope, currency or unit; do not double count a parent and its children.</t>
        </is>
      </c>
      <c r="K276" s="2" t="inlineStr"/>
      <c r="L276" s="2" t="inlineStr">
        <is>
          <t>as_reported</t>
        </is>
      </c>
      <c r="M276" s="2" t="inlineStr">
        <is>
          <t>direct_exclusive</t>
        </is>
      </c>
      <c r="N276" s="2" t="n">
        <v>90</v>
      </c>
      <c r="O276" s="2" t="inlineStr">
        <is>
          <t>normalized_exact_then_regex</t>
        </is>
      </c>
      <c r="P276" s="3" t="inlineStr">
        <is>
          <t>extract</t>
        </is>
      </c>
      <c r="Q276" s="2" t="inlineStr">
        <is>
          <t>currency_amount</t>
        </is>
      </c>
      <c r="R276" s="2" t="inlineStr">
        <is>
          <t>period_flow</t>
        </is>
      </c>
      <c r="S276" s="2" t="inlineStr">
        <is>
          <t>allowed_with_provenance</t>
        </is>
      </c>
      <c r="T276" s="2" t="b">
        <v>0</v>
      </c>
      <c r="U276" s="2" t="b">
        <v>0</v>
      </c>
      <c r="V276" s="2" t="inlineStr"/>
      <c r="W276" s="2" t="inlineStr"/>
      <c r="X276" s="2" t="inlineStr">
        <is>
          <t>Decompose only from explicit face or note evidence; never fabricate a split.</t>
        </is>
      </c>
      <c r="Y276" s="2" t="inlineStr">
        <is>
          <t>Aggregate only mutually exclusive facts with identical period, scope, currency and unit.</t>
        </is>
      </c>
      <c r="Z276" s="2" t="inlineStr">
        <is>
          <t>Bind only to Income Statement / is_pl.</t>
        </is>
      </c>
      <c r="AA276" s="2" t="inlineStr"/>
      <c r="AB276" s="2" t="b">
        <v>1</v>
      </c>
      <c r="AC276" s="2" t="inlineStr"/>
      <c r="AD276" s="2" t="inlineStr">
        <is>
          <t>Exact field from Income Statement!A52; value cell B52.</t>
        </is>
      </c>
      <c r="AE276" s="2" t="inlineStr">
        <is>
          <t>Notes may support direct extraction or decomposition with provenance. Formula outputs must be derived only from template dependencies.</t>
        </is>
      </c>
      <c r="AF276" s="2" t="inlineStr"/>
      <c r="AG276" s="2" t="inlineStr">
        <is>
          <t>[]</t>
        </is>
      </c>
      <c r="AH276" s="2" t="inlineStr">
        <is>
          <t>Interest Income</t>
        </is>
      </c>
      <c r="AI276" s="2" t="inlineStr"/>
      <c r="AJ276" s="2" t="inlineStr">
        <is>
          <t>{"template_sheet": "Income Statement", "template_row": 52, "template_cell": "B52", "template_value_or_formula": 32, "calculation_type": "reported_input", "dependencies": [], "source_template": "Copy of Output_CSV Template.xlsx"}</t>
        </is>
      </c>
    </row>
    <row r="277">
      <c r="A277" s="2" t="inlineStr">
        <is>
          <t>is_pl__interest_on_lease_liabilities</t>
        </is>
      </c>
      <c r="B277" s="2" t="inlineStr">
        <is>
          <t>Interest on lease liabilities</t>
        </is>
      </c>
      <c r="C277" s="2" t="inlineStr">
        <is>
          <t>is_pl</t>
        </is>
      </c>
      <c r="D277" s="2" t="inlineStr">
        <is>
          <t>Extract the reported value for 'Interest on lease liabilities' from the stated section. Do not calculate or replace it from other rows, because the revised template does not designate this field as formula-driven.</t>
        </is>
      </c>
      <c r="E277" s="2" t="inlineStr">
        <is>
          <t>Interest on lease liabilities</t>
        </is>
      </c>
      <c r="F277" s="2" t="inlineStr">
        <is>
          <t>Interest on lease liabilities</t>
        </is>
      </c>
      <c r="G277" s="2" t="inlineStr">
        <is>
          <t>^Interest\s+on\s+lease\s+liabilities$</t>
        </is>
      </c>
      <c r="H277" s="2" t="inlineStr"/>
      <c r="I277" s="2" t="inlineStr">
        <is>
          <t>Amounts or disclosures explicitly reported for Interest on lease liabilities in Income Statement / is_pl.</t>
        </is>
      </c>
      <c r="J277" s="2" t="inlineStr">
        <is>
          <t>Do not substitute another section, period, entity scope, currency or unit; do not double count a parent and its children.</t>
        </is>
      </c>
      <c r="K277" s="2" t="inlineStr"/>
      <c r="L277" s="2" t="inlineStr">
        <is>
          <t>as_reported</t>
        </is>
      </c>
      <c r="M277" s="2" t="inlineStr">
        <is>
          <t>direct_exclusive</t>
        </is>
      </c>
      <c r="N277" s="2" t="n">
        <v>90</v>
      </c>
      <c r="O277" s="2" t="inlineStr">
        <is>
          <t>normalized_exact_then_regex</t>
        </is>
      </c>
      <c r="P277" s="3" t="inlineStr">
        <is>
          <t>extract</t>
        </is>
      </c>
      <c r="Q277" s="2" t="inlineStr">
        <is>
          <t>currency_amount</t>
        </is>
      </c>
      <c r="R277" s="2" t="inlineStr">
        <is>
          <t>period_flow</t>
        </is>
      </c>
      <c r="S277" s="2" t="inlineStr">
        <is>
          <t>allowed_with_provenance</t>
        </is>
      </c>
      <c r="T277" s="2" t="b">
        <v>0</v>
      </c>
      <c r="U277" s="2" t="b">
        <v>0</v>
      </c>
      <c r="V277" s="2" t="inlineStr"/>
      <c r="W277" s="2" t="inlineStr"/>
      <c r="X277" s="2" t="inlineStr">
        <is>
          <t>Decompose only from explicit face or note evidence; never fabricate a split.</t>
        </is>
      </c>
      <c r="Y277" s="2" t="inlineStr">
        <is>
          <t>Aggregate only mutually exclusive facts with identical period, scope, currency and unit.</t>
        </is>
      </c>
      <c r="Z277" s="2" t="inlineStr">
        <is>
          <t>Bind only to Income Statement / is_pl.</t>
        </is>
      </c>
      <c r="AA277" s="2" t="inlineStr"/>
      <c r="AB277" s="2" t="b">
        <v>1</v>
      </c>
      <c r="AC277" s="2" t="inlineStr"/>
      <c r="AD277" s="2" t="inlineStr">
        <is>
          <t>Exact field from Income Statement!A53; value cell B53.</t>
        </is>
      </c>
      <c r="AE277" s="2" t="inlineStr">
        <is>
          <t>Notes may support direct extraction or decomposition with provenance. Formula outputs must be derived only from template dependencies.</t>
        </is>
      </c>
      <c r="AF277" s="2" t="inlineStr"/>
      <c r="AG277" s="2" t="inlineStr">
        <is>
          <t>[]</t>
        </is>
      </c>
      <c r="AH277" s="2" t="inlineStr">
        <is>
          <t>Interest on lease liabilities</t>
        </is>
      </c>
      <c r="AI277" s="2" t="inlineStr"/>
      <c r="AJ277" s="2" t="inlineStr">
        <is>
          <t>{"template_sheet": "Income Statement", "template_row": 53, "template_cell": "B53", "template_value_or_formula": 49, "calculation_type": "reported_input", "dependencies": [], "source_template": "Copy of Output_CSV Template.xlsx"}</t>
        </is>
      </c>
    </row>
    <row r="278">
      <c r="A278" s="2" t="inlineStr">
        <is>
          <t>is_pl__interest_on_debt_market_instruments</t>
        </is>
      </c>
      <c r="B278" s="2" t="inlineStr">
        <is>
          <t>Interest on debt market instruments</t>
        </is>
      </c>
      <c r="C278" s="2" t="inlineStr">
        <is>
          <t>is_pl</t>
        </is>
      </c>
      <c r="D278" s="2" t="inlineStr">
        <is>
          <t>Extract the reported value for 'Interest on debt market instruments' from the stated section. Do not calculate or replace it from other rows, because the revised template does not designate this field as formula-driven.</t>
        </is>
      </c>
      <c r="E278" s="2" t="inlineStr">
        <is>
          <t>Interest on debt market instruments</t>
        </is>
      </c>
      <c r="F278" s="2" t="inlineStr">
        <is>
          <t>Interest on debt market instruments</t>
        </is>
      </c>
      <c r="G278" s="2" t="inlineStr">
        <is>
          <t>^Interest\s+on\s+debt\s+market\s+instruments$</t>
        </is>
      </c>
      <c r="H278" s="2" t="inlineStr"/>
      <c r="I278" s="2" t="inlineStr">
        <is>
          <t>Amounts or disclosures explicitly reported for Interest on debt market instruments in Income Statement / is_pl.</t>
        </is>
      </c>
      <c r="J278" s="2" t="inlineStr">
        <is>
          <t>Do not substitute another section, period, entity scope, currency or unit; do not double count a parent and its children.</t>
        </is>
      </c>
      <c r="K278" s="2" t="inlineStr"/>
      <c r="L278" s="2" t="inlineStr">
        <is>
          <t>as_reported</t>
        </is>
      </c>
      <c r="M278" s="2" t="inlineStr">
        <is>
          <t>direct_exclusive</t>
        </is>
      </c>
      <c r="N278" s="2" t="n">
        <v>90</v>
      </c>
      <c r="O278" s="2" t="inlineStr">
        <is>
          <t>normalized_exact_then_regex</t>
        </is>
      </c>
      <c r="P278" s="3" t="inlineStr">
        <is>
          <t>extract</t>
        </is>
      </c>
      <c r="Q278" s="2" t="inlineStr">
        <is>
          <t>currency_amount</t>
        </is>
      </c>
      <c r="R278" s="2" t="inlineStr">
        <is>
          <t>period_flow</t>
        </is>
      </c>
      <c r="S278" s="2" t="inlineStr">
        <is>
          <t>allowed_with_provenance</t>
        </is>
      </c>
      <c r="T278" s="2" t="b">
        <v>0</v>
      </c>
      <c r="U278" s="2" t="b">
        <v>0</v>
      </c>
      <c r="V278" s="2" t="inlineStr"/>
      <c r="W278" s="2" t="inlineStr"/>
      <c r="X278" s="2" t="inlineStr">
        <is>
          <t>Decompose only from explicit face or note evidence; never fabricate a split.</t>
        </is>
      </c>
      <c r="Y278" s="2" t="inlineStr">
        <is>
          <t>Aggregate only mutually exclusive facts with identical period, scope, currency and unit.</t>
        </is>
      </c>
      <c r="Z278" s="2" t="inlineStr">
        <is>
          <t>Bind only to Income Statement / is_pl.</t>
        </is>
      </c>
      <c r="AA278" s="2" t="inlineStr"/>
      <c r="AB278" s="2" t="b">
        <v>1</v>
      </c>
      <c r="AC278" s="2" t="inlineStr"/>
      <c r="AD278" s="2" t="inlineStr">
        <is>
          <t>Exact field from Income Statement!A54; value cell B54.</t>
        </is>
      </c>
      <c r="AE278" s="2" t="inlineStr">
        <is>
          <t>Notes may support direct extraction or decomposition with provenance. Formula outputs must be derived only from template dependencies.</t>
        </is>
      </c>
      <c r="AF278" s="2" t="inlineStr"/>
      <c r="AG278" s="2" t="inlineStr">
        <is>
          <t>[]</t>
        </is>
      </c>
      <c r="AH278" s="2" t="inlineStr">
        <is>
          <t>Interest on debt market instruments</t>
        </is>
      </c>
      <c r="AI278" s="2" t="inlineStr"/>
      <c r="AJ278" s="2" t="inlineStr">
        <is>
          <t>{"template_sheet": "Income Statement", "template_row": 54, "template_cell": "B54", "template_value_or_formula": 23, "calculation_type": "reported_input", "dependencies": [], "source_template": "Copy of Output_CSV Template.xlsx"}</t>
        </is>
      </c>
    </row>
    <row r="279">
      <c r="A279" s="2" t="inlineStr">
        <is>
          <t>is_pl__interest_on_capital_market_instruments</t>
        </is>
      </c>
      <c r="B279" s="2" t="inlineStr">
        <is>
          <t>Interest on capital market instruments</t>
        </is>
      </c>
      <c r="C279" s="2" t="inlineStr">
        <is>
          <t>is_pl</t>
        </is>
      </c>
      <c r="D279" s="2" t="inlineStr">
        <is>
          <t>Extract the reported value for 'Interest on capital market instruments' from the stated section. Do not calculate or replace it from other rows, because the revised template does not designate this field as formula-driven.</t>
        </is>
      </c>
      <c r="E279" s="2" t="inlineStr">
        <is>
          <t>Interest on capital market instruments</t>
        </is>
      </c>
      <c r="F279" s="2" t="inlineStr">
        <is>
          <t>Interest on capital market instruments</t>
        </is>
      </c>
      <c r="G279" s="2" t="inlineStr">
        <is>
          <t>^Interest\s+on\s+capital\s+market\s+instruments$</t>
        </is>
      </c>
      <c r="H279" s="2" t="inlineStr"/>
      <c r="I279" s="2" t="inlineStr">
        <is>
          <t>Amounts or disclosures explicitly reported for Interest on capital market instruments in Income Statement / is_pl.</t>
        </is>
      </c>
      <c r="J279" s="2" t="inlineStr">
        <is>
          <t>Do not substitute another section, period, entity scope, currency or unit; do not double count a parent and its children.</t>
        </is>
      </c>
      <c r="K279" s="2" t="inlineStr"/>
      <c r="L279" s="2" t="inlineStr">
        <is>
          <t>as_reported</t>
        </is>
      </c>
      <c r="M279" s="2" t="inlineStr">
        <is>
          <t>direct_exclusive</t>
        </is>
      </c>
      <c r="N279" s="2" t="n">
        <v>90</v>
      </c>
      <c r="O279" s="2" t="inlineStr">
        <is>
          <t>normalized_exact_then_regex</t>
        </is>
      </c>
      <c r="P279" s="3" t="inlineStr">
        <is>
          <t>extract</t>
        </is>
      </c>
      <c r="Q279" s="2" t="inlineStr">
        <is>
          <t>currency_amount</t>
        </is>
      </c>
      <c r="R279" s="2" t="inlineStr">
        <is>
          <t>period_flow</t>
        </is>
      </c>
      <c r="S279" s="2" t="inlineStr">
        <is>
          <t>allowed_with_provenance</t>
        </is>
      </c>
      <c r="T279" s="2" t="b">
        <v>0</v>
      </c>
      <c r="U279" s="2" t="b">
        <v>0</v>
      </c>
      <c r="V279" s="2" t="inlineStr"/>
      <c r="W279" s="2" t="inlineStr"/>
      <c r="X279" s="2" t="inlineStr">
        <is>
          <t>Decompose only from explicit face or note evidence; never fabricate a split.</t>
        </is>
      </c>
      <c r="Y279" s="2" t="inlineStr">
        <is>
          <t>Aggregate only mutually exclusive facts with identical period, scope, currency and unit.</t>
        </is>
      </c>
      <c r="Z279" s="2" t="inlineStr">
        <is>
          <t>Bind only to Income Statement / is_pl.</t>
        </is>
      </c>
      <c r="AA279" s="2" t="inlineStr"/>
      <c r="AB279" s="2" t="b">
        <v>1</v>
      </c>
      <c r="AC279" s="2" t="inlineStr"/>
      <c r="AD279" s="2" t="inlineStr">
        <is>
          <t>Exact field from Income Statement!A55; value cell B55.</t>
        </is>
      </c>
      <c r="AE279" s="2" t="inlineStr">
        <is>
          <t>Notes may support direct extraction or decomposition with provenance. Formula outputs must be derived only from template dependencies.</t>
        </is>
      </c>
      <c r="AF279" s="2" t="inlineStr"/>
      <c r="AG279" s="2" t="inlineStr">
        <is>
          <t>[]</t>
        </is>
      </c>
      <c r="AH279" s="2" t="inlineStr">
        <is>
          <t>Interest on capital market instruments</t>
        </is>
      </c>
      <c r="AI279" s="2" t="inlineStr"/>
      <c r="AJ279" s="2" t="inlineStr">
        <is>
          <t>{"template_sheet": "Income Statement", "template_row": 55, "template_cell": "B55", "template_value_or_formula": 40, "calculation_type": "reported_input", "dependencies": [], "source_template": "Copy of Output_CSV Template.xlsx"}</t>
        </is>
      </c>
    </row>
    <row r="280">
      <c r="A280" s="2" t="inlineStr">
        <is>
          <t>is_pl__interest_on_trade_finance</t>
        </is>
      </c>
      <c r="B280" s="2" t="inlineStr">
        <is>
          <t>Interest on trade finance</t>
        </is>
      </c>
      <c r="C280" s="2" t="inlineStr">
        <is>
          <t>is_pl</t>
        </is>
      </c>
      <c r="D280" s="2" t="inlineStr">
        <is>
          <t>Extract the reported value for 'Interest on trade finance' from the stated section. Do not calculate or replace it from other rows, because the revised template does not designate this field as formula-driven.</t>
        </is>
      </c>
      <c r="E280" s="2" t="inlineStr">
        <is>
          <t>Interest on trade finance</t>
        </is>
      </c>
      <c r="F280" s="2" t="inlineStr">
        <is>
          <t>Interest on trade finance</t>
        </is>
      </c>
      <c r="G280" s="2" t="inlineStr">
        <is>
          <t>^Interest\s+on\s+trade\s+finance$</t>
        </is>
      </c>
      <c r="H280" s="2" t="inlineStr"/>
      <c r="I280" s="2" t="inlineStr">
        <is>
          <t>Amounts or disclosures explicitly reported for Interest on trade finance in Income Statement / is_pl.</t>
        </is>
      </c>
      <c r="J280" s="2" t="inlineStr">
        <is>
          <t>Do not substitute another section, period, entity scope, currency or unit; do not double count a parent and its children.</t>
        </is>
      </c>
      <c r="K280" s="2" t="inlineStr"/>
      <c r="L280" s="2" t="inlineStr">
        <is>
          <t>as_reported</t>
        </is>
      </c>
      <c r="M280" s="2" t="inlineStr">
        <is>
          <t>direct_exclusive</t>
        </is>
      </c>
      <c r="N280" s="2" t="n">
        <v>90</v>
      </c>
      <c r="O280" s="2" t="inlineStr">
        <is>
          <t>normalized_exact_then_regex</t>
        </is>
      </c>
      <c r="P280" s="3" t="inlineStr">
        <is>
          <t>extract</t>
        </is>
      </c>
      <c r="Q280" s="2" t="inlineStr">
        <is>
          <t>currency_amount</t>
        </is>
      </c>
      <c r="R280" s="2" t="inlineStr">
        <is>
          <t>period_flow</t>
        </is>
      </c>
      <c r="S280" s="2" t="inlineStr">
        <is>
          <t>allowed_with_provenance</t>
        </is>
      </c>
      <c r="T280" s="2" t="b">
        <v>0</v>
      </c>
      <c r="U280" s="2" t="b">
        <v>0</v>
      </c>
      <c r="V280" s="2" t="inlineStr"/>
      <c r="W280" s="2" t="inlineStr"/>
      <c r="X280" s="2" t="inlineStr">
        <is>
          <t>Decompose only from explicit face or note evidence; never fabricate a split.</t>
        </is>
      </c>
      <c r="Y280" s="2" t="inlineStr">
        <is>
          <t>Aggregate only mutually exclusive facts with identical period, scope, currency and unit.</t>
        </is>
      </c>
      <c r="Z280" s="2" t="inlineStr">
        <is>
          <t>Bind only to Income Statement / is_pl.</t>
        </is>
      </c>
      <c r="AA280" s="2" t="inlineStr"/>
      <c r="AB280" s="2" t="b">
        <v>1</v>
      </c>
      <c r="AC280" s="2" t="inlineStr"/>
      <c r="AD280" s="2" t="inlineStr">
        <is>
          <t>Exact field from Income Statement!A56; value cell B56.</t>
        </is>
      </c>
      <c r="AE280" s="2" t="inlineStr">
        <is>
          <t>Notes may support direct extraction or decomposition with provenance. Formula outputs must be derived only from template dependencies.</t>
        </is>
      </c>
      <c r="AF280" s="2" t="inlineStr"/>
      <c r="AG280" s="2" t="inlineStr">
        <is>
          <t>[]</t>
        </is>
      </c>
      <c r="AH280" s="2" t="inlineStr">
        <is>
          <t>Interest on trade finance</t>
        </is>
      </c>
      <c r="AI280" s="2" t="inlineStr"/>
      <c r="AJ280" s="2" t="inlineStr">
        <is>
          <t>{"template_sheet": "Income Statement", "template_row": 56, "template_cell": "B56", "template_value_or_formula": 14, "calculation_type": "reported_input", "dependencies": [], "source_template": "Copy of Output_CSV Template.xlsx"}</t>
        </is>
      </c>
    </row>
    <row r="281">
      <c r="A281" s="2" t="inlineStr">
        <is>
          <t>is_pl__interest_paid_to_related_parties</t>
        </is>
      </c>
      <c r="B281" s="2" t="inlineStr">
        <is>
          <t>Interest paid to related parties</t>
        </is>
      </c>
      <c r="C281" s="2" t="inlineStr">
        <is>
          <t>is_pl</t>
        </is>
      </c>
      <c r="D281" s="2" t="inlineStr">
        <is>
          <t>Extract the reported value for 'Interest paid to related parties' from the stated section. Do not calculate or replace it from other rows, because the revised template does not designate this field as formula-driven.</t>
        </is>
      </c>
      <c r="E281" s="2" t="inlineStr">
        <is>
          <t>Interest paid to related parties</t>
        </is>
      </c>
      <c r="F281" s="2" t="inlineStr">
        <is>
          <t>Interest paid to related parties</t>
        </is>
      </c>
      <c r="G281" s="2" t="inlineStr">
        <is>
          <t>^Interest\s+paid\s+to\s+related\s+parties$</t>
        </is>
      </c>
      <c r="H281" s="2" t="inlineStr"/>
      <c r="I281" s="2" t="inlineStr">
        <is>
          <t>Amounts or disclosures explicitly reported for Interest paid to related parties in Income Statement / is_pl.</t>
        </is>
      </c>
      <c r="J281" s="2" t="inlineStr">
        <is>
          <t>Do not substitute another section, period, entity scope, currency or unit; do not double count a parent and its children.</t>
        </is>
      </c>
      <c r="K281" s="2" t="inlineStr"/>
      <c r="L281" s="2" t="inlineStr">
        <is>
          <t>as_reported</t>
        </is>
      </c>
      <c r="M281" s="2" t="inlineStr">
        <is>
          <t>direct_exclusive</t>
        </is>
      </c>
      <c r="N281" s="2" t="n">
        <v>90</v>
      </c>
      <c r="O281" s="2" t="inlineStr">
        <is>
          <t>normalized_exact_then_regex</t>
        </is>
      </c>
      <c r="P281" s="3" t="inlineStr">
        <is>
          <t>extract</t>
        </is>
      </c>
      <c r="Q281" s="2" t="inlineStr">
        <is>
          <t>currency_amount</t>
        </is>
      </c>
      <c r="R281" s="2" t="inlineStr">
        <is>
          <t>period_flow</t>
        </is>
      </c>
      <c r="S281" s="2" t="inlineStr">
        <is>
          <t>allowed_with_provenance</t>
        </is>
      </c>
      <c r="T281" s="2" t="b">
        <v>0</v>
      </c>
      <c r="U281" s="2" t="b">
        <v>0</v>
      </c>
      <c r="V281" s="2" t="inlineStr"/>
      <c r="W281" s="2" t="inlineStr"/>
      <c r="X281" s="2" t="inlineStr">
        <is>
          <t>Decompose only from explicit face or note evidence; never fabricate a split.</t>
        </is>
      </c>
      <c r="Y281" s="2" t="inlineStr">
        <is>
          <t>Aggregate only mutually exclusive facts with identical period, scope, currency and unit.</t>
        </is>
      </c>
      <c r="Z281" s="2" t="inlineStr">
        <is>
          <t>Bind only to Income Statement / is_pl.</t>
        </is>
      </c>
      <c r="AA281" s="2" t="inlineStr"/>
      <c r="AB281" s="2" t="b">
        <v>1</v>
      </c>
      <c r="AC281" s="2" t="inlineStr"/>
      <c r="AD281" s="2" t="inlineStr">
        <is>
          <t>Exact field from Income Statement!A57; value cell B57.</t>
        </is>
      </c>
      <c r="AE281" s="2" t="inlineStr">
        <is>
          <t>Notes may support direct extraction or decomposition with provenance. Formula outputs must be derived only from template dependencies.</t>
        </is>
      </c>
      <c r="AF281" s="2" t="inlineStr"/>
      <c r="AG281" s="2" t="inlineStr">
        <is>
          <t>[]</t>
        </is>
      </c>
      <c r="AH281" s="2" t="inlineStr">
        <is>
          <t>Interest paid to related parties</t>
        </is>
      </c>
      <c r="AI281" s="2" t="inlineStr"/>
      <c r="AJ281" s="2" t="inlineStr">
        <is>
          <t>{"template_sheet": "Income Statement", "template_row": 57, "template_cell": "B57", "template_value_or_formula": 31, "calculation_type": "reported_input", "dependencies": [], "source_template": "Copy of Output_CSV Template.xlsx"}</t>
        </is>
      </c>
    </row>
    <row r="282">
      <c r="A282" s="2" t="inlineStr">
        <is>
          <t>is_pl__interest_expense_capitalised</t>
        </is>
      </c>
      <c r="B282" s="2" t="inlineStr">
        <is>
          <t>Interest expense - capitalised</t>
        </is>
      </c>
      <c r="C282" s="2" t="inlineStr">
        <is>
          <t>is_pl</t>
        </is>
      </c>
      <c r="D282" s="2" t="inlineStr">
        <is>
          <t>Extract the reported value for 'Interest expense - capitalised' from the stated section. Do not calculate or replace it from other rows, because the revised template does not designate this field as formula-driven.</t>
        </is>
      </c>
      <c r="E282" s="2" t="inlineStr">
        <is>
          <t>Interest expense - capitalised</t>
        </is>
      </c>
      <c r="F282" s="2" t="inlineStr">
        <is>
          <t>Interest expense - capitalised</t>
        </is>
      </c>
      <c r="G282" s="2" t="inlineStr">
        <is>
          <t>^Interest\s+expense\s+[\-–—]?\s+capitalised$</t>
        </is>
      </c>
      <c r="H282" s="2" t="inlineStr"/>
      <c r="I282" s="2" t="inlineStr">
        <is>
          <t>Amounts or disclosures explicitly reported for Interest expense - capitalised in Income Statement / is_pl.</t>
        </is>
      </c>
      <c r="J282" s="2" t="inlineStr">
        <is>
          <t>Do not substitute another section, period, entity scope, currency or unit; do not double count a parent and its children.</t>
        </is>
      </c>
      <c r="K282" s="2" t="inlineStr"/>
      <c r="L282" s="2" t="inlineStr">
        <is>
          <t>as_reported</t>
        </is>
      </c>
      <c r="M282" s="2" t="inlineStr">
        <is>
          <t>direct_exclusive</t>
        </is>
      </c>
      <c r="N282" s="2" t="n">
        <v>90</v>
      </c>
      <c r="O282" s="2" t="inlineStr">
        <is>
          <t>normalized_exact_then_regex</t>
        </is>
      </c>
      <c r="P282" s="3" t="inlineStr">
        <is>
          <t>extract</t>
        </is>
      </c>
      <c r="Q282" s="2" t="inlineStr">
        <is>
          <t>currency_amount</t>
        </is>
      </c>
      <c r="R282" s="2" t="inlineStr">
        <is>
          <t>period_flow</t>
        </is>
      </c>
      <c r="S282" s="2" t="inlineStr">
        <is>
          <t>allowed_with_provenance</t>
        </is>
      </c>
      <c r="T282" s="2" t="b">
        <v>0</v>
      </c>
      <c r="U282" s="2" t="b">
        <v>0</v>
      </c>
      <c r="V282" s="2" t="inlineStr"/>
      <c r="W282" s="2" t="inlineStr"/>
      <c r="X282" s="2" t="inlineStr">
        <is>
          <t>Decompose only from explicit face or note evidence; never fabricate a split.</t>
        </is>
      </c>
      <c r="Y282" s="2" t="inlineStr">
        <is>
          <t>Aggregate only mutually exclusive facts with identical period, scope, currency and unit.</t>
        </is>
      </c>
      <c r="Z282" s="2" t="inlineStr">
        <is>
          <t>Bind only to Income Statement / is_pl.</t>
        </is>
      </c>
      <c r="AA282" s="2" t="inlineStr"/>
      <c r="AB282" s="2" t="b">
        <v>1</v>
      </c>
      <c r="AC282" s="2" t="inlineStr"/>
      <c r="AD282" s="2" t="inlineStr">
        <is>
          <t>Exact field from Income Statement!A58; value cell B58.</t>
        </is>
      </c>
      <c r="AE282" s="2" t="inlineStr">
        <is>
          <t>Notes may support direct extraction or decomposition with provenance. Formula outputs must be derived only from template dependencies.</t>
        </is>
      </c>
      <c r="AF282" s="2" t="inlineStr"/>
      <c r="AG282" s="2" t="inlineStr">
        <is>
          <t>[]</t>
        </is>
      </c>
      <c r="AH282" s="2" t="inlineStr">
        <is>
          <t>Interest expense - capitalised</t>
        </is>
      </c>
      <c r="AI282" s="2" t="inlineStr"/>
      <c r="AJ282" s="2" t="inlineStr">
        <is>
          <t>{"template_sheet": "Income Statement", "template_row": 58, "template_cell": "B58", "template_value_or_formula": 48, "calculation_type": "reported_input", "dependencies": [], "source_template": "Copy of Output_CSV Template.xlsx"}</t>
        </is>
      </c>
    </row>
    <row r="283">
      <c r="A283" s="2" t="inlineStr">
        <is>
          <t>is_pl__finance_cost_on_derivatives</t>
        </is>
      </c>
      <c r="B283" s="2" t="inlineStr">
        <is>
          <t>Finance cost on derivatives</t>
        </is>
      </c>
      <c r="C283" s="2" t="inlineStr">
        <is>
          <t>is_pl</t>
        </is>
      </c>
      <c r="D283" s="2" t="inlineStr">
        <is>
          <t>Extract the reported value for 'Finance cost on derivatives' from the stated section. Do not calculate or replace it from other rows, because the revised template does not designate this field as formula-driven.</t>
        </is>
      </c>
      <c r="E283" s="2" t="inlineStr">
        <is>
          <t>Finance cost on derivatives</t>
        </is>
      </c>
      <c r="F283" s="2" t="inlineStr">
        <is>
          <t>Finance cost on derivatives</t>
        </is>
      </c>
      <c r="G283" s="2" t="inlineStr">
        <is>
          <t>^Finance\s+cost\s+on\s+derivatives$</t>
        </is>
      </c>
      <c r="H283" s="2" t="inlineStr"/>
      <c r="I283" s="2" t="inlineStr">
        <is>
          <t>Amounts or disclosures explicitly reported for Finance cost on derivatives in Income Statement / is_pl.</t>
        </is>
      </c>
      <c r="J283" s="2" t="inlineStr">
        <is>
          <t>Do not substitute another section, period, entity scope, currency or unit; do not double count a parent and its children.</t>
        </is>
      </c>
      <c r="K283" s="2" t="inlineStr"/>
      <c r="L283" s="2" t="inlineStr">
        <is>
          <t>as_reported</t>
        </is>
      </c>
      <c r="M283" s="2" t="inlineStr">
        <is>
          <t>direct_exclusive</t>
        </is>
      </c>
      <c r="N283" s="2" t="n">
        <v>90</v>
      </c>
      <c r="O283" s="2" t="inlineStr">
        <is>
          <t>normalized_exact_then_regex</t>
        </is>
      </c>
      <c r="P283" s="3" t="inlineStr">
        <is>
          <t>extract</t>
        </is>
      </c>
      <c r="Q283" s="2" t="inlineStr">
        <is>
          <t>currency_amount</t>
        </is>
      </c>
      <c r="R283" s="2" t="inlineStr">
        <is>
          <t>period_flow</t>
        </is>
      </c>
      <c r="S283" s="2" t="inlineStr">
        <is>
          <t>allowed_with_provenance</t>
        </is>
      </c>
      <c r="T283" s="2" t="b">
        <v>0</v>
      </c>
      <c r="U283" s="2" t="b">
        <v>0</v>
      </c>
      <c r="V283" s="2" t="inlineStr"/>
      <c r="W283" s="2" t="inlineStr"/>
      <c r="X283" s="2" t="inlineStr">
        <is>
          <t>Decompose only from explicit face or note evidence; never fabricate a split.</t>
        </is>
      </c>
      <c r="Y283" s="2" t="inlineStr">
        <is>
          <t>Aggregate only mutually exclusive facts with identical period, scope, currency and unit.</t>
        </is>
      </c>
      <c r="Z283" s="2" t="inlineStr">
        <is>
          <t>Bind only to Income Statement / is_pl.</t>
        </is>
      </c>
      <c r="AA283" s="2" t="inlineStr"/>
      <c r="AB283" s="2" t="b">
        <v>1</v>
      </c>
      <c r="AC283" s="2" t="inlineStr"/>
      <c r="AD283" s="2" t="inlineStr">
        <is>
          <t>Exact field from Income Statement!A59; value cell B59.</t>
        </is>
      </c>
      <c r="AE283" s="2" t="inlineStr">
        <is>
          <t>Notes may support direct extraction or decomposition with provenance. Formula outputs must be derived only from template dependencies.</t>
        </is>
      </c>
      <c r="AF283" s="2" t="inlineStr"/>
      <c r="AG283" s="2" t="inlineStr">
        <is>
          <t>[]</t>
        </is>
      </c>
      <c r="AH283" s="2" t="inlineStr">
        <is>
          <t>Finance cost on derivatives</t>
        </is>
      </c>
      <c r="AI283" s="2" t="inlineStr"/>
      <c r="AJ283" s="2" t="inlineStr">
        <is>
          <t>{"template_sheet": "Income Statement", "template_row": 59, "template_cell": "B59", "template_value_or_formula": 22, "calculation_type": "reported_input", "dependencies": [], "source_template": "Copy of Output_CSV Template.xlsx"}</t>
        </is>
      </c>
    </row>
    <row r="284">
      <c r="A284" s="2" t="inlineStr">
        <is>
          <t>is_pl__bank_charge_and_interest_expense</t>
        </is>
      </c>
      <c r="B284" s="2" t="inlineStr">
        <is>
          <t>Bank charge and interest expense</t>
        </is>
      </c>
      <c r="C284" s="2" t="inlineStr">
        <is>
          <t>is_pl</t>
        </is>
      </c>
      <c r="D284" s="2" t="inlineStr">
        <is>
          <t>Extract the reported value for 'Bank charge and interest expense' from the stated section. Do not calculate or replace it from other rows, because the revised template does not designate this field as formula-driven.</t>
        </is>
      </c>
      <c r="E284" s="2" t="inlineStr">
        <is>
          <t>Bank charge and interest expense</t>
        </is>
      </c>
      <c r="F284" s="2" t="inlineStr">
        <is>
          <t>Bank charge and interest expense</t>
        </is>
      </c>
      <c r="G284" s="2" t="inlineStr">
        <is>
          <t>^Bank\s+charge\s+and\s+interest\s+expense$</t>
        </is>
      </c>
      <c r="H284" s="2" t="inlineStr"/>
      <c r="I284" s="2" t="inlineStr">
        <is>
          <t>Amounts or disclosures explicitly reported for Bank charge and interest expense in Income Statement / is_pl.</t>
        </is>
      </c>
      <c r="J284" s="2" t="inlineStr">
        <is>
          <t>Do not substitute another section, period, entity scope, currency or unit; do not double count a parent and its children.</t>
        </is>
      </c>
      <c r="K284" s="2" t="inlineStr"/>
      <c r="L284" s="2" t="inlineStr">
        <is>
          <t>as_reported</t>
        </is>
      </c>
      <c r="M284" s="2" t="inlineStr">
        <is>
          <t>direct_exclusive</t>
        </is>
      </c>
      <c r="N284" s="2" t="n">
        <v>90</v>
      </c>
      <c r="O284" s="2" t="inlineStr">
        <is>
          <t>normalized_exact_then_regex</t>
        </is>
      </c>
      <c r="P284" s="3" t="inlineStr">
        <is>
          <t>extract</t>
        </is>
      </c>
      <c r="Q284" s="2" t="inlineStr">
        <is>
          <t>currency_amount</t>
        </is>
      </c>
      <c r="R284" s="2" t="inlineStr">
        <is>
          <t>period_flow</t>
        </is>
      </c>
      <c r="S284" s="2" t="inlineStr">
        <is>
          <t>allowed_with_provenance</t>
        </is>
      </c>
      <c r="T284" s="2" t="b">
        <v>0</v>
      </c>
      <c r="U284" s="2" t="b">
        <v>0</v>
      </c>
      <c r="V284" s="2" t="inlineStr"/>
      <c r="W284" s="2" t="inlineStr"/>
      <c r="X284" s="2" t="inlineStr">
        <is>
          <t>Decompose only from explicit face or note evidence; never fabricate a split.</t>
        </is>
      </c>
      <c r="Y284" s="2" t="inlineStr">
        <is>
          <t>Aggregate only mutually exclusive facts with identical period, scope, currency and unit.</t>
        </is>
      </c>
      <c r="Z284" s="2" t="inlineStr">
        <is>
          <t>Bind only to Income Statement / is_pl.</t>
        </is>
      </c>
      <c r="AA284" s="2" t="inlineStr"/>
      <c r="AB284" s="2" t="b">
        <v>1</v>
      </c>
      <c r="AC284" s="2" t="inlineStr"/>
      <c r="AD284" s="2" t="inlineStr">
        <is>
          <t>Exact field from Income Statement!A60; value cell B60.</t>
        </is>
      </c>
      <c r="AE284" s="2" t="inlineStr">
        <is>
          <t>Notes may support direct extraction or decomposition with provenance. Formula outputs must be derived only from template dependencies.</t>
        </is>
      </c>
      <c r="AF284" s="2" t="inlineStr"/>
      <c r="AG284" s="2" t="inlineStr">
        <is>
          <t>[]</t>
        </is>
      </c>
      <c r="AH284" s="2" t="inlineStr">
        <is>
          <t>Bank charge and interest expense</t>
        </is>
      </c>
      <c r="AI284" s="2" t="inlineStr"/>
      <c r="AJ284" s="2" t="inlineStr">
        <is>
          <t>{"template_sheet": "Income Statement", "template_row": 60, "template_cell": "B60", "template_value_or_formula": 39, "calculation_type": "reported_input", "dependencies": [], "source_template": "Copy of Output_CSV Template.xlsx"}</t>
        </is>
      </c>
    </row>
    <row r="285">
      <c r="A285" s="2" t="inlineStr">
        <is>
          <t>is_pl__interest_expense</t>
        </is>
      </c>
      <c r="B285" s="2" t="inlineStr">
        <is>
          <t>Interest Expense(-)</t>
        </is>
      </c>
      <c r="C285" s="2" t="inlineStr">
        <is>
          <t>is_pl</t>
        </is>
      </c>
      <c r="D285" s="2" t="inlineStr">
        <is>
          <t>Extract the reported value for 'Interest Expense(-)' from the stated section. Do not calculate or replace it from other rows, because the revised template does not designate this field as formula-driven.</t>
        </is>
      </c>
      <c r="E285" s="2" t="inlineStr">
        <is>
          <t>Interest Expense(-)</t>
        </is>
      </c>
      <c r="F285" s="2" t="inlineStr">
        <is>
          <t>Interest Expense(-)</t>
        </is>
      </c>
      <c r="G285" s="2" t="inlineStr">
        <is>
          <t>^Interest\s+Expense\([\-–—]?\)$</t>
        </is>
      </c>
      <c r="H285" s="2" t="inlineStr"/>
      <c r="I285" s="2" t="inlineStr">
        <is>
          <t>Amounts or disclosures explicitly reported for Interest Expense(-) in Income Statement / is_pl.</t>
        </is>
      </c>
      <c r="J285" s="2" t="inlineStr">
        <is>
          <t>Do not substitute another section, period, entity scope, currency or unit; do not double count a parent and its children.</t>
        </is>
      </c>
      <c r="K285" s="2" t="inlineStr"/>
      <c r="L285" s="2" t="inlineStr">
        <is>
          <t>negative_or_contra</t>
        </is>
      </c>
      <c r="M285" s="2" t="inlineStr">
        <is>
          <t>direct_exclusive</t>
        </is>
      </c>
      <c r="N285" s="2" t="n">
        <v>90</v>
      </c>
      <c r="O285" s="2" t="inlineStr">
        <is>
          <t>normalized_exact_then_regex</t>
        </is>
      </c>
      <c r="P285" s="3" t="inlineStr">
        <is>
          <t>extract</t>
        </is>
      </c>
      <c r="Q285" s="2" t="inlineStr">
        <is>
          <t>currency_amount</t>
        </is>
      </c>
      <c r="R285" s="2" t="inlineStr">
        <is>
          <t>period_flow</t>
        </is>
      </c>
      <c r="S285" s="2" t="inlineStr">
        <is>
          <t>allowed_with_provenance</t>
        </is>
      </c>
      <c r="T285" s="2" t="b">
        <v>0</v>
      </c>
      <c r="U285" s="2" t="b">
        <v>0</v>
      </c>
      <c r="V285" s="2" t="inlineStr"/>
      <c r="W285" s="2" t="inlineStr"/>
      <c r="X285" s="2" t="inlineStr">
        <is>
          <t>Decompose only from explicit face or note evidence; never fabricate a split.</t>
        </is>
      </c>
      <c r="Y285" s="2" t="inlineStr">
        <is>
          <t>Aggregate only mutually exclusive facts with identical period, scope, currency and unit.</t>
        </is>
      </c>
      <c r="Z285" s="2" t="inlineStr">
        <is>
          <t>Bind only to Income Statement / is_pl.</t>
        </is>
      </c>
      <c r="AA285" s="2" t="inlineStr"/>
      <c r="AB285" s="2" t="b">
        <v>1</v>
      </c>
      <c r="AC285" s="2" t="inlineStr"/>
      <c r="AD285" s="2" t="inlineStr">
        <is>
          <t>Exact field from Income Statement!A61; value cell B61.</t>
        </is>
      </c>
      <c r="AE285" s="2" t="inlineStr">
        <is>
          <t>Notes may support direct extraction or decomposition with provenance. Formula outputs must be derived only from template dependencies.</t>
        </is>
      </c>
      <c r="AF285" s="2" t="inlineStr"/>
      <c r="AG285" s="2" t="inlineStr">
        <is>
          <t>[]</t>
        </is>
      </c>
      <c r="AH285" s="2" t="inlineStr">
        <is>
          <t>Interest Expense(-)</t>
        </is>
      </c>
      <c r="AI285" s="2" t="inlineStr"/>
      <c r="AJ285" s="2" t="inlineStr">
        <is>
          <t>{"template_sheet": "Income Statement", "template_row": 61, "template_cell": "B61", "template_value_or_formula": 13, "calculation_type": "reported_input", "dependencies": [], "source_template": "Copy of Output_CSV Template.xlsx"}</t>
        </is>
      </c>
    </row>
    <row r="286">
      <c r="A286" s="2" t="inlineStr">
        <is>
          <t>is_pl__other_debt_service_expenses</t>
        </is>
      </c>
      <c r="B286" s="2" t="inlineStr">
        <is>
          <t>Other Debt Service Expenses(-)</t>
        </is>
      </c>
      <c r="C286" s="2" t="inlineStr">
        <is>
          <t>is_pl</t>
        </is>
      </c>
      <c r="D286" s="2" t="inlineStr">
        <is>
          <t>Extract the reported value for 'Other Debt Service Expenses(-)' from the stated section. Do not calculate or replace it from other rows, because the revised template does not designate this field as formula-driven.</t>
        </is>
      </c>
      <c r="E286" s="2" t="inlineStr">
        <is>
          <t>Other Debt Service Expenses(-)</t>
        </is>
      </c>
      <c r="F286" s="2" t="inlineStr">
        <is>
          <t>Other Debt Service Expenses(-)</t>
        </is>
      </c>
      <c r="G286" s="2" t="inlineStr">
        <is>
          <t>^Other\s+Debt\s+Service\s+Expenses\([\-–—]?\)$</t>
        </is>
      </c>
      <c r="H286" s="2" t="inlineStr"/>
      <c r="I286" s="2" t="inlineStr">
        <is>
          <t>Amounts or disclosures explicitly reported for Other Debt Service Expenses(-) in Income Statement / is_pl.</t>
        </is>
      </c>
      <c r="J286" s="2" t="inlineStr">
        <is>
          <t>Do not substitute another section, period, entity scope, currency or unit; do not double count a parent and its children.</t>
        </is>
      </c>
      <c r="K286" s="2" t="inlineStr"/>
      <c r="L286" s="2" t="inlineStr">
        <is>
          <t>negative_or_contra</t>
        </is>
      </c>
      <c r="M286" s="2" t="inlineStr">
        <is>
          <t>direct_exclusive</t>
        </is>
      </c>
      <c r="N286" s="2" t="n">
        <v>90</v>
      </c>
      <c r="O286" s="2" t="inlineStr">
        <is>
          <t>normalized_exact_then_regex</t>
        </is>
      </c>
      <c r="P286" s="3" t="inlineStr">
        <is>
          <t>extract</t>
        </is>
      </c>
      <c r="Q286" s="2" t="inlineStr">
        <is>
          <t>currency_amount</t>
        </is>
      </c>
      <c r="R286" s="2" t="inlineStr">
        <is>
          <t>period_flow</t>
        </is>
      </c>
      <c r="S286" s="2" t="inlineStr">
        <is>
          <t>allowed_with_provenance</t>
        </is>
      </c>
      <c r="T286" s="2" t="b">
        <v>0</v>
      </c>
      <c r="U286" s="2" t="b">
        <v>0</v>
      </c>
      <c r="V286" s="2" t="inlineStr"/>
      <c r="W286" s="2" t="inlineStr"/>
      <c r="X286" s="2" t="inlineStr">
        <is>
          <t>Decompose only from explicit face or note evidence; never fabricate a split.</t>
        </is>
      </c>
      <c r="Y286" s="2" t="inlineStr">
        <is>
          <t>Aggregate only mutually exclusive facts with identical period, scope, currency and unit.</t>
        </is>
      </c>
      <c r="Z286" s="2" t="inlineStr">
        <is>
          <t>Bind only to Income Statement / is_pl.</t>
        </is>
      </c>
      <c r="AA286" s="2" t="inlineStr"/>
      <c r="AB286" s="2" t="b">
        <v>1</v>
      </c>
      <c r="AC286" s="2" t="inlineStr"/>
      <c r="AD286" s="2" t="inlineStr">
        <is>
          <t>Exact field from Income Statement!A62; value cell B62.</t>
        </is>
      </c>
      <c r="AE286" s="2" t="inlineStr">
        <is>
          <t>Notes may support direct extraction or decomposition with provenance. Formula outputs must be derived only from template dependencies.</t>
        </is>
      </c>
      <c r="AF286" s="2" t="inlineStr">
        <is>
          <t>{"mode": "no_balancing_plug", "negative_result": "review"}</t>
        </is>
      </c>
      <c r="AG286" s="2" t="inlineStr">
        <is>
          <t>[]</t>
        </is>
      </c>
      <c r="AH286" s="2" t="inlineStr">
        <is>
          <t>Other Debt Service Expenses(-)</t>
        </is>
      </c>
      <c r="AI286" s="2" t="inlineStr"/>
      <c r="AJ286" s="2" t="inlineStr">
        <is>
          <t>{"template_sheet": "Income Statement", "template_row": 62, "template_cell": "B62", "template_value_or_formula": 30, "calculation_type": "reported_input", "dependencies": [], "source_template": "Copy of Output_CSV Template.xlsx"}</t>
        </is>
      </c>
    </row>
    <row r="287">
      <c r="A287" s="2" t="inlineStr">
        <is>
          <t>is_pl__deferred_interest_expense</t>
        </is>
      </c>
      <c r="B287" s="2" t="inlineStr">
        <is>
          <t>Deferred Interest Expense(-)</t>
        </is>
      </c>
      <c r="C287" s="2" t="inlineStr">
        <is>
          <t>is_pl</t>
        </is>
      </c>
      <c r="D287" s="2" t="inlineStr">
        <is>
          <t>Extract the reported value for 'Deferred Interest Expense(-)' from the stated section. Do not calculate or replace it from other rows, because the revised template does not designate this field as formula-driven.</t>
        </is>
      </c>
      <c r="E287" s="2" t="inlineStr">
        <is>
          <t>Deferred Interest Expense(-)</t>
        </is>
      </c>
      <c r="F287" s="2" t="inlineStr">
        <is>
          <t>Deferred Interest Expense(-)</t>
        </is>
      </c>
      <c r="G287" s="2" t="inlineStr">
        <is>
          <t>^Deferred\s+Interest\s+Expense\([\-–—]?\)$</t>
        </is>
      </c>
      <c r="H287" s="2" t="inlineStr"/>
      <c r="I287" s="2" t="inlineStr">
        <is>
          <t>Amounts or disclosures explicitly reported for Deferred Interest Expense(-) in Income Statement / is_pl.</t>
        </is>
      </c>
      <c r="J287" s="2" t="inlineStr">
        <is>
          <t>Do not substitute another section, period, entity scope, currency or unit; do not double count a parent and its children.</t>
        </is>
      </c>
      <c r="K287" s="2" t="inlineStr"/>
      <c r="L287" s="2" t="inlineStr">
        <is>
          <t>negative_or_contra</t>
        </is>
      </c>
      <c r="M287" s="2" t="inlineStr">
        <is>
          <t>direct_exclusive</t>
        </is>
      </c>
      <c r="N287" s="2" t="n">
        <v>90</v>
      </c>
      <c r="O287" s="2" t="inlineStr">
        <is>
          <t>normalized_exact_then_regex</t>
        </is>
      </c>
      <c r="P287" s="3" t="inlineStr">
        <is>
          <t>extract</t>
        </is>
      </c>
      <c r="Q287" s="2" t="inlineStr">
        <is>
          <t>currency_amount</t>
        </is>
      </c>
      <c r="R287" s="2" t="inlineStr">
        <is>
          <t>period_flow</t>
        </is>
      </c>
      <c r="S287" s="2" t="inlineStr">
        <is>
          <t>allowed_with_provenance</t>
        </is>
      </c>
      <c r="T287" s="2" t="b">
        <v>0</v>
      </c>
      <c r="U287" s="2" t="b">
        <v>0</v>
      </c>
      <c r="V287" s="2" t="inlineStr"/>
      <c r="W287" s="2" t="inlineStr"/>
      <c r="X287" s="2" t="inlineStr">
        <is>
          <t>Decompose only from explicit face or note evidence; never fabricate a split.</t>
        </is>
      </c>
      <c r="Y287" s="2" t="inlineStr">
        <is>
          <t>Aggregate only mutually exclusive facts with identical period, scope, currency and unit.</t>
        </is>
      </c>
      <c r="Z287" s="2" t="inlineStr">
        <is>
          <t>Bind only to Income Statement / is_pl.</t>
        </is>
      </c>
      <c r="AA287" s="2" t="inlineStr"/>
      <c r="AB287" s="2" t="b">
        <v>1</v>
      </c>
      <c r="AC287" s="2" t="inlineStr"/>
      <c r="AD287" s="2" t="inlineStr">
        <is>
          <t>Exact field from Income Statement!A63; value cell B63.</t>
        </is>
      </c>
      <c r="AE287" s="2" t="inlineStr">
        <is>
          <t>Notes may support direct extraction or decomposition with provenance. Formula outputs must be derived only from template dependencies.</t>
        </is>
      </c>
      <c r="AF287" s="2" t="inlineStr"/>
      <c r="AG287" s="2" t="inlineStr">
        <is>
          <t>[]</t>
        </is>
      </c>
      <c r="AH287" s="2" t="inlineStr">
        <is>
          <t>Deferred Interest Expense(-)</t>
        </is>
      </c>
      <c r="AI287" s="2" t="inlineStr"/>
      <c r="AJ287" s="2" t="inlineStr">
        <is>
          <t>{"template_sheet": "Income Statement", "template_row": 63, "template_cell": "B63", "template_value_or_formula": 47, "calculation_type": "reported_input", "dependencies": [], "source_template": "Copy of Output_CSV Template.xlsx"}</t>
        </is>
      </c>
    </row>
    <row r="288">
      <c r="A288" s="2" t="inlineStr">
        <is>
          <t>is_pl__net_interest_income_expense</t>
        </is>
      </c>
      <c r="B288" s="2" t="inlineStr">
        <is>
          <t>Net Interest Income(Expense)</t>
        </is>
      </c>
      <c r="C288" s="2" t="inlineStr">
        <is>
          <t>is_pl</t>
        </is>
      </c>
      <c r="D288" s="2" t="inlineStr">
        <is>
          <t>Calculated target using the exact formula retained in the supplied template: =SUM({is_pl__interest_income_from_derivatives}:{is_pl__interest_income})-SUM({is_pl__interest_on_lease_liabilities}:{is_pl__deferred_interest_expense})</t>
        </is>
      </c>
      <c r="E288" s="2" t="inlineStr">
        <is>
          <t>Net Interest Income(Expense)</t>
        </is>
      </c>
      <c r="F288" s="2" t="inlineStr">
        <is>
          <t>Net Interest Income(Expense)</t>
        </is>
      </c>
      <c r="G288" s="2" t="inlineStr">
        <is>
          <t>^Net\s+Interest\s+Income\(Expense\)$</t>
        </is>
      </c>
      <c r="H288" s="2" t="inlineStr"/>
      <c r="I288" s="2" t="inlineStr">
        <is>
          <t>Amounts or disclosures explicitly reported for Net Interest Income(Expense) in Income Statement / is_pl.</t>
        </is>
      </c>
      <c r="J288" s="2" t="inlineStr">
        <is>
          <t>Do not substitute another section, period, entity scope, currency or unit; do not double count a parent and its children.</t>
        </is>
      </c>
      <c r="K288" s="2" t="inlineStr"/>
      <c r="L288" s="2" t="inlineStr">
        <is>
          <t>as_reported</t>
        </is>
      </c>
      <c r="M288" s="2" t="inlineStr">
        <is>
          <t>derived_total</t>
        </is>
      </c>
      <c r="N288" s="2" t="n">
        <v>100</v>
      </c>
      <c r="O288" s="2" t="inlineStr">
        <is>
          <t>disabled</t>
        </is>
      </c>
      <c r="P288" s="4" t="inlineStr">
        <is>
          <t>derive</t>
        </is>
      </c>
      <c r="Q288" s="2" t="inlineStr">
        <is>
          <t>currency_amount</t>
        </is>
      </c>
      <c r="R288" s="2" t="inlineStr">
        <is>
          <t>period_flow</t>
        </is>
      </c>
      <c r="S288" s="2" t="inlineStr">
        <is>
          <t>allowed_with_provenance</t>
        </is>
      </c>
      <c r="T288" s="2" t="b">
        <v>0</v>
      </c>
      <c r="U288" s="2" t="b">
        <v>1</v>
      </c>
      <c r="V288" s="2" t="inlineStr">
        <is>
          <t>is_pl__interest_income_from_derivatives | is_pl__interest_income | is_pl__interest_on_lease_liabilities | is_pl__deferred_interest_expense</t>
        </is>
      </c>
      <c r="W288" s="2">
        <f>SUM({is_pl__interest_income_from_derivatives}:{is_pl__interest_income})-SUM({is_pl__interest_on_lease_liabilities}:{is_pl__deferred_interest_expense})</f>
        <v/>
      </c>
      <c r="X288" s="2" t="inlineStr">
        <is>
          <t>Use only dependencies stated in the formula; never fabricate missing components.</t>
        </is>
      </c>
      <c r="Y288" s="2" t="inlineStr">
        <is>
          <t>Calculate only after every dependency is populated and validated.</t>
        </is>
      </c>
      <c r="Z288" s="2" t="inlineStr">
        <is>
          <t>Bind only to Income Statement / is_pl.</t>
        </is>
      </c>
      <c r="AA288" s="2" t="inlineStr"/>
      <c r="AB288" s="2" t="b">
        <v>0</v>
      </c>
      <c r="AC288" s="2" t="inlineStr">
        <is>
          <t>is_pl__interest_income_from_derivatives | is_pl__interest_income | is_pl__interest_on_lease_liabilities | is_pl__deferred_interest_expense</t>
        </is>
      </c>
      <c r="AD288" s="2" t="inlineStr">
        <is>
          <t>Exact field from Income Statement!A64; value cell B64.</t>
        </is>
      </c>
      <c r="AE288" s="2" t="inlineStr">
        <is>
          <t>Notes may support direct extraction or decomposition with provenance. Formula outputs must be derived only from template dependencies.</t>
        </is>
      </c>
      <c r="AF288" s="2" t="inlineStr"/>
      <c r="AG288" s="2" t="inlineStr">
        <is>
          <t>[]</t>
        </is>
      </c>
      <c r="AH288" s="2" t="inlineStr">
        <is>
          <t>Net Interest Income(Expense)</t>
        </is>
      </c>
      <c r="AI288" s="2" t="inlineStr"/>
      <c r="AJ288" s="2" t="inlineStr">
        <is>
          <t>{"template_sheet": "Income Statement", "template_row": 64, "template_cell": "B64", "template_value_or_formula": "=SUM(B49:B52)-SUM(B53:B63)", "calculation_type": "formula", "dependencies": ["is_pl__interest_income_from_derivatives", "is_pl__interest_income", "is_pl__interest_on_lease_liabilities", "is_pl__deferred_interest_expense"], "source_template": "Copy of Output_CSV Template.xlsx"}</t>
        </is>
      </c>
    </row>
    <row r="289">
      <c r="A289" s="2" t="inlineStr">
        <is>
          <t>is_pl__income_loss_from_related_party</t>
        </is>
      </c>
      <c r="B289" s="2" t="inlineStr">
        <is>
          <t>Income(Loss) from Related Party</t>
        </is>
      </c>
      <c r="C289" s="2" t="inlineStr">
        <is>
          <t>is_pl</t>
        </is>
      </c>
      <c r="D289" s="2" t="inlineStr">
        <is>
          <t>Extract the reported value for 'Income(Loss) from Related Party' from the stated section. Do not calculate or replace it from other rows, because the revised template does not designate this field as formula-driven.</t>
        </is>
      </c>
      <c r="E289" s="2" t="inlineStr">
        <is>
          <t>Income(Loss) from Related Party</t>
        </is>
      </c>
      <c r="F289" s="2" t="inlineStr">
        <is>
          <t>Income(Loss) from Related Party</t>
        </is>
      </c>
      <c r="G289" s="2" t="inlineStr">
        <is>
          <t>^Income\(Loss\)\s+from\s+Related\s+Party$</t>
        </is>
      </c>
      <c r="H289" s="2" t="inlineStr"/>
      <c r="I289" s="2" t="inlineStr">
        <is>
          <t>Amounts or disclosures explicitly reported for Income(Loss) from Related Party in Income Statement / is_pl.</t>
        </is>
      </c>
      <c r="J289" s="2" t="inlineStr">
        <is>
          <t>Do not substitute another section, period, entity scope, currency or unit; do not double count a parent and its children.</t>
        </is>
      </c>
      <c r="K289" s="2" t="inlineStr"/>
      <c r="L289" s="2" t="inlineStr">
        <is>
          <t>as_reported</t>
        </is>
      </c>
      <c r="M289" s="2" t="inlineStr">
        <is>
          <t>direct_exclusive</t>
        </is>
      </c>
      <c r="N289" s="2" t="n">
        <v>90</v>
      </c>
      <c r="O289" s="2" t="inlineStr">
        <is>
          <t>normalized_exact_then_regex</t>
        </is>
      </c>
      <c r="P289" s="3" t="inlineStr">
        <is>
          <t>extract</t>
        </is>
      </c>
      <c r="Q289" s="2" t="inlineStr">
        <is>
          <t>currency_amount</t>
        </is>
      </c>
      <c r="R289" s="2" t="inlineStr">
        <is>
          <t>period_flow</t>
        </is>
      </c>
      <c r="S289" s="2" t="inlineStr">
        <is>
          <t>allowed_with_provenance</t>
        </is>
      </c>
      <c r="T289" s="2" t="b">
        <v>0</v>
      </c>
      <c r="U289" s="2" t="b">
        <v>0</v>
      </c>
      <c r="V289" s="2" t="inlineStr"/>
      <c r="W289" s="2" t="inlineStr"/>
      <c r="X289" s="2" t="inlineStr">
        <is>
          <t>Decompose only from explicit face or note evidence; never fabricate a split.</t>
        </is>
      </c>
      <c r="Y289" s="2" t="inlineStr">
        <is>
          <t>Aggregate only mutually exclusive facts with identical period, scope, currency and unit.</t>
        </is>
      </c>
      <c r="Z289" s="2" t="inlineStr">
        <is>
          <t>Bind only to Income Statement / is_pl.</t>
        </is>
      </c>
      <c r="AA289" s="2" t="inlineStr"/>
      <c r="AB289" s="2" t="b">
        <v>1</v>
      </c>
      <c r="AC289" s="2" t="inlineStr"/>
      <c r="AD289" s="2" t="inlineStr">
        <is>
          <t>Exact field from Income Statement!A65; value cell B65.</t>
        </is>
      </c>
      <c r="AE289" s="2" t="inlineStr">
        <is>
          <t>Notes may support direct extraction or decomposition with provenance. Formula outputs must be derived only from template dependencies.</t>
        </is>
      </c>
      <c r="AF289" s="2" t="inlineStr"/>
      <c r="AG289" s="2" t="inlineStr">
        <is>
          <t>[]</t>
        </is>
      </c>
      <c r="AH289" s="2" t="inlineStr">
        <is>
          <t>Income(Loss) from Related Party</t>
        </is>
      </c>
      <c r="AI289" s="2" t="inlineStr"/>
      <c r="AJ289" s="2" t="inlineStr">
        <is>
          <t>{"template_sheet": "Income Statement", "template_row": 65, "template_cell": "B65", "template_value_or_formula": 38, "calculation_type": "reported_input", "dependencies": [], "source_template": "Copy of Output_CSV Template.xlsx"}</t>
        </is>
      </c>
    </row>
    <row r="290">
      <c r="A290" s="2" t="inlineStr">
        <is>
          <t>is_pl__income_loss_from_joint_ventures</t>
        </is>
      </c>
      <c r="B290" s="2" t="inlineStr">
        <is>
          <t>Income(Loss) from Joint Ventures</t>
        </is>
      </c>
      <c r="C290" s="2" t="inlineStr">
        <is>
          <t>is_pl</t>
        </is>
      </c>
      <c r="D290" s="2" t="inlineStr">
        <is>
          <t>Extract the reported value for 'Income(Loss) from Joint Ventures' from the stated section. Do not calculate or replace it from other rows, because the revised template does not designate this field as formula-driven.</t>
        </is>
      </c>
      <c r="E290" s="2" t="inlineStr">
        <is>
          <t>Income(Loss) from Joint Ventures</t>
        </is>
      </c>
      <c r="F290" s="2" t="inlineStr">
        <is>
          <t>Income(Loss) from Joint Ventures</t>
        </is>
      </c>
      <c r="G290" s="2" t="inlineStr">
        <is>
          <t>^Income\(Loss\)\s+from\s+Joint\s+Ventures$</t>
        </is>
      </c>
      <c r="H290" s="2" t="inlineStr"/>
      <c r="I290" s="2" t="inlineStr">
        <is>
          <t>Amounts or disclosures explicitly reported for Income(Loss) from Joint Ventures in Income Statement / is_pl.</t>
        </is>
      </c>
      <c r="J290" s="2" t="inlineStr">
        <is>
          <t>Do not substitute another section, period, entity scope, currency or unit; do not double count a parent and its children.</t>
        </is>
      </c>
      <c r="K290" s="2" t="inlineStr"/>
      <c r="L290" s="2" t="inlineStr">
        <is>
          <t>as_reported</t>
        </is>
      </c>
      <c r="M290" s="2" t="inlineStr">
        <is>
          <t>direct_exclusive</t>
        </is>
      </c>
      <c r="N290" s="2" t="n">
        <v>90</v>
      </c>
      <c r="O290" s="2" t="inlineStr">
        <is>
          <t>normalized_exact_then_regex</t>
        </is>
      </c>
      <c r="P290" s="3" t="inlineStr">
        <is>
          <t>extract</t>
        </is>
      </c>
      <c r="Q290" s="2" t="inlineStr">
        <is>
          <t>currency_amount</t>
        </is>
      </c>
      <c r="R290" s="2" t="inlineStr">
        <is>
          <t>period_flow</t>
        </is>
      </c>
      <c r="S290" s="2" t="inlineStr">
        <is>
          <t>allowed_with_provenance</t>
        </is>
      </c>
      <c r="T290" s="2" t="b">
        <v>0</v>
      </c>
      <c r="U290" s="2" t="b">
        <v>0</v>
      </c>
      <c r="V290" s="2" t="inlineStr"/>
      <c r="W290" s="2" t="inlineStr"/>
      <c r="X290" s="2" t="inlineStr">
        <is>
          <t>Decompose only from explicit face or note evidence; never fabricate a split.</t>
        </is>
      </c>
      <c r="Y290" s="2" t="inlineStr">
        <is>
          <t>Aggregate only mutually exclusive facts with identical period, scope, currency and unit.</t>
        </is>
      </c>
      <c r="Z290" s="2" t="inlineStr">
        <is>
          <t>Bind only to Income Statement / is_pl.</t>
        </is>
      </c>
      <c r="AA290" s="2" t="inlineStr"/>
      <c r="AB290" s="2" t="b">
        <v>1</v>
      </c>
      <c r="AC290" s="2" t="inlineStr"/>
      <c r="AD290" s="2" t="inlineStr">
        <is>
          <t>Exact field from Income Statement!A66; value cell B66.</t>
        </is>
      </c>
      <c r="AE290" s="2" t="inlineStr">
        <is>
          <t>Notes may support direct extraction or decomposition with provenance. Formula outputs must be derived only from template dependencies.</t>
        </is>
      </c>
      <c r="AF290" s="2" t="inlineStr"/>
      <c r="AG290" s="2" t="inlineStr">
        <is>
          <t>[]</t>
        </is>
      </c>
      <c r="AH290" s="2" t="inlineStr">
        <is>
          <t>Income(Loss) from Joint Ventures</t>
        </is>
      </c>
      <c r="AI290" s="2" t="inlineStr"/>
      <c r="AJ290" s="2" t="inlineStr">
        <is>
          <t>{"template_sheet": "Income Statement", "template_row": 66, "template_cell": "B66", "template_value_or_formula": 12, "calculation_type": "reported_input", "dependencies": [], "source_template": "Copy of Output_CSV Template.xlsx"}</t>
        </is>
      </c>
    </row>
    <row r="291">
      <c r="A291" s="2" t="inlineStr">
        <is>
          <t>is_pl__fncl_income_from_derivatives</t>
        </is>
      </c>
      <c r="B291" s="2" t="inlineStr">
        <is>
          <t>Fncl income from derivatives</t>
        </is>
      </c>
      <c r="C291" s="2" t="inlineStr">
        <is>
          <t>is_pl</t>
        </is>
      </c>
      <c r="D291" s="2" t="inlineStr">
        <is>
          <t>Extract the reported value for 'Fncl income from derivatives' from the stated section. Do not calculate or replace it from other rows, because the revised template does not designate this field as formula-driven.</t>
        </is>
      </c>
      <c r="E291" s="2" t="inlineStr">
        <is>
          <t>Fncl income from derivatives</t>
        </is>
      </c>
      <c r="F291" s="2" t="inlineStr">
        <is>
          <t>Fncl income from derivatives</t>
        </is>
      </c>
      <c r="G291" s="2" t="inlineStr">
        <is>
          <t>^Fncl\s+income\s+from\s+derivatives$</t>
        </is>
      </c>
      <c r="H291" s="2" t="inlineStr"/>
      <c r="I291" s="2" t="inlineStr">
        <is>
          <t>Amounts or disclosures explicitly reported for Fncl income from derivatives in Income Statement / is_pl.</t>
        </is>
      </c>
      <c r="J291" s="2" t="inlineStr">
        <is>
          <t>Do not substitute another section, period, entity scope, currency or unit; do not double count a parent and its children.</t>
        </is>
      </c>
      <c r="K291" s="2" t="inlineStr"/>
      <c r="L291" s="2" t="inlineStr">
        <is>
          <t>as_reported</t>
        </is>
      </c>
      <c r="M291" s="2" t="inlineStr">
        <is>
          <t>direct_exclusive</t>
        </is>
      </c>
      <c r="N291" s="2" t="n">
        <v>90</v>
      </c>
      <c r="O291" s="2" t="inlineStr">
        <is>
          <t>normalized_exact_then_regex</t>
        </is>
      </c>
      <c r="P291" s="3" t="inlineStr">
        <is>
          <t>extract</t>
        </is>
      </c>
      <c r="Q291" s="2" t="inlineStr">
        <is>
          <t>currency_amount</t>
        </is>
      </c>
      <c r="R291" s="2" t="inlineStr">
        <is>
          <t>period_flow</t>
        </is>
      </c>
      <c r="S291" s="2" t="inlineStr">
        <is>
          <t>allowed_with_provenance</t>
        </is>
      </c>
      <c r="T291" s="2" t="b">
        <v>0</v>
      </c>
      <c r="U291" s="2" t="b">
        <v>0</v>
      </c>
      <c r="V291" s="2" t="inlineStr"/>
      <c r="W291" s="2" t="inlineStr"/>
      <c r="X291" s="2" t="inlineStr">
        <is>
          <t>Decompose only from explicit face or note evidence; never fabricate a split.</t>
        </is>
      </c>
      <c r="Y291" s="2" t="inlineStr">
        <is>
          <t>Aggregate only mutually exclusive facts with identical period, scope, currency and unit.</t>
        </is>
      </c>
      <c r="Z291" s="2" t="inlineStr">
        <is>
          <t>Bind only to Income Statement / is_pl.</t>
        </is>
      </c>
      <c r="AA291" s="2" t="inlineStr"/>
      <c r="AB291" s="2" t="b">
        <v>1</v>
      </c>
      <c r="AC291" s="2" t="inlineStr"/>
      <c r="AD291" s="2" t="inlineStr">
        <is>
          <t>Exact field from Income Statement!A67; value cell B67.</t>
        </is>
      </c>
      <c r="AE291" s="2" t="inlineStr">
        <is>
          <t>Notes may support direct extraction or decomposition with provenance. Formula outputs must be derived only from template dependencies.</t>
        </is>
      </c>
      <c r="AF291" s="2" t="inlineStr"/>
      <c r="AG291" s="2" t="inlineStr">
        <is>
          <t>[]</t>
        </is>
      </c>
      <c r="AH291" s="2" t="inlineStr">
        <is>
          <t>Fncl income from derivatives</t>
        </is>
      </c>
      <c r="AI291" s="2" t="inlineStr"/>
      <c r="AJ291" s="2" t="inlineStr">
        <is>
          <t>{"template_sheet": "Income Statement", "template_row": 67, "template_cell": "B67", "template_value_or_formula": 29, "calculation_type": "reported_input", "dependencies": [], "source_template": "Copy of Output_CSV Template.xlsx"}</t>
        </is>
      </c>
    </row>
    <row r="292">
      <c r="A292" s="2" t="inlineStr">
        <is>
          <t>is_pl__fncl_income_from_wealth_management_products</t>
        </is>
      </c>
      <c r="B292" s="2" t="inlineStr">
        <is>
          <t>Fncl income from wealth management products</t>
        </is>
      </c>
      <c r="C292" s="2" t="inlineStr">
        <is>
          <t>is_pl</t>
        </is>
      </c>
      <c r="D292" s="2" t="inlineStr">
        <is>
          <t>Extract the reported value for 'Fncl income from wealth management products' from the stated section. Do not calculate or replace it from other rows, because the revised template does not designate this field as formula-driven.</t>
        </is>
      </c>
      <c r="E292" s="2" t="inlineStr">
        <is>
          <t>Fncl income from wealth management products</t>
        </is>
      </c>
      <c r="F292" s="2" t="inlineStr">
        <is>
          <t>Fncl income from wealth management products</t>
        </is>
      </c>
      <c r="G292" s="2" t="inlineStr">
        <is>
          <t>^Fncl\s+income\s+from\s+wealth\s+management\s+products$</t>
        </is>
      </c>
      <c r="H292" s="2" t="inlineStr"/>
      <c r="I292" s="2" t="inlineStr">
        <is>
          <t>Amounts or disclosures explicitly reported for Fncl income from wealth management products in Income Statement / is_pl.</t>
        </is>
      </c>
      <c r="J292" s="2" t="inlineStr">
        <is>
          <t>Do not substitute another section, period, entity scope, currency or unit; do not double count a parent and its children.</t>
        </is>
      </c>
      <c r="K292" s="2" t="inlineStr"/>
      <c r="L292" s="2" t="inlineStr">
        <is>
          <t>as_reported</t>
        </is>
      </c>
      <c r="M292" s="2" t="inlineStr">
        <is>
          <t>direct_exclusive</t>
        </is>
      </c>
      <c r="N292" s="2" t="n">
        <v>90</v>
      </c>
      <c r="O292" s="2" t="inlineStr">
        <is>
          <t>normalized_exact_then_regex</t>
        </is>
      </c>
      <c r="P292" s="3" t="inlineStr">
        <is>
          <t>extract</t>
        </is>
      </c>
      <c r="Q292" s="2" t="inlineStr">
        <is>
          <t>currency_amount</t>
        </is>
      </c>
      <c r="R292" s="2" t="inlineStr">
        <is>
          <t>period_flow</t>
        </is>
      </c>
      <c r="S292" s="2" t="inlineStr">
        <is>
          <t>allowed_with_provenance</t>
        </is>
      </c>
      <c r="T292" s="2" t="b">
        <v>0</v>
      </c>
      <c r="U292" s="2" t="b">
        <v>0</v>
      </c>
      <c r="V292" s="2" t="inlineStr"/>
      <c r="W292" s="2" t="inlineStr"/>
      <c r="X292" s="2" t="inlineStr">
        <is>
          <t>Decompose only from explicit face or note evidence; never fabricate a split.</t>
        </is>
      </c>
      <c r="Y292" s="2" t="inlineStr">
        <is>
          <t>Aggregate only mutually exclusive facts with identical period, scope, currency and unit.</t>
        </is>
      </c>
      <c r="Z292" s="2" t="inlineStr">
        <is>
          <t>Bind only to Income Statement / is_pl.</t>
        </is>
      </c>
      <c r="AA292" s="2" t="inlineStr"/>
      <c r="AB292" s="2" t="b">
        <v>1</v>
      </c>
      <c r="AC292" s="2" t="inlineStr"/>
      <c r="AD292" s="2" t="inlineStr">
        <is>
          <t>Exact field from Income Statement!A68; value cell B68.</t>
        </is>
      </c>
      <c r="AE292" s="2" t="inlineStr">
        <is>
          <t>Notes may support direct extraction or decomposition with provenance. Formula outputs must be derived only from template dependencies.</t>
        </is>
      </c>
      <c r="AF292" s="2" t="inlineStr"/>
      <c r="AG292" s="2" t="inlineStr">
        <is>
          <t>[]</t>
        </is>
      </c>
      <c r="AH292" s="2" t="inlineStr">
        <is>
          <t>Fncl income from wealth management products</t>
        </is>
      </c>
      <c r="AI292" s="2" t="inlineStr"/>
      <c r="AJ292" s="2" t="inlineStr">
        <is>
          <t>{"template_sheet": "Income Statement", "template_row": 68, "template_cell": "B68", "template_value_or_formula": 46, "calculation_type": "reported_input", "dependencies": [], "source_template": "Copy of Output_CSV Template.xlsx"}</t>
        </is>
      </c>
    </row>
    <row r="293">
      <c r="A293" s="2" t="inlineStr">
        <is>
          <t>is_pl__other_fncl_asset_income_dvds</t>
        </is>
      </c>
      <c r="B293" s="2" t="inlineStr">
        <is>
          <t>Other Fncl Asset Income(Dvds)</t>
        </is>
      </c>
      <c r="C293" s="2" t="inlineStr">
        <is>
          <t>is_pl</t>
        </is>
      </c>
      <c r="D293" s="2" t="inlineStr">
        <is>
          <t>Extract the reported value for 'Other Fncl Asset Income(Dvds)' from the stated section. Do not calculate or replace it from other rows, because the revised template does not designate this field as formula-driven.</t>
        </is>
      </c>
      <c r="E293" s="2" t="inlineStr">
        <is>
          <t>Other Fncl Asset Income(Dvds)</t>
        </is>
      </c>
      <c r="F293" s="2" t="inlineStr">
        <is>
          <t>Other Fncl Asset Income(Dvds)</t>
        </is>
      </c>
      <c r="G293" s="2" t="inlineStr">
        <is>
          <t>^Other\s+Fncl\s+Asset\s+Income\(Dvds\)$</t>
        </is>
      </c>
      <c r="H293" s="2" t="inlineStr"/>
      <c r="I293" s="2" t="inlineStr">
        <is>
          <t>Amounts or disclosures explicitly reported for Other Fncl Asset Income(Dvds) in Income Statement / is_pl.</t>
        </is>
      </c>
      <c r="J293" s="2" t="inlineStr">
        <is>
          <t>Do not substitute another section, period, entity scope, currency or unit; do not double count a parent and its children.</t>
        </is>
      </c>
      <c r="K293" s="2" t="inlineStr"/>
      <c r="L293" s="2" t="inlineStr">
        <is>
          <t>as_reported</t>
        </is>
      </c>
      <c r="M293" s="2" t="inlineStr">
        <is>
          <t>direct_exclusive</t>
        </is>
      </c>
      <c r="N293" s="2" t="n">
        <v>90</v>
      </c>
      <c r="O293" s="2" t="inlineStr">
        <is>
          <t>normalized_exact_then_regex</t>
        </is>
      </c>
      <c r="P293" s="3" t="inlineStr">
        <is>
          <t>extract</t>
        </is>
      </c>
      <c r="Q293" s="2" t="inlineStr">
        <is>
          <t>currency_amount</t>
        </is>
      </c>
      <c r="R293" s="2" t="inlineStr">
        <is>
          <t>period_flow</t>
        </is>
      </c>
      <c r="S293" s="2" t="inlineStr">
        <is>
          <t>allowed_with_provenance</t>
        </is>
      </c>
      <c r="T293" s="2" t="b">
        <v>0</v>
      </c>
      <c r="U293" s="2" t="b">
        <v>0</v>
      </c>
      <c r="V293" s="2" t="inlineStr"/>
      <c r="W293" s="2" t="inlineStr"/>
      <c r="X293" s="2" t="inlineStr">
        <is>
          <t>Decompose only from explicit face or note evidence; never fabricate a split.</t>
        </is>
      </c>
      <c r="Y293" s="2" t="inlineStr">
        <is>
          <t>Aggregate only mutually exclusive facts with identical period, scope, currency and unit.</t>
        </is>
      </c>
      <c r="Z293" s="2" t="inlineStr">
        <is>
          <t>Bind only to Income Statement / is_pl.</t>
        </is>
      </c>
      <c r="AA293" s="2" t="inlineStr"/>
      <c r="AB293" s="2" t="b">
        <v>1</v>
      </c>
      <c r="AC293" s="2" t="inlineStr"/>
      <c r="AD293" s="2" t="inlineStr">
        <is>
          <t>Exact field from Income Statement!A69; value cell B69.</t>
        </is>
      </c>
      <c r="AE293" s="2" t="inlineStr">
        <is>
          <t>Notes may support direct extraction or decomposition with provenance. Formula outputs must be derived only from template dependencies.</t>
        </is>
      </c>
      <c r="AF293" s="2" t="inlineStr">
        <is>
          <t>{"mode": "no_balancing_plug", "negative_result": "review"}</t>
        </is>
      </c>
      <c r="AG293" s="2" t="inlineStr">
        <is>
          <t>[]</t>
        </is>
      </c>
      <c r="AH293" s="2" t="inlineStr">
        <is>
          <t>Other Fncl Asset Income(Dvds)</t>
        </is>
      </c>
      <c r="AI293" s="2" t="inlineStr"/>
      <c r="AJ293" s="2" t="inlineStr">
        <is>
          <t>{"template_sheet": "Income Statement", "template_row": 69, "template_cell": "B69", "template_value_or_formula": 20, "calculation_type": "reported_input", "dependencies": [], "source_template": "Copy of Output_CSV Template.xlsx"}</t>
        </is>
      </c>
    </row>
    <row r="294">
      <c r="A294" s="2" t="inlineStr">
        <is>
          <t>is_pl__gain_loss_on_derivatives</t>
        </is>
      </c>
      <c r="B294" s="2" t="inlineStr">
        <is>
          <t>Gain(loss) on derivatives</t>
        </is>
      </c>
      <c r="C294" s="2" t="inlineStr">
        <is>
          <t>is_pl</t>
        </is>
      </c>
      <c r="D294" s="2" t="inlineStr">
        <is>
          <t>Extract the reported value for 'Gain(loss) on derivatives' from the stated section. Do not calculate or replace it from other rows, because the revised template does not designate this field as formula-driven.</t>
        </is>
      </c>
      <c r="E294" s="2" t="inlineStr">
        <is>
          <t>Gain(loss) on derivatives</t>
        </is>
      </c>
      <c r="F294" s="2" t="inlineStr">
        <is>
          <t>Gain(loss) on derivatives</t>
        </is>
      </c>
      <c r="G294" s="2" t="inlineStr">
        <is>
          <t>^Gain\(loss\)\s+on\s+derivatives$</t>
        </is>
      </c>
      <c r="H294" s="2" t="inlineStr"/>
      <c r="I294" s="2" t="inlineStr">
        <is>
          <t>Amounts or disclosures explicitly reported for Gain(loss) on derivatives in Income Statement / is_pl.</t>
        </is>
      </c>
      <c r="J294" s="2" t="inlineStr">
        <is>
          <t>Do not substitute another section, period, entity scope, currency or unit; do not double count a parent and its children.</t>
        </is>
      </c>
      <c r="K294" s="2" t="inlineStr"/>
      <c r="L294" s="2" t="inlineStr">
        <is>
          <t>as_reported</t>
        </is>
      </c>
      <c r="M294" s="2" t="inlineStr">
        <is>
          <t>direct_exclusive</t>
        </is>
      </c>
      <c r="N294" s="2" t="n">
        <v>90</v>
      </c>
      <c r="O294" s="2" t="inlineStr">
        <is>
          <t>normalized_exact_then_regex</t>
        </is>
      </c>
      <c r="P294" s="3" t="inlineStr">
        <is>
          <t>extract</t>
        </is>
      </c>
      <c r="Q294" s="2" t="inlineStr">
        <is>
          <t>currency_amount</t>
        </is>
      </c>
      <c r="R294" s="2" t="inlineStr">
        <is>
          <t>period_flow</t>
        </is>
      </c>
      <c r="S294" s="2" t="inlineStr">
        <is>
          <t>allowed_with_provenance</t>
        </is>
      </c>
      <c r="T294" s="2" t="b">
        <v>0</v>
      </c>
      <c r="U294" s="2" t="b">
        <v>0</v>
      </c>
      <c r="V294" s="2" t="inlineStr"/>
      <c r="W294" s="2" t="inlineStr"/>
      <c r="X294" s="2" t="inlineStr">
        <is>
          <t>Decompose only from explicit face or note evidence; never fabricate a split.</t>
        </is>
      </c>
      <c r="Y294" s="2" t="inlineStr">
        <is>
          <t>Aggregate only mutually exclusive facts with identical period, scope, currency and unit.</t>
        </is>
      </c>
      <c r="Z294" s="2" t="inlineStr">
        <is>
          <t>Bind only to Income Statement / is_pl.</t>
        </is>
      </c>
      <c r="AA294" s="2" t="inlineStr"/>
      <c r="AB294" s="2" t="b">
        <v>1</v>
      </c>
      <c r="AC294" s="2" t="inlineStr"/>
      <c r="AD294" s="2" t="inlineStr">
        <is>
          <t>Exact field from Income Statement!A70; value cell B70.</t>
        </is>
      </c>
      <c r="AE294" s="2" t="inlineStr">
        <is>
          <t>Notes may support direct extraction or decomposition with provenance. Formula outputs must be derived only from template dependencies.</t>
        </is>
      </c>
      <c r="AF294" s="2" t="inlineStr"/>
      <c r="AG294" s="2" t="inlineStr">
        <is>
          <t>[]</t>
        </is>
      </c>
      <c r="AH294" s="2" t="inlineStr">
        <is>
          <t>Gain(loss) on derivatives</t>
        </is>
      </c>
      <c r="AI294" s="2" t="inlineStr"/>
      <c r="AJ294" s="2" t="inlineStr">
        <is>
          <t>{"template_sheet": "Income Statement", "template_row": 70, "template_cell": "B70", "template_value_or_formula": 37, "calculation_type": "reported_input", "dependencies": [], "source_template": "Copy of Output_CSV Template.xlsx"}</t>
        </is>
      </c>
    </row>
    <row r="295">
      <c r="A295" s="2" t="inlineStr">
        <is>
          <t>is_pl__gain_loss_on_wealth_management_products</t>
        </is>
      </c>
      <c r="B295" s="2" t="inlineStr">
        <is>
          <t>Gain(loss) on wealth management products</t>
        </is>
      </c>
      <c r="C295" s="2" t="inlineStr">
        <is>
          <t>is_pl</t>
        </is>
      </c>
      <c r="D295" s="2" t="inlineStr">
        <is>
          <t>Extract the reported value for 'Gain(loss) on wealth management products' from the stated section. Do not calculate or replace it from other rows, because the revised template does not designate this field as formula-driven.</t>
        </is>
      </c>
      <c r="E295" s="2" t="inlineStr">
        <is>
          <t>Gain(loss) on wealth management products</t>
        </is>
      </c>
      <c r="F295" s="2" t="inlineStr">
        <is>
          <t>Gain(loss) on wealth management products</t>
        </is>
      </c>
      <c r="G295" s="2" t="inlineStr">
        <is>
          <t>^Gain\(loss\)\s+on\s+wealth\s+management\s+products$</t>
        </is>
      </c>
      <c r="H295" s="2" t="inlineStr"/>
      <c r="I295" s="2" t="inlineStr">
        <is>
          <t>Amounts or disclosures explicitly reported for Gain(loss) on wealth management products in Income Statement / is_pl.</t>
        </is>
      </c>
      <c r="J295" s="2" t="inlineStr">
        <is>
          <t>Do not substitute another section, period, entity scope, currency or unit; do not double count a parent and its children.</t>
        </is>
      </c>
      <c r="K295" s="2" t="inlineStr"/>
      <c r="L295" s="2" t="inlineStr">
        <is>
          <t>as_reported</t>
        </is>
      </c>
      <c r="M295" s="2" t="inlineStr">
        <is>
          <t>direct_exclusive</t>
        </is>
      </c>
      <c r="N295" s="2" t="n">
        <v>90</v>
      </c>
      <c r="O295" s="2" t="inlineStr">
        <is>
          <t>normalized_exact_then_regex</t>
        </is>
      </c>
      <c r="P295" s="3" t="inlineStr">
        <is>
          <t>extract</t>
        </is>
      </c>
      <c r="Q295" s="2" t="inlineStr">
        <is>
          <t>currency_amount</t>
        </is>
      </c>
      <c r="R295" s="2" t="inlineStr">
        <is>
          <t>period_flow</t>
        </is>
      </c>
      <c r="S295" s="2" t="inlineStr">
        <is>
          <t>allowed_with_provenance</t>
        </is>
      </c>
      <c r="T295" s="2" t="b">
        <v>0</v>
      </c>
      <c r="U295" s="2" t="b">
        <v>0</v>
      </c>
      <c r="V295" s="2" t="inlineStr"/>
      <c r="W295" s="2" t="inlineStr"/>
      <c r="X295" s="2" t="inlineStr">
        <is>
          <t>Decompose only from explicit face or note evidence; never fabricate a split.</t>
        </is>
      </c>
      <c r="Y295" s="2" t="inlineStr">
        <is>
          <t>Aggregate only mutually exclusive facts with identical period, scope, currency and unit.</t>
        </is>
      </c>
      <c r="Z295" s="2" t="inlineStr">
        <is>
          <t>Bind only to Income Statement / is_pl.</t>
        </is>
      </c>
      <c r="AA295" s="2" t="inlineStr"/>
      <c r="AB295" s="2" t="b">
        <v>1</v>
      </c>
      <c r="AC295" s="2" t="inlineStr"/>
      <c r="AD295" s="2" t="inlineStr">
        <is>
          <t>Exact field from Income Statement!A71; value cell B71.</t>
        </is>
      </c>
      <c r="AE295" s="2" t="inlineStr">
        <is>
          <t>Notes may support direct extraction or decomposition with provenance. Formula outputs must be derived only from template dependencies.</t>
        </is>
      </c>
      <c r="AF295" s="2" t="inlineStr"/>
      <c r="AG295" s="2" t="inlineStr">
        <is>
          <t>[]</t>
        </is>
      </c>
      <c r="AH295" s="2" t="inlineStr">
        <is>
          <t>Gain(loss) on wealth management products</t>
        </is>
      </c>
      <c r="AI295" s="2" t="inlineStr"/>
      <c r="AJ295" s="2" t="inlineStr">
        <is>
          <t>{"template_sheet": "Income Statement", "template_row": 71, "template_cell": "B71", "template_value_or_formula": 11, "calculation_type": "reported_input", "dependencies": [], "source_template": "Copy of Output_CSV Template.xlsx"}</t>
        </is>
      </c>
    </row>
    <row r="296">
      <c r="A296" s="2" t="inlineStr">
        <is>
          <t>is_pl__gain_loss_on_fncl_assets</t>
        </is>
      </c>
      <c r="B296" s="2" t="inlineStr">
        <is>
          <t>Gain(Loss) on Fncl Assets</t>
        </is>
      </c>
      <c r="C296" s="2" t="inlineStr">
        <is>
          <t>is_pl</t>
        </is>
      </c>
      <c r="D296" s="2" t="inlineStr">
        <is>
          <t>Extract the reported value for 'Gain(Loss) on Fncl Assets' from the stated section. Do not calculate or replace it from other rows, because the revised template does not designate this field as formula-driven.</t>
        </is>
      </c>
      <c r="E296" s="2" t="inlineStr">
        <is>
          <t>Gain(Loss) on Fncl Assets</t>
        </is>
      </c>
      <c r="F296" s="2" t="inlineStr">
        <is>
          <t>Gain(Loss) on Fncl Assets</t>
        </is>
      </c>
      <c r="G296" s="2" t="inlineStr">
        <is>
          <t>^Gain\(Loss\)\s+on\s+Fncl\s+Assets$</t>
        </is>
      </c>
      <c r="H296" s="2" t="inlineStr"/>
      <c r="I296" s="2" t="inlineStr">
        <is>
          <t>Amounts or disclosures explicitly reported for Gain(Loss) on Fncl Assets in Income Statement / is_pl.</t>
        </is>
      </c>
      <c r="J296" s="2" t="inlineStr">
        <is>
          <t>Do not substitute another section, period, entity scope, currency or unit; do not double count a parent and its children.</t>
        </is>
      </c>
      <c r="K296" s="2" t="inlineStr"/>
      <c r="L296" s="2" t="inlineStr">
        <is>
          <t>as_reported</t>
        </is>
      </c>
      <c r="M296" s="2" t="inlineStr">
        <is>
          <t>direct_exclusive</t>
        </is>
      </c>
      <c r="N296" s="2" t="n">
        <v>90</v>
      </c>
      <c r="O296" s="2" t="inlineStr">
        <is>
          <t>normalized_exact_then_regex</t>
        </is>
      </c>
      <c r="P296" s="3" t="inlineStr">
        <is>
          <t>extract</t>
        </is>
      </c>
      <c r="Q296" s="2" t="inlineStr">
        <is>
          <t>currency_amount</t>
        </is>
      </c>
      <c r="R296" s="2" t="inlineStr">
        <is>
          <t>period_flow</t>
        </is>
      </c>
      <c r="S296" s="2" t="inlineStr">
        <is>
          <t>allowed_with_provenance</t>
        </is>
      </c>
      <c r="T296" s="2" t="b">
        <v>0</v>
      </c>
      <c r="U296" s="2" t="b">
        <v>0</v>
      </c>
      <c r="V296" s="2" t="inlineStr"/>
      <c r="W296" s="2" t="inlineStr"/>
      <c r="X296" s="2" t="inlineStr">
        <is>
          <t>Decompose only from explicit face or note evidence; never fabricate a split.</t>
        </is>
      </c>
      <c r="Y296" s="2" t="inlineStr">
        <is>
          <t>Aggregate only mutually exclusive facts with identical period, scope, currency and unit.</t>
        </is>
      </c>
      <c r="Z296" s="2" t="inlineStr">
        <is>
          <t>Bind only to Income Statement / is_pl.</t>
        </is>
      </c>
      <c r="AA296" s="2" t="inlineStr"/>
      <c r="AB296" s="2" t="b">
        <v>1</v>
      </c>
      <c r="AC296" s="2" t="inlineStr"/>
      <c r="AD296" s="2" t="inlineStr">
        <is>
          <t>Exact field from Income Statement!A72; value cell B72.</t>
        </is>
      </c>
      <c r="AE296" s="2" t="inlineStr">
        <is>
          <t>Notes may support direct extraction or decomposition with provenance. Formula outputs must be derived only from template dependencies.</t>
        </is>
      </c>
      <c r="AF296" s="2" t="inlineStr"/>
      <c r="AG296" s="2" t="inlineStr">
        <is>
          <t>[]</t>
        </is>
      </c>
      <c r="AH296" s="2" t="inlineStr">
        <is>
          <t>Gain(Loss) on Fncl Assets</t>
        </is>
      </c>
      <c r="AI296" s="2" t="inlineStr"/>
      <c r="AJ296" s="2" t="inlineStr">
        <is>
          <t>{"template_sheet": "Income Statement", "template_row": 72, "template_cell": "B72", "template_value_or_formula": 28, "calculation_type": "reported_input", "dependencies": [], "source_template": "Copy of Output_CSV Template.xlsx"}</t>
        </is>
      </c>
    </row>
    <row r="297">
      <c r="A297" s="2" t="inlineStr">
        <is>
          <t>is_pl__adjsts_to_scrtzn_programs</t>
        </is>
      </c>
      <c r="B297" s="2" t="inlineStr">
        <is>
          <t>Adjsts to Scrtzn Programs</t>
        </is>
      </c>
      <c r="C297" s="2" t="inlineStr">
        <is>
          <t>is_pl</t>
        </is>
      </c>
      <c r="D297" s="2" t="inlineStr">
        <is>
          <t>Extract the reported value for 'Adjsts to Scrtzn Programs' from the stated section. Do not calculate or replace it from other rows, because the revised template does not designate this field as formula-driven.</t>
        </is>
      </c>
      <c r="E297" s="2" t="inlineStr">
        <is>
          <t>Adjsts to Scrtzn Programs</t>
        </is>
      </c>
      <c r="F297" s="2" t="inlineStr">
        <is>
          <t>Adjsts to Scrtzn Programs</t>
        </is>
      </c>
      <c r="G297" s="2" t="inlineStr">
        <is>
          <t>^Adjsts\s+to\s+Scrtzn\s+Programs$</t>
        </is>
      </c>
      <c r="H297" s="2" t="inlineStr"/>
      <c r="I297" s="2" t="inlineStr">
        <is>
          <t>Amounts or disclosures explicitly reported for Adjsts to Scrtzn Programs in Income Statement / is_pl.</t>
        </is>
      </c>
      <c r="J297" s="2" t="inlineStr">
        <is>
          <t>Do not substitute another section, period, entity scope, currency or unit; do not double count a parent and its children.</t>
        </is>
      </c>
      <c r="K297" s="2" t="inlineStr"/>
      <c r="L297" s="2" t="inlineStr">
        <is>
          <t>as_reported</t>
        </is>
      </c>
      <c r="M297" s="2" t="inlineStr">
        <is>
          <t>direct_exclusive</t>
        </is>
      </c>
      <c r="N297" s="2" t="n">
        <v>90</v>
      </c>
      <c r="O297" s="2" t="inlineStr">
        <is>
          <t>normalized_exact_then_regex</t>
        </is>
      </c>
      <c r="P297" s="3" t="inlineStr">
        <is>
          <t>extract</t>
        </is>
      </c>
      <c r="Q297" s="2" t="inlineStr">
        <is>
          <t>currency_amount</t>
        </is>
      </c>
      <c r="R297" s="2" t="inlineStr">
        <is>
          <t>period_flow</t>
        </is>
      </c>
      <c r="S297" s="2" t="inlineStr">
        <is>
          <t>allowed_with_provenance</t>
        </is>
      </c>
      <c r="T297" s="2" t="b">
        <v>0</v>
      </c>
      <c r="U297" s="2" t="b">
        <v>0</v>
      </c>
      <c r="V297" s="2" t="inlineStr"/>
      <c r="W297" s="2" t="inlineStr"/>
      <c r="X297" s="2" t="inlineStr">
        <is>
          <t>Decompose only from explicit face or note evidence; never fabricate a split.</t>
        </is>
      </c>
      <c r="Y297" s="2" t="inlineStr">
        <is>
          <t>Aggregate only mutually exclusive facts with identical period, scope, currency and unit.</t>
        </is>
      </c>
      <c r="Z297" s="2" t="inlineStr">
        <is>
          <t>Bind only to Income Statement / is_pl.</t>
        </is>
      </c>
      <c r="AA297" s="2" t="inlineStr"/>
      <c r="AB297" s="2" t="b">
        <v>1</v>
      </c>
      <c r="AC297" s="2" t="inlineStr"/>
      <c r="AD297" s="2" t="inlineStr">
        <is>
          <t>Exact field from Income Statement!A73; value cell B73.</t>
        </is>
      </c>
      <c r="AE297" s="2" t="inlineStr">
        <is>
          <t>Notes may support direct extraction or decomposition with provenance. Formula outputs must be derived only from template dependencies.</t>
        </is>
      </c>
      <c r="AF297" s="2" t="inlineStr"/>
      <c r="AG297" s="2" t="inlineStr">
        <is>
          <t>[]</t>
        </is>
      </c>
      <c r="AH297" s="2" t="inlineStr">
        <is>
          <t>Adjsts to Scrtzn Programs</t>
        </is>
      </c>
      <c r="AI297" s="2" t="inlineStr"/>
      <c r="AJ297" s="2" t="inlineStr">
        <is>
          <t>{"template_sheet": "Income Statement", "template_row": 73, "template_cell": "B73", "template_value_or_formula": 45, "calculation_type": "reported_input", "dependencies": [], "source_template": "Copy of Output_CSV Template.xlsx"}</t>
        </is>
      </c>
    </row>
    <row r="298">
      <c r="A298" s="2" t="inlineStr">
        <is>
          <t>is_pl__rlzd_forex_translation_g_l</t>
        </is>
      </c>
      <c r="B298" s="2" t="inlineStr">
        <is>
          <t>Rlzd Forex Translation G(L)</t>
        </is>
      </c>
      <c r="C298" s="2" t="inlineStr">
        <is>
          <t>is_pl</t>
        </is>
      </c>
      <c r="D298" s="2" t="inlineStr">
        <is>
          <t>Extract the reported value for 'Rlzd Forex Translation G(L)' from the stated section. Do not calculate or replace it from other rows, because the revised template does not designate this field as formula-driven.</t>
        </is>
      </c>
      <c r="E298" s="2" t="inlineStr">
        <is>
          <t>Rlzd Forex Translation G(L)</t>
        </is>
      </c>
      <c r="F298" s="2" t="inlineStr">
        <is>
          <t>Rlzd Forex Translation G(L)</t>
        </is>
      </c>
      <c r="G298" s="2" t="inlineStr">
        <is>
          <t>^Rlzd\s+Forex\s+Translation\s+G\(L\)$</t>
        </is>
      </c>
      <c r="H298" s="2" t="inlineStr"/>
      <c r="I298" s="2" t="inlineStr">
        <is>
          <t>Amounts or disclosures explicitly reported for Rlzd Forex Translation G(L) in Income Statement / is_pl.</t>
        </is>
      </c>
      <c r="J298" s="2" t="inlineStr">
        <is>
          <t>Do not substitute another section, period, entity scope, currency or unit; do not double count a parent and its children.</t>
        </is>
      </c>
      <c r="K298" s="2" t="inlineStr"/>
      <c r="L298" s="2" t="inlineStr">
        <is>
          <t>as_reported</t>
        </is>
      </c>
      <c r="M298" s="2" t="inlineStr">
        <is>
          <t>direct_exclusive</t>
        </is>
      </c>
      <c r="N298" s="2" t="n">
        <v>90</v>
      </c>
      <c r="O298" s="2" t="inlineStr">
        <is>
          <t>normalized_exact_then_regex</t>
        </is>
      </c>
      <c r="P298" s="3" t="inlineStr">
        <is>
          <t>extract</t>
        </is>
      </c>
      <c r="Q298" s="2" t="inlineStr">
        <is>
          <t>currency_amount</t>
        </is>
      </c>
      <c r="R298" s="2" t="inlineStr">
        <is>
          <t>period_flow</t>
        </is>
      </c>
      <c r="S298" s="2" t="inlineStr">
        <is>
          <t>allowed_with_provenance</t>
        </is>
      </c>
      <c r="T298" s="2" t="b">
        <v>0</v>
      </c>
      <c r="U298" s="2" t="b">
        <v>0</v>
      </c>
      <c r="V298" s="2" t="inlineStr"/>
      <c r="W298" s="2" t="inlineStr"/>
      <c r="X298" s="2" t="inlineStr">
        <is>
          <t>Decompose only from explicit face or note evidence; never fabricate a split.</t>
        </is>
      </c>
      <c r="Y298" s="2" t="inlineStr">
        <is>
          <t>Aggregate only mutually exclusive facts with identical period, scope, currency and unit.</t>
        </is>
      </c>
      <c r="Z298" s="2" t="inlineStr">
        <is>
          <t>Bind only to Income Statement / is_pl.</t>
        </is>
      </c>
      <c r="AA298" s="2" t="inlineStr"/>
      <c r="AB298" s="2" t="b">
        <v>1</v>
      </c>
      <c r="AC298" s="2" t="inlineStr"/>
      <c r="AD298" s="2" t="inlineStr">
        <is>
          <t>Exact field from Income Statement!A74; value cell B74.</t>
        </is>
      </c>
      <c r="AE298" s="2" t="inlineStr">
        <is>
          <t>Notes may support direct extraction or decomposition with provenance. Formula outputs must be derived only from template dependencies.</t>
        </is>
      </c>
      <c r="AF298" s="2" t="inlineStr"/>
      <c r="AG298" s="2" t="inlineStr">
        <is>
          <t>[]</t>
        </is>
      </c>
      <c r="AH298" s="2" t="inlineStr">
        <is>
          <t>Rlzd Forex Translation G(L)</t>
        </is>
      </c>
      <c r="AI298" s="2" t="inlineStr"/>
      <c r="AJ298" s="2" t="inlineStr">
        <is>
          <t>{"template_sheet": "Income Statement", "template_row": 74, "template_cell": "B74", "template_value_or_formula": 19, "calculation_type": "reported_input", "dependencies": [], "source_template": "Copy of Output_CSV Template.xlsx"}</t>
        </is>
      </c>
    </row>
    <row r="299">
      <c r="A299" s="2" t="inlineStr">
        <is>
          <t>is_pl__fmv_adj_on_derivatives</t>
        </is>
      </c>
      <c r="B299" s="2" t="inlineStr">
        <is>
          <t>FMV adj on derivatives</t>
        </is>
      </c>
      <c r="C299" s="2" t="inlineStr">
        <is>
          <t>is_pl</t>
        </is>
      </c>
      <c r="D299" s="2" t="inlineStr">
        <is>
          <t>Extract the reported value for 'FMV adj on derivatives' from the stated section. Do not calculate or replace it from other rows, because the revised template does not designate this field as formula-driven.</t>
        </is>
      </c>
      <c r="E299" s="2" t="inlineStr">
        <is>
          <t>FMV adj on derivatives</t>
        </is>
      </c>
      <c r="F299" s="2" t="inlineStr">
        <is>
          <t>FMV adj on derivatives</t>
        </is>
      </c>
      <c r="G299" s="2" t="inlineStr">
        <is>
          <t>^FMV\s+adj\s+on\s+derivatives$</t>
        </is>
      </c>
      <c r="H299" s="2" t="inlineStr"/>
      <c r="I299" s="2" t="inlineStr">
        <is>
          <t>Amounts or disclosures explicitly reported for FMV adj on derivatives in Income Statement / is_pl.</t>
        </is>
      </c>
      <c r="J299" s="2" t="inlineStr">
        <is>
          <t>Do not substitute another section, period, entity scope, currency or unit; do not double count a parent and its children.</t>
        </is>
      </c>
      <c r="K299" s="2" t="inlineStr"/>
      <c r="L299" s="2" t="inlineStr">
        <is>
          <t>as_reported</t>
        </is>
      </c>
      <c r="M299" s="2" t="inlineStr">
        <is>
          <t>direct_exclusive</t>
        </is>
      </c>
      <c r="N299" s="2" t="n">
        <v>90</v>
      </c>
      <c r="O299" s="2" t="inlineStr">
        <is>
          <t>normalized_exact_then_regex</t>
        </is>
      </c>
      <c r="P299" s="3" t="inlineStr">
        <is>
          <t>extract</t>
        </is>
      </c>
      <c r="Q299" s="2" t="inlineStr">
        <is>
          <t>currency_amount</t>
        </is>
      </c>
      <c r="R299" s="2" t="inlineStr">
        <is>
          <t>period_flow</t>
        </is>
      </c>
      <c r="S299" s="2" t="inlineStr">
        <is>
          <t>allowed_with_provenance</t>
        </is>
      </c>
      <c r="T299" s="2" t="b">
        <v>0</v>
      </c>
      <c r="U299" s="2" t="b">
        <v>0</v>
      </c>
      <c r="V299" s="2" t="inlineStr"/>
      <c r="W299" s="2" t="inlineStr"/>
      <c r="X299" s="2" t="inlineStr">
        <is>
          <t>Decompose only from explicit face or note evidence; never fabricate a split.</t>
        </is>
      </c>
      <c r="Y299" s="2" t="inlineStr">
        <is>
          <t>Aggregate only mutually exclusive facts with identical period, scope, currency and unit.</t>
        </is>
      </c>
      <c r="Z299" s="2" t="inlineStr">
        <is>
          <t>Bind only to Income Statement / is_pl.</t>
        </is>
      </c>
      <c r="AA299" s="2" t="inlineStr"/>
      <c r="AB299" s="2" t="b">
        <v>1</v>
      </c>
      <c r="AC299" s="2" t="inlineStr"/>
      <c r="AD299" s="2" t="inlineStr">
        <is>
          <t>Exact field from Income Statement!A75; value cell B75.</t>
        </is>
      </c>
      <c r="AE299" s="2" t="inlineStr">
        <is>
          <t>Notes may support direct extraction or decomposition with provenance. Formula outputs must be derived only from template dependencies.</t>
        </is>
      </c>
      <c r="AF299" s="2" t="inlineStr"/>
      <c r="AG299" s="2" t="inlineStr">
        <is>
          <t>[]</t>
        </is>
      </c>
      <c r="AH299" s="2" t="inlineStr">
        <is>
          <t>FMV adj on derivatives</t>
        </is>
      </c>
      <c r="AI299" s="2" t="inlineStr"/>
      <c r="AJ299" s="2" t="inlineStr">
        <is>
          <t>{"template_sheet": "Income Statement", "template_row": 75, "template_cell": "B75", "template_value_or_formula": 36, "calculation_type": "reported_input", "dependencies": [], "source_template": "Copy of Output_CSV Template.xlsx"}</t>
        </is>
      </c>
    </row>
    <row r="300">
      <c r="A300" s="2" t="inlineStr">
        <is>
          <t>is_pl__fmv_adj_on_wealth_management_products</t>
        </is>
      </c>
      <c r="B300" s="2" t="inlineStr">
        <is>
          <t>FMV adj on wealth management products</t>
        </is>
      </c>
      <c r="C300" s="2" t="inlineStr">
        <is>
          <t>is_pl</t>
        </is>
      </c>
      <c r="D300" s="2" t="inlineStr">
        <is>
          <t>Extract the reported value for 'FMV adj on wealth management products' from the stated section. Do not calculate or replace it from other rows, because the revised template does not designate this field as formula-driven.</t>
        </is>
      </c>
      <c r="E300" s="2" t="inlineStr">
        <is>
          <t>FMV adj on wealth management products</t>
        </is>
      </c>
      <c r="F300" s="2" t="inlineStr">
        <is>
          <t>FMV adj on wealth management products</t>
        </is>
      </c>
      <c r="G300" s="2" t="inlineStr">
        <is>
          <t>^FMV\s+adj\s+on\s+wealth\s+management\s+products$</t>
        </is>
      </c>
      <c r="H300" s="2" t="inlineStr"/>
      <c r="I300" s="2" t="inlineStr">
        <is>
          <t>Amounts or disclosures explicitly reported for FMV adj on wealth management products in Income Statement / is_pl.</t>
        </is>
      </c>
      <c r="J300" s="2" t="inlineStr">
        <is>
          <t>Do not substitute another section, period, entity scope, currency or unit; do not double count a parent and its children.</t>
        </is>
      </c>
      <c r="K300" s="2" t="inlineStr"/>
      <c r="L300" s="2" t="inlineStr">
        <is>
          <t>as_reported</t>
        </is>
      </c>
      <c r="M300" s="2" t="inlineStr">
        <is>
          <t>direct_exclusive</t>
        </is>
      </c>
      <c r="N300" s="2" t="n">
        <v>90</v>
      </c>
      <c r="O300" s="2" t="inlineStr">
        <is>
          <t>normalized_exact_then_regex</t>
        </is>
      </c>
      <c r="P300" s="3" t="inlineStr">
        <is>
          <t>extract</t>
        </is>
      </c>
      <c r="Q300" s="2" t="inlineStr">
        <is>
          <t>currency_amount</t>
        </is>
      </c>
      <c r="R300" s="2" t="inlineStr">
        <is>
          <t>period_flow</t>
        </is>
      </c>
      <c r="S300" s="2" t="inlineStr">
        <is>
          <t>allowed_with_provenance</t>
        </is>
      </c>
      <c r="T300" s="2" t="b">
        <v>0</v>
      </c>
      <c r="U300" s="2" t="b">
        <v>0</v>
      </c>
      <c r="V300" s="2" t="inlineStr"/>
      <c r="W300" s="2" t="inlineStr"/>
      <c r="X300" s="2" t="inlineStr">
        <is>
          <t>Decompose only from explicit face or note evidence; never fabricate a split.</t>
        </is>
      </c>
      <c r="Y300" s="2" t="inlineStr">
        <is>
          <t>Aggregate only mutually exclusive facts with identical period, scope, currency and unit.</t>
        </is>
      </c>
      <c r="Z300" s="2" t="inlineStr">
        <is>
          <t>Bind only to Income Statement / is_pl.</t>
        </is>
      </c>
      <c r="AA300" s="2" t="inlineStr"/>
      <c r="AB300" s="2" t="b">
        <v>1</v>
      </c>
      <c r="AC300" s="2" t="inlineStr"/>
      <c r="AD300" s="2" t="inlineStr">
        <is>
          <t>Exact field from Income Statement!A76; value cell B76.</t>
        </is>
      </c>
      <c r="AE300" s="2" t="inlineStr">
        <is>
          <t>Notes may support direct extraction or decomposition with provenance. Formula outputs must be derived only from template dependencies.</t>
        </is>
      </c>
      <c r="AF300" s="2" t="inlineStr"/>
      <c r="AG300" s="2" t="inlineStr">
        <is>
          <t>[]</t>
        </is>
      </c>
      <c r="AH300" s="2" t="inlineStr">
        <is>
          <t>FMV adj on wealth management products</t>
        </is>
      </c>
      <c r="AI300" s="2" t="inlineStr"/>
      <c r="AJ300" s="2" t="inlineStr">
        <is>
          <t>{"template_sheet": "Income Statement", "template_row": 76, "template_cell": "B76", "template_value_or_formula": 10, "calculation_type": "reported_input", "dependencies": [], "source_template": "Copy of Output_CSV Template.xlsx"}</t>
        </is>
      </c>
    </row>
    <row r="301">
      <c r="A301" s="2" t="inlineStr">
        <is>
          <t>is_pl__fmv_adj_on_fncl_assets</t>
        </is>
      </c>
      <c r="B301" s="2" t="inlineStr">
        <is>
          <t>FMV Adj on Fncl Assets</t>
        </is>
      </c>
      <c r="C301" s="2" t="inlineStr">
        <is>
          <t>is_pl</t>
        </is>
      </c>
      <c r="D301" s="2" t="inlineStr">
        <is>
          <t>Extract the reported value for 'FMV Adj on Fncl Assets' from the stated section. Do not calculate or replace it from other rows, because the revised template does not designate this field as formula-driven.</t>
        </is>
      </c>
      <c r="E301" s="2" t="inlineStr">
        <is>
          <t>FMV Adj on Fncl Assets</t>
        </is>
      </c>
      <c r="F301" s="2" t="inlineStr">
        <is>
          <t>FMV Adj on Fncl Assets</t>
        </is>
      </c>
      <c r="G301" s="2" t="inlineStr">
        <is>
          <t>^FMV\s+Adj\s+on\s+Fncl\s+Assets$</t>
        </is>
      </c>
      <c r="H301" s="2" t="inlineStr"/>
      <c r="I301" s="2" t="inlineStr">
        <is>
          <t>Amounts or disclosures explicitly reported for FMV Adj on Fncl Assets in Income Statement / is_pl.</t>
        </is>
      </c>
      <c r="J301" s="2" t="inlineStr">
        <is>
          <t>Do not substitute another section, period, entity scope, currency or unit; do not double count a parent and its children.</t>
        </is>
      </c>
      <c r="K301" s="2" t="inlineStr"/>
      <c r="L301" s="2" t="inlineStr">
        <is>
          <t>as_reported</t>
        </is>
      </c>
      <c r="M301" s="2" t="inlineStr">
        <is>
          <t>direct_exclusive</t>
        </is>
      </c>
      <c r="N301" s="2" t="n">
        <v>90</v>
      </c>
      <c r="O301" s="2" t="inlineStr">
        <is>
          <t>normalized_exact_then_regex</t>
        </is>
      </c>
      <c r="P301" s="3" t="inlineStr">
        <is>
          <t>extract</t>
        </is>
      </c>
      <c r="Q301" s="2" t="inlineStr">
        <is>
          <t>currency_amount</t>
        </is>
      </c>
      <c r="R301" s="2" t="inlineStr">
        <is>
          <t>period_flow</t>
        </is>
      </c>
      <c r="S301" s="2" t="inlineStr">
        <is>
          <t>allowed_with_provenance</t>
        </is>
      </c>
      <c r="T301" s="2" t="b">
        <v>0</v>
      </c>
      <c r="U301" s="2" t="b">
        <v>0</v>
      </c>
      <c r="V301" s="2" t="inlineStr"/>
      <c r="W301" s="2" t="inlineStr"/>
      <c r="X301" s="2" t="inlineStr">
        <is>
          <t>Decompose only from explicit face or note evidence; never fabricate a split.</t>
        </is>
      </c>
      <c r="Y301" s="2" t="inlineStr">
        <is>
          <t>Aggregate only mutually exclusive facts with identical period, scope, currency and unit.</t>
        </is>
      </c>
      <c r="Z301" s="2" t="inlineStr">
        <is>
          <t>Bind only to Income Statement / is_pl.</t>
        </is>
      </c>
      <c r="AA301" s="2" t="inlineStr"/>
      <c r="AB301" s="2" t="b">
        <v>1</v>
      </c>
      <c r="AC301" s="2" t="inlineStr"/>
      <c r="AD301" s="2" t="inlineStr">
        <is>
          <t>Exact field from Income Statement!A77; value cell B77.</t>
        </is>
      </c>
      <c r="AE301" s="2" t="inlineStr">
        <is>
          <t>Notes may support direct extraction or decomposition with provenance. Formula outputs must be derived only from template dependencies.</t>
        </is>
      </c>
      <c r="AF301" s="2" t="inlineStr"/>
      <c r="AG301" s="2" t="inlineStr">
        <is>
          <t>[]</t>
        </is>
      </c>
      <c r="AH301" s="2" t="inlineStr">
        <is>
          <t>FMV Adj on Fncl Assets</t>
        </is>
      </c>
      <c r="AI301" s="2" t="inlineStr"/>
      <c r="AJ301" s="2" t="inlineStr">
        <is>
          <t>{"template_sheet": "Income Statement", "template_row": 77, "template_cell": "B77", "template_value_or_formula": 27, "calculation_type": "reported_input", "dependencies": [], "source_template": "Copy of Output_CSV Template.xlsx"}</t>
        </is>
      </c>
    </row>
    <row r="302">
      <c r="A302" s="2" t="inlineStr">
        <is>
          <t>is_pl__net_other_financial_inc_exp</t>
        </is>
      </c>
      <c r="B302" s="2" t="inlineStr">
        <is>
          <t>Net Other Financial Inc(Exp)</t>
        </is>
      </c>
      <c r="C302" s="2" t="inlineStr">
        <is>
          <t>is_pl</t>
        </is>
      </c>
      <c r="D302" s="2" t="inlineStr">
        <is>
          <t>Calculated target using the exact formula retained in the supplied template: =SUM({is_pl__income_loss_from_related_party}:{is_pl__fmv_adj_on_fncl_assets})</t>
        </is>
      </c>
      <c r="E302" s="2" t="inlineStr">
        <is>
          <t>Net Other Financial Inc(Exp)</t>
        </is>
      </c>
      <c r="F302" s="2" t="inlineStr">
        <is>
          <t>Net Other Financial Inc(Exp)</t>
        </is>
      </c>
      <c r="G302" s="2" t="inlineStr">
        <is>
          <t>^Net\s+Other\s+Financial\s+Inc\(Exp\)$</t>
        </is>
      </c>
      <c r="H302" s="2" t="inlineStr"/>
      <c r="I302" s="2" t="inlineStr">
        <is>
          <t>Amounts or disclosures explicitly reported for Net Other Financial Inc(Exp) in Income Statement / is_pl.</t>
        </is>
      </c>
      <c r="J302" s="2" t="inlineStr">
        <is>
          <t>Do not substitute another section, period, entity scope, currency or unit; do not double count a parent and its children.</t>
        </is>
      </c>
      <c r="K302" s="2" t="inlineStr"/>
      <c r="L302" s="2" t="inlineStr">
        <is>
          <t>as_reported</t>
        </is>
      </c>
      <c r="M302" s="2" t="inlineStr">
        <is>
          <t>derived_total</t>
        </is>
      </c>
      <c r="N302" s="2" t="n">
        <v>100</v>
      </c>
      <c r="O302" s="2" t="inlineStr">
        <is>
          <t>disabled</t>
        </is>
      </c>
      <c r="P302" s="4" t="inlineStr">
        <is>
          <t>derive</t>
        </is>
      </c>
      <c r="Q302" s="2" t="inlineStr">
        <is>
          <t>currency_amount</t>
        </is>
      </c>
      <c r="R302" s="2" t="inlineStr">
        <is>
          <t>period_flow</t>
        </is>
      </c>
      <c r="S302" s="2" t="inlineStr">
        <is>
          <t>allowed_with_provenance</t>
        </is>
      </c>
      <c r="T302" s="2" t="b">
        <v>0</v>
      </c>
      <c r="U302" s="2" t="b">
        <v>1</v>
      </c>
      <c r="V302" s="2" t="inlineStr">
        <is>
          <t>is_pl__income_loss_from_related_party | is_pl__fmv_adj_on_fncl_assets</t>
        </is>
      </c>
      <c r="W302" s="2">
        <f>SUM({is_pl__income_loss_from_related_party}:{is_pl__fmv_adj_on_fncl_assets})</f>
        <v/>
      </c>
      <c r="X302" s="2" t="inlineStr">
        <is>
          <t>Use only dependencies stated in the formula; never fabricate missing components.</t>
        </is>
      </c>
      <c r="Y302" s="2" t="inlineStr">
        <is>
          <t>Calculate only after every dependency is populated and validated.</t>
        </is>
      </c>
      <c r="Z302" s="2" t="inlineStr">
        <is>
          <t>Bind only to Income Statement / is_pl.</t>
        </is>
      </c>
      <c r="AA302" s="2" t="inlineStr"/>
      <c r="AB302" s="2" t="b">
        <v>0</v>
      </c>
      <c r="AC302" s="2" t="inlineStr">
        <is>
          <t>is_pl__income_loss_from_related_party | is_pl__fmv_adj_on_fncl_assets</t>
        </is>
      </c>
      <c r="AD302" s="2" t="inlineStr">
        <is>
          <t>Exact field from Income Statement!A78; value cell B78.</t>
        </is>
      </c>
      <c r="AE302" s="2" t="inlineStr">
        <is>
          <t>Notes may support direct extraction or decomposition with provenance. Formula outputs must be derived only from template dependencies.</t>
        </is>
      </c>
      <c r="AF302" s="2" t="inlineStr"/>
      <c r="AG302" s="2" t="inlineStr">
        <is>
          <t>[]</t>
        </is>
      </c>
      <c r="AH302" s="2" t="inlineStr">
        <is>
          <t>Net Other Financial Inc(Exp)</t>
        </is>
      </c>
      <c r="AI302" s="2" t="inlineStr"/>
      <c r="AJ302" s="2" t="inlineStr">
        <is>
          <t>{"template_sheet": "Income Statement", "template_row": 78, "template_cell": "B78", "template_value_or_formula": "=SUM(B65:B77)", "calculation_type": "formula", "dependencies": ["is_pl__income_loss_from_related_party", "is_pl__fmv_adj_on_fncl_assets"], "source_template": "Copy of Output_CSV Template.xlsx"}</t>
        </is>
      </c>
    </row>
    <row r="303">
      <c r="A303" s="2" t="inlineStr">
        <is>
          <t>is_pl__gain_loss_disp_of_fixed_assets</t>
        </is>
      </c>
      <c r="B303" s="2" t="inlineStr">
        <is>
          <t>Gain(Loss) Disp of Fixed Assets</t>
        </is>
      </c>
      <c r="C303" s="2" t="inlineStr">
        <is>
          <t>is_pl</t>
        </is>
      </c>
      <c r="D303" s="2" t="inlineStr">
        <is>
          <t>Extract the reported value for 'Gain(Loss) Disp of Fixed Assets' from the stated section. Do not calculate or replace it from other rows, because the revised template does not designate this field as formula-driven.</t>
        </is>
      </c>
      <c r="E303" s="2" t="inlineStr">
        <is>
          <t>Gain(Loss) Disp of Fixed Assets</t>
        </is>
      </c>
      <c r="F303" s="2" t="inlineStr">
        <is>
          <t>Gain(Loss) Disp of Fixed Assets</t>
        </is>
      </c>
      <c r="G303" s="2" t="inlineStr">
        <is>
          <t>^Gain\(Loss\)\s+Disp\s+of\s+Fixed\s+Assets$</t>
        </is>
      </c>
      <c r="H303" s="2" t="inlineStr"/>
      <c r="I303" s="2" t="inlineStr">
        <is>
          <t>Amounts or disclosures explicitly reported for Gain(Loss) Disp of Fixed Assets in Income Statement / is_pl.</t>
        </is>
      </c>
      <c r="J303" s="2" t="inlineStr">
        <is>
          <t>Do not substitute another section, period, entity scope, currency or unit; do not double count a parent and its children.</t>
        </is>
      </c>
      <c r="K303" s="2" t="inlineStr"/>
      <c r="L303" s="2" t="inlineStr">
        <is>
          <t>as_reported</t>
        </is>
      </c>
      <c r="M303" s="2" t="inlineStr">
        <is>
          <t>direct_exclusive</t>
        </is>
      </c>
      <c r="N303" s="2" t="n">
        <v>90</v>
      </c>
      <c r="O303" s="2" t="inlineStr">
        <is>
          <t>normalized_exact_then_regex</t>
        </is>
      </c>
      <c r="P303" s="3" t="inlineStr">
        <is>
          <t>extract</t>
        </is>
      </c>
      <c r="Q303" s="2" t="inlineStr">
        <is>
          <t>currency_amount</t>
        </is>
      </c>
      <c r="R303" s="2" t="inlineStr">
        <is>
          <t>period_flow</t>
        </is>
      </c>
      <c r="S303" s="2" t="inlineStr">
        <is>
          <t>allowed_with_provenance</t>
        </is>
      </c>
      <c r="T303" s="2" t="b">
        <v>0</v>
      </c>
      <c r="U303" s="2" t="b">
        <v>0</v>
      </c>
      <c r="V303" s="2" t="inlineStr"/>
      <c r="W303" s="2" t="inlineStr"/>
      <c r="X303" s="2" t="inlineStr">
        <is>
          <t>Decompose only from explicit face or note evidence; never fabricate a split.</t>
        </is>
      </c>
      <c r="Y303" s="2" t="inlineStr">
        <is>
          <t>Aggregate only mutually exclusive facts with identical period, scope, currency and unit.</t>
        </is>
      </c>
      <c r="Z303" s="2" t="inlineStr">
        <is>
          <t>Bind only to Income Statement / is_pl.</t>
        </is>
      </c>
      <c r="AA303" s="2" t="inlineStr"/>
      <c r="AB303" s="2" t="b">
        <v>1</v>
      </c>
      <c r="AC303" s="2" t="inlineStr"/>
      <c r="AD303" s="2" t="inlineStr">
        <is>
          <t>Exact field from Income Statement!A79; value cell B79.</t>
        </is>
      </c>
      <c r="AE303" s="2" t="inlineStr">
        <is>
          <t>Notes may support direct extraction or decomposition with provenance. Formula outputs must be derived only from template dependencies.</t>
        </is>
      </c>
      <c r="AF303" s="2" t="inlineStr"/>
      <c r="AG303" s="2" t="inlineStr">
        <is>
          <t>[]</t>
        </is>
      </c>
      <c r="AH303" s="2" t="inlineStr">
        <is>
          <t>Gain(Loss) Disp of Fixed Assets</t>
        </is>
      </c>
      <c r="AI303" s="2" t="inlineStr"/>
      <c r="AJ303" s="2" t="inlineStr">
        <is>
          <t>{"template_sheet": "Income Statement", "template_row": 79, "template_cell": "B79", "template_value_or_formula": 18, "calculation_type": "reported_input", "dependencies": [], "source_template": "Copy of Output_CSV Template.xlsx"}</t>
        </is>
      </c>
    </row>
    <row r="304">
      <c r="A304" s="2" t="inlineStr">
        <is>
          <t>is_pl__gain_loss_on_invest_properties</t>
        </is>
      </c>
      <c r="B304" s="2" t="inlineStr">
        <is>
          <t>Gain(Loss) on Invest Properties</t>
        </is>
      </c>
      <c r="C304" s="2" t="inlineStr">
        <is>
          <t>is_pl</t>
        </is>
      </c>
      <c r="D304" s="2" t="inlineStr">
        <is>
          <t>Extract the reported value for 'Gain(Loss) on Invest Properties' from the stated section. Do not calculate or replace it from other rows, because the revised template does not designate this field as formula-driven.</t>
        </is>
      </c>
      <c r="E304" s="2" t="inlineStr">
        <is>
          <t>Gain(Loss) on Invest Properties</t>
        </is>
      </c>
      <c r="F304" s="2" t="inlineStr">
        <is>
          <t>Gain(Loss) on Invest Properties</t>
        </is>
      </c>
      <c r="G304" s="2" t="inlineStr">
        <is>
          <t>^Gain\(Loss\)\s+on\s+Invest\s+Properties$</t>
        </is>
      </c>
      <c r="H304" s="2" t="inlineStr"/>
      <c r="I304" s="2" t="inlineStr">
        <is>
          <t>Amounts or disclosures explicitly reported for Gain(Loss) on Invest Properties in Income Statement / is_pl.</t>
        </is>
      </c>
      <c r="J304" s="2" t="inlineStr">
        <is>
          <t>Do not substitute another section, period, entity scope, currency or unit; do not double count a parent and its children.</t>
        </is>
      </c>
      <c r="K304" s="2" t="inlineStr"/>
      <c r="L304" s="2" t="inlineStr">
        <is>
          <t>as_reported</t>
        </is>
      </c>
      <c r="M304" s="2" t="inlineStr">
        <is>
          <t>direct_exclusive</t>
        </is>
      </c>
      <c r="N304" s="2" t="n">
        <v>90</v>
      </c>
      <c r="O304" s="2" t="inlineStr">
        <is>
          <t>normalized_exact_then_regex</t>
        </is>
      </c>
      <c r="P304" s="3" t="inlineStr">
        <is>
          <t>extract</t>
        </is>
      </c>
      <c r="Q304" s="2" t="inlineStr">
        <is>
          <t>currency_amount</t>
        </is>
      </c>
      <c r="R304" s="2" t="inlineStr">
        <is>
          <t>period_flow</t>
        </is>
      </c>
      <c r="S304" s="2" t="inlineStr">
        <is>
          <t>allowed_with_provenance</t>
        </is>
      </c>
      <c r="T304" s="2" t="b">
        <v>0</v>
      </c>
      <c r="U304" s="2" t="b">
        <v>0</v>
      </c>
      <c r="V304" s="2" t="inlineStr"/>
      <c r="W304" s="2" t="inlineStr"/>
      <c r="X304" s="2" t="inlineStr">
        <is>
          <t>Decompose only from explicit face or note evidence; never fabricate a split.</t>
        </is>
      </c>
      <c r="Y304" s="2" t="inlineStr">
        <is>
          <t>Aggregate only mutually exclusive facts with identical period, scope, currency and unit.</t>
        </is>
      </c>
      <c r="Z304" s="2" t="inlineStr">
        <is>
          <t>Bind only to Income Statement / is_pl.</t>
        </is>
      </c>
      <c r="AA304" s="2" t="inlineStr"/>
      <c r="AB304" s="2" t="b">
        <v>1</v>
      </c>
      <c r="AC304" s="2" t="inlineStr"/>
      <c r="AD304" s="2" t="inlineStr">
        <is>
          <t>Exact field from Income Statement!A80; value cell B80.</t>
        </is>
      </c>
      <c r="AE304" s="2" t="inlineStr">
        <is>
          <t>Notes may support direct extraction or decomposition with provenance. Formula outputs must be derived only from template dependencies.</t>
        </is>
      </c>
      <c r="AF304" s="2" t="inlineStr"/>
      <c r="AG304" s="2" t="inlineStr">
        <is>
          <t>[]</t>
        </is>
      </c>
      <c r="AH304" s="2" t="inlineStr">
        <is>
          <t>Gain(Loss) on Invest Properties</t>
        </is>
      </c>
      <c r="AI304" s="2" t="inlineStr"/>
      <c r="AJ304" s="2" t="inlineStr">
        <is>
          <t>{"template_sheet": "Income Statement", "template_row": 80, "template_cell": "B80", "template_value_or_formula": 35, "calculation_type": "reported_input", "dependencies": [], "source_template": "Copy of Output_CSV Template.xlsx"}</t>
        </is>
      </c>
    </row>
    <row r="305">
      <c r="A305" s="2" t="inlineStr">
        <is>
          <t>is_pl__gain_loss_disp_of_disc_ops</t>
        </is>
      </c>
      <c r="B305" s="2" t="inlineStr">
        <is>
          <t>Gain(Loss) Disp of Disc Ops</t>
        </is>
      </c>
      <c r="C305" s="2" t="inlineStr">
        <is>
          <t>is_pl</t>
        </is>
      </c>
      <c r="D305" s="2" t="inlineStr">
        <is>
          <t>Extract the reported value for 'Gain(Loss) Disp of Disc Ops' from the stated section. Do not calculate or replace it from other rows, because the revised template does not designate this field as formula-driven.</t>
        </is>
      </c>
      <c r="E305" s="2" t="inlineStr">
        <is>
          <t>Gain(Loss) Disp of Disc Ops</t>
        </is>
      </c>
      <c r="F305" s="2" t="inlineStr">
        <is>
          <t>Gain(Loss) Disp of Disc Ops</t>
        </is>
      </c>
      <c r="G305" s="2" t="inlineStr">
        <is>
          <t>^Gain\(Loss\)\s+Disp\s+of\s+Disc\s+Ops$</t>
        </is>
      </c>
      <c r="H305" s="2" t="inlineStr"/>
      <c r="I305" s="2" t="inlineStr">
        <is>
          <t>Amounts or disclosures explicitly reported for Gain(Loss) Disp of Disc Ops in Income Statement / is_pl.</t>
        </is>
      </c>
      <c r="J305" s="2" t="inlineStr">
        <is>
          <t>Do not substitute another section, period, entity scope, currency or unit; do not double count a parent and its children.</t>
        </is>
      </c>
      <c r="K305" s="2" t="inlineStr"/>
      <c r="L305" s="2" t="inlineStr">
        <is>
          <t>as_reported</t>
        </is>
      </c>
      <c r="M305" s="2" t="inlineStr">
        <is>
          <t>direct_exclusive</t>
        </is>
      </c>
      <c r="N305" s="2" t="n">
        <v>90</v>
      </c>
      <c r="O305" s="2" t="inlineStr">
        <is>
          <t>normalized_exact_then_regex</t>
        </is>
      </c>
      <c r="P305" s="3" t="inlineStr">
        <is>
          <t>extract</t>
        </is>
      </c>
      <c r="Q305" s="2" t="inlineStr">
        <is>
          <t>currency_amount</t>
        </is>
      </c>
      <c r="R305" s="2" t="inlineStr">
        <is>
          <t>period_flow</t>
        </is>
      </c>
      <c r="S305" s="2" t="inlineStr">
        <is>
          <t>allowed_with_provenance</t>
        </is>
      </c>
      <c r="T305" s="2" t="b">
        <v>0</v>
      </c>
      <c r="U305" s="2" t="b">
        <v>0</v>
      </c>
      <c r="V305" s="2" t="inlineStr"/>
      <c r="W305" s="2" t="inlineStr"/>
      <c r="X305" s="2" t="inlineStr">
        <is>
          <t>Decompose only from explicit face or note evidence; never fabricate a split.</t>
        </is>
      </c>
      <c r="Y305" s="2" t="inlineStr">
        <is>
          <t>Aggregate only mutually exclusive facts with identical period, scope, currency and unit.</t>
        </is>
      </c>
      <c r="Z305" s="2" t="inlineStr">
        <is>
          <t>Bind only to Income Statement / is_pl.</t>
        </is>
      </c>
      <c r="AA305" s="2" t="inlineStr"/>
      <c r="AB305" s="2" t="b">
        <v>1</v>
      </c>
      <c r="AC305" s="2" t="inlineStr"/>
      <c r="AD305" s="2" t="inlineStr">
        <is>
          <t>Exact field from Income Statement!A81; value cell B81.</t>
        </is>
      </c>
      <c r="AE305" s="2" t="inlineStr">
        <is>
          <t>Notes may support direct extraction or decomposition with provenance. Formula outputs must be derived only from template dependencies.</t>
        </is>
      </c>
      <c r="AF305" s="2" t="inlineStr"/>
      <c r="AG305" s="2" t="inlineStr">
        <is>
          <t>[]</t>
        </is>
      </c>
      <c r="AH305" s="2" t="inlineStr">
        <is>
          <t>Gain(Loss) Disp of Disc Ops</t>
        </is>
      </c>
      <c r="AI305" s="2" t="inlineStr"/>
      <c r="AJ305" s="2" t="inlineStr">
        <is>
          <t>{"template_sheet": "Income Statement", "template_row": 81, "template_cell": "B81", "template_value_or_formula": 9, "calculation_type": "reported_input", "dependencies": [], "source_template": "Copy of Output_CSV Template.xlsx"}</t>
        </is>
      </c>
    </row>
    <row r="306">
      <c r="A306" s="2" t="inlineStr">
        <is>
          <t>is_pl__exchange_gain_loss_sale_of_bus</t>
        </is>
      </c>
      <c r="B306" s="2" t="inlineStr">
        <is>
          <t>Exchange Gain(Loss) Sale of Bus</t>
        </is>
      </c>
      <c r="C306" s="2" t="inlineStr">
        <is>
          <t>is_pl</t>
        </is>
      </c>
      <c r="D306" s="2" t="inlineStr">
        <is>
          <t>Extract the reported value for 'Exchange Gain(Loss) Sale of Bus' from the stated section. Do not calculate or replace it from other rows, because the revised template does not designate this field as formula-driven.</t>
        </is>
      </c>
      <c r="E306" s="2" t="inlineStr">
        <is>
          <t>Exchange Gain(Loss) Sale of Bus</t>
        </is>
      </c>
      <c r="F306" s="2" t="inlineStr">
        <is>
          <t>Exchange Gain(Loss) Sale of Bus</t>
        </is>
      </c>
      <c r="G306" s="2" t="inlineStr">
        <is>
          <t>^Exchange\s+Gain\(Loss\)\s+Sale\s+of\s+Bus$</t>
        </is>
      </c>
      <c r="H306" s="2" t="inlineStr"/>
      <c r="I306" s="2" t="inlineStr">
        <is>
          <t>Amounts or disclosures explicitly reported for Exchange Gain(Loss) Sale of Bus in Income Statement / is_pl.</t>
        </is>
      </c>
      <c r="J306" s="2" t="inlineStr">
        <is>
          <t>Do not substitute another section, period, entity scope, currency or unit; do not double count a parent and its children.</t>
        </is>
      </c>
      <c r="K306" s="2" t="inlineStr"/>
      <c r="L306" s="2" t="inlineStr">
        <is>
          <t>as_reported</t>
        </is>
      </c>
      <c r="M306" s="2" t="inlineStr">
        <is>
          <t>direct_exclusive</t>
        </is>
      </c>
      <c r="N306" s="2" t="n">
        <v>90</v>
      </c>
      <c r="O306" s="2" t="inlineStr">
        <is>
          <t>normalized_exact_then_regex</t>
        </is>
      </c>
      <c r="P306" s="3" t="inlineStr">
        <is>
          <t>extract</t>
        </is>
      </c>
      <c r="Q306" s="2" t="inlineStr">
        <is>
          <t>currency_amount</t>
        </is>
      </c>
      <c r="R306" s="2" t="inlineStr">
        <is>
          <t>period_flow</t>
        </is>
      </c>
      <c r="S306" s="2" t="inlineStr">
        <is>
          <t>allowed_with_provenance</t>
        </is>
      </c>
      <c r="T306" s="2" t="b">
        <v>0</v>
      </c>
      <c r="U306" s="2" t="b">
        <v>0</v>
      </c>
      <c r="V306" s="2" t="inlineStr"/>
      <c r="W306" s="2" t="inlineStr"/>
      <c r="X306" s="2" t="inlineStr">
        <is>
          <t>Decompose only from explicit face or note evidence; never fabricate a split.</t>
        </is>
      </c>
      <c r="Y306" s="2" t="inlineStr">
        <is>
          <t>Aggregate only mutually exclusive facts with identical period, scope, currency and unit.</t>
        </is>
      </c>
      <c r="Z306" s="2" t="inlineStr">
        <is>
          <t>Bind only to Income Statement / is_pl.</t>
        </is>
      </c>
      <c r="AA306" s="2" t="inlineStr"/>
      <c r="AB306" s="2" t="b">
        <v>1</v>
      </c>
      <c r="AC306" s="2" t="inlineStr"/>
      <c r="AD306" s="2" t="inlineStr">
        <is>
          <t>Exact field from Income Statement!A82; value cell B82.</t>
        </is>
      </c>
      <c r="AE306" s="2" t="inlineStr">
        <is>
          <t>Notes may support direct extraction or decomposition with provenance. Formula outputs must be derived only from template dependencies.</t>
        </is>
      </c>
      <c r="AF306" s="2" t="inlineStr"/>
      <c r="AG306" s="2" t="inlineStr">
        <is>
          <t>[]</t>
        </is>
      </c>
      <c r="AH306" s="2" t="inlineStr">
        <is>
          <t>Exchange Gain(Loss) Sale of Bus</t>
        </is>
      </c>
      <c r="AI306" s="2" t="inlineStr"/>
      <c r="AJ306" s="2" t="inlineStr">
        <is>
          <t>{"template_sheet": "Income Statement", "template_row": 82, "template_cell": "B82", "template_value_or_formula": 26, "calculation_type": "reported_input", "dependencies": [], "source_template": "Copy of Output_CSV Template.xlsx"}</t>
        </is>
      </c>
    </row>
    <row r="307">
      <c r="A307" s="2" t="inlineStr">
        <is>
          <t>is_pl__other_non_income_related_taxes</t>
        </is>
      </c>
      <c r="B307" s="2" t="inlineStr">
        <is>
          <t>Other Non-Income Related Taxes</t>
        </is>
      </c>
      <c r="C307" s="2" t="inlineStr">
        <is>
          <t>is_pl</t>
        </is>
      </c>
      <c r="D307" s="2" t="inlineStr">
        <is>
          <t>Extract the reported value for 'Other Non-Income Related Taxes' from the stated section. Do not calculate or replace it from other rows, because the revised template does not designate this field as formula-driven.</t>
        </is>
      </c>
      <c r="E307" s="2" t="inlineStr">
        <is>
          <t>Other Non-Income Related Taxes</t>
        </is>
      </c>
      <c r="F307" s="2" t="inlineStr">
        <is>
          <t>Other Non-Income Related Taxes</t>
        </is>
      </c>
      <c r="G307" s="2" t="inlineStr">
        <is>
          <t>^Other\s+Non[\-–—]?Income\s+Related\s+Taxes$</t>
        </is>
      </c>
      <c r="H307" s="2" t="inlineStr"/>
      <c r="I307" s="2" t="inlineStr">
        <is>
          <t>Amounts or disclosures explicitly reported for Other Non-Income Related Taxes in Income Statement / is_pl.</t>
        </is>
      </c>
      <c r="J307" s="2" t="inlineStr">
        <is>
          <t>Do not substitute another section, period, entity scope, currency or unit; do not double count a parent and its children.</t>
        </is>
      </c>
      <c r="K307" s="2" t="inlineStr"/>
      <c r="L307" s="2" t="inlineStr">
        <is>
          <t>as_reported</t>
        </is>
      </c>
      <c r="M307" s="2" t="inlineStr">
        <is>
          <t>direct_exclusive</t>
        </is>
      </c>
      <c r="N307" s="2" t="n">
        <v>90</v>
      </c>
      <c r="O307" s="2" t="inlineStr">
        <is>
          <t>normalized_exact_then_regex</t>
        </is>
      </c>
      <c r="P307" s="3" t="inlineStr">
        <is>
          <t>extract</t>
        </is>
      </c>
      <c r="Q307" s="2" t="inlineStr">
        <is>
          <t>currency_amount</t>
        </is>
      </c>
      <c r="R307" s="2" t="inlineStr">
        <is>
          <t>period_flow</t>
        </is>
      </c>
      <c r="S307" s="2" t="inlineStr">
        <is>
          <t>allowed_with_provenance</t>
        </is>
      </c>
      <c r="T307" s="2" t="b">
        <v>0</v>
      </c>
      <c r="U307" s="2" t="b">
        <v>0</v>
      </c>
      <c r="V307" s="2" t="inlineStr"/>
      <c r="W307" s="2" t="inlineStr"/>
      <c r="X307" s="2" t="inlineStr">
        <is>
          <t>Decompose only from explicit face or note evidence; never fabricate a split.</t>
        </is>
      </c>
      <c r="Y307" s="2" t="inlineStr">
        <is>
          <t>Aggregate only mutually exclusive facts with identical period, scope, currency and unit.</t>
        </is>
      </c>
      <c r="Z307" s="2" t="inlineStr">
        <is>
          <t>Bind only to Income Statement / is_pl.</t>
        </is>
      </c>
      <c r="AA307" s="2" t="inlineStr"/>
      <c r="AB307" s="2" t="b">
        <v>1</v>
      </c>
      <c r="AC307" s="2" t="inlineStr"/>
      <c r="AD307" s="2" t="inlineStr">
        <is>
          <t>Exact field from Income Statement!A83; value cell B83.</t>
        </is>
      </c>
      <c r="AE307" s="2" t="inlineStr">
        <is>
          <t>Notes may support direct extraction or decomposition with provenance. Formula outputs must be derived only from template dependencies.</t>
        </is>
      </c>
      <c r="AF307" s="2" t="inlineStr">
        <is>
          <t>{"mode": "no_balancing_plug", "negative_result": "review"}</t>
        </is>
      </c>
      <c r="AG307" s="2" t="inlineStr">
        <is>
          <t>[]</t>
        </is>
      </c>
      <c r="AH307" s="2" t="inlineStr">
        <is>
          <t>Other Non-Income Related Taxes</t>
        </is>
      </c>
      <c r="AI307" s="2" t="inlineStr"/>
      <c r="AJ307" s="2" t="inlineStr">
        <is>
          <t>{"template_sheet": "Income Statement", "template_row": 83, "template_cell": "B83", "template_value_or_formula": 43, "calculation_type": "reported_input", "dependencies": [], "source_template": "Copy of Output_CSV Template.xlsx"}</t>
        </is>
      </c>
    </row>
    <row r="308">
      <c r="A308" s="2" t="inlineStr">
        <is>
          <t>is_pl__other_non_operating_inc_exp</t>
        </is>
      </c>
      <c r="B308" s="2" t="inlineStr">
        <is>
          <t>Other Non-Operating Inc(Exp)</t>
        </is>
      </c>
      <c r="C308" s="2" t="inlineStr">
        <is>
          <t>is_pl</t>
        </is>
      </c>
      <c r="D308" s="2" t="inlineStr">
        <is>
          <t>Extract the reported value for 'Other Non-Operating Inc(Exp)' from the stated section. Do not calculate or replace it from other rows, because the revised template does not designate this field as formula-driven.</t>
        </is>
      </c>
      <c r="E308" s="2" t="inlineStr">
        <is>
          <t>Other Non-Operating Inc(Exp)</t>
        </is>
      </c>
      <c r="F308" s="2" t="inlineStr">
        <is>
          <t>Other Non-Operating Inc(Exp)</t>
        </is>
      </c>
      <c r="G308" s="2" t="inlineStr">
        <is>
          <t>^Other\s+Non[\-–—]?Operating\s+Inc\(Exp\)$</t>
        </is>
      </c>
      <c r="H308" s="2" t="inlineStr"/>
      <c r="I308" s="2" t="inlineStr">
        <is>
          <t>Amounts or disclosures explicitly reported for Other Non-Operating Inc(Exp) in Income Statement / is_pl.</t>
        </is>
      </c>
      <c r="J308" s="2" t="inlineStr">
        <is>
          <t>Do not substitute another section, period, entity scope, currency or unit; do not double count a parent and its children.</t>
        </is>
      </c>
      <c r="K308" s="2" t="inlineStr"/>
      <c r="L308" s="2" t="inlineStr">
        <is>
          <t>as_reported</t>
        </is>
      </c>
      <c r="M308" s="2" t="inlineStr">
        <is>
          <t>direct_exclusive</t>
        </is>
      </c>
      <c r="N308" s="2" t="n">
        <v>90</v>
      </c>
      <c r="O308" s="2" t="inlineStr">
        <is>
          <t>normalized_exact_then_regex</t>
        </is>
      </c>
      <c r="P308" s="3" t="inlineStr">
        <is>
          <t>extract</t>
        </is>
      </c>
      <c r="Q308" s="2" t="inlineStr">
        <is>
          <t>currency_amount</t>
        </is>
      </c>
      <c r="R308" s="2" t="inlineStr">
        <is>
          <t>period_flow</t>
        </is>
      </c>
      <c r="S308" s="2" t="inlineStr">
        <is>
          <t>allowed_with_provenance</t>
        </is>
      </c>
      <c r="T308" s="2" t="b">
        <v>0</v>
      </c>
      <c r="U308" s="2" t="b">
        <v>0</v>
      </c>
      <c r="V308" s="2" t="inlineStr"/>
      <c r="W308" s="2" t="inlineStr"/>
      <c r="X308" s="2" t="inlineStr">
        <is>
          <t>Decompose only from explicit face or note evidence; never fabricate a split.</t>
        </is>
      </c>
      <c r="Y308" s="2" t="inlineStr">
        <is>
          <t>Aggregate only mutually exclusive facts with identical period, scope, currency and unit.</t>
        </is>
      </c>
      <c r="Z308" s="2" t="inlineStr">
        <is>
          <t>Bind only to Income Statement / is_pl.</t>
        </is>
      </c>
      <c r="AA308" s="2" t="inlineStr"/>
      <c r="AB308" s="2" t="b">
        <v>1</v>
      </c>
      <c r="AC308" s="2" t="inlineStr"/>
      <c r="AD308" s="2" t="inlineStr">
        <is>
          <t>Exact field from Income Statement!A84; value cell B84.</t>
        </is>
      </c>
      <c r="AE308" s="2" t="inlineStr">
        <is>
          <t>Notes may support direct extraction or decomposition with provenance. Formula outputs must be derived only from template dependencies.</t>
        </is>
      </c>
      <c r="AF308" s="2" t="inlineStr">
        <is>
          <t>{"mode": "no_balancing_plug", "negative_result": "review"}</t>
        </is>
      </c>
      <c r="AG308" s="2" t="inlineStr">
        <is>
          <t>[]</t>
        </is>
      </c>
      <c r="AH308" s="2" t="inlineStr">
        <is>
          <t>Other Non-Operating Inc(Exp)</t>
        </is>
      </c>
      <c r="AI308" s="2" t="inlineStr"/>
      <c r="AJ308" s="2" t="inlineStr">
        <is>
          <t>{"template_sheet": "Income Statement", "template_row": 84, "template_cell": "B84", "template_value_or_formula": 17, "calculation_type": "reported_input", "dependencies": [], "source_template": "Copy of Output_CSV Template.xlsx"}</t>
        </is>
      </c>
    </row>
    <row r="309">
      <c r="A309" s="2" t="inlineStr">
        <is>
          <t>is_pl__fmv_adj_on_investment_properties</t>
        </is>
      </c>
      <c r="B309" s="2" t="inlineStr">
        <is>
          <t>FMV adj on investment properties</t>
        </is>
      </c>
      <c r="C309" s="2" t="inlineStr">
        <is>
          <t>is_pl</t>
        </is>
      </c>
      <c r="D309" s="2" t="inlineStr">
        <is>
          <t>Extract the reported value for 'FMV adj on investment properties' from the stated section. Do not calculate or replace it from other rows, because the revised template does not designate this field as formula-driven.</t>
        </is>
      </c>
      <c r="E309" s="2" t="inlineStr">
        <is>
          <t>FMV adj on investment properties</t>
        </is>
      </c>
      <c r="F309" s="2" t="inlineStr">
        <is>
          <t>FMV adj on investment properties</t>
        </is>
      </c>
      <c r="G309" s="2" t="inlineStr">
        <is>
          <t>^FMV\s+adj\s+on\s+investment\s+properties$</t>
        </is>
      </c>
      <c r="H309" s="2" t="inlineStr"/>
      <c r="I309" s="2" t="inlineStr">
        <is>
          <t>Amounts or disclosures explicitly reported for FMV adj on investment properties in Income Statement / is_pl.</t>
        </is>
      </c>
      <c r="J309" s="2" t="inlineStr">
        <is>
          <t>Do not substitute another section, period, entity scope, currency or unit; do not double count a parent and its children.</t>
        </is>
      </c>
      <c r="K309" s="2" t="inlineStr"/>
      <c r="L309" s="2" t="inlineStr">
        <is>
          <t>as_reported</t>
        </is>
      </c>
      <c r="M309" s="2" t="inlineStr">
        <is>
          <t>direct_exclusive</t>
        </is>
      </c>
      <c r="N309" s="2" t="n">
        <v>90</v>
      </c>
      <c r="O309" s="2" t="inlineStr">
        <is>
          <t>normalized_exact_then_regex</t>
        </is>
      </c>
      <c r="P309" s="3" t="inlineStr">
        <is>
          <t>extract</t>
        </is>
      </c>
      <c r="Q309" s="2" t="inlineStr">
        <is>
          <t>currency_amount</t>
        </is>
      </c>
      <c r="R309" s="2" t="inlineStr">
        <is>
          <t>period_flow</t>
        </is>
      </c>
      <c r="S309" s="2" t="inlineStr">
        <is>
          <t>allowed_with_provenance</t>
        </is>
      </c>
      <c r="T309" s="2" t="b">
        <v>0</v>
      </c>
      <c r="U309" s="2" t="b">
        <v>0</v>
      </c>
      <c r="V309" s="2" t="inlineStr"/>
      <c r="W309" s="2" t="inlineStr"/>
      <c r="X309" s="2" t="inlineStr">
        <is>
          <t>Decompose only from explicit face or note evidence; never fabricate a split.</t>
        </is>
      </c>
      <c r="Y309" s="2" t="inlineStr">
        <is>
          <t>Aggregate only mutually exclusive facts with identical period, scope, currency and unit.</t>
        </is>
      </c>
      <c r="Z309" s="2" t="inlineStr">
        <is>
          <t>Bind only to Income Statement / is_pl.</t>
        </is>
      </c>
      <c r="AA309" s="2" t="inlineStr"/>
      <c r="AB309" s="2" t="b">
        <v>1</v>
      </c>
      <c r="AC309" s="2" t="inlineStr"/>
      <c r="AD309" s="2" t="inlineStr">
        <is>
          <t>Exact field from Income Statement!A85; value cell B85.</t>
        </is>
      </c>
      <c r="AE309" s="2" t="inlineStr">
        <is>
          <t>Notes may support direct extraction or decomposition with provenance. Formula outputs must be derived only from template dependencies.</t>
        </is>
      </c>
      <c r="AF309" s="2" t="inlineStr"/>
      <c r="AG309" s="2" t="inlineStr">
        <is>
          <t>[]</t>
        </is>
      </c>
      <c r="AH309" s="2" t="inlineStr">
        <is>
          <t>FMV adj on investment properties</t>
        </is>
      </c>
      <c r="AI309" s="2" t="inlineStr"/>
      <c r="AJ309" s="2" t="inlineStr">
        <is>
          <t>{"template_sheet": "Income Statement", "template_row": 85, "template_cell": "B85", "template_value_or_formula": 34, "calculation_type": "reported_input", "dependencies": [], "source_template": "Copy of Output_CSV Template.xlsx"}</t>
        </is>
      </c>
    </row>
    <row r="310">
      <c r="A310" s="2" t="inlineStr">
        <is>
          <t>is_pl__other_non_oper_inc_exp_nc</t>
        </is>
      </c>
      <c r="B310" s="2" t="inlineStr">
        <is>
          <t>Other Non-Oper Inc(Exp)(NC)</t>
        </is>
      </c>
      <c r="C310" s="2" t="inlineStr">
        <is>
          <t>is_pl</t>
        </is>
      </c>
      <c r="D310" s="2" t="inlineStr">
        <is>
          <t>Extract the reported value for 'Other Non-Oper Inc(Exp)(NC)' from the stated section. Do not calculate or replace it from other rows, because the revised template does not designate this field as formula-driven.</t>
        </is>
      </c>
      <c r="E310" s="2" t="inlineStr">
        <is>
          <t>Other Non-Oper Inc(Exp)(NC)</t>
        </is>
      </c>
      <c r="F310" s="2" t="inlineStr">
        <is>
          <t>Other Non-Oper Inc(Exp)(NC)</t>
        </is>
      </c>
      <c r="G310" s="2" t="inlineStr">
        <is>
          <t>^Other\s+Non[\-–—]?Oper\s+Inc\(Exp\)\(NC\)$</t>
        </is>
      </c>
      <c r="H310" s="2" t="inlineStr"/>
      <c r="I310" s="2" t="inlineStr">
        <is>
          <t>Amounts or disclosures explicitly reported for Other Non-Oper Inc(Exp)(NC) in Income Statement / is_pl.</t>
        </is>
      </c>
      <c r="J310" s="2" t="inlineStr">
        <is>
          <t>Do not substitute another section, period, entity scope, currency or unit; do not double count a parent and its children.</t>
        </is>
      </c>
      <c r="K310" s="2" t="inlineStr"/>
      <c r="L310" s="2" t="inlineStr">
        <is>
          <t>as_reported</t>
        </is>
      </c>
      <c r="M310" s="2" t="inlineStr">
        <is>
          <t>direct_exclusive</t>
        </is>
      </c>
      <c r="N310" s="2" t="n">
        <v>90</v>
      </c>
      <c r="O310" s="2" t="inlineStr">
        <is>
          <t>normalized_exact_then_regex</t>
        </is>
      </c>
      <c r="P310" s="3" t="inlineStr">
        <is>
          <t>extract</t>
        </is>
      </c>
      <c r="Q310" s="2" t="inlineStr">
        <is>
          <t>currency_amount</t>
        </is>
      </c>
      <c r="R310" s="2" t="inlineStr">
        <is>
          <t>period_flow</t>
        </is>
      </c>
      <c r="S310" s="2" t="inlineStr">
        <is>
          <t>allowed_with_provenance</t>
        </is>
      </c>
      <c r="T310" s="2" t="b">
        <v>0</v>
      </c>
      <c r="U310" s="2" t="b">
        <v>0</v>
      </c>
      <c r="V310" s="2" t="inlineStr"/>
      <c r="W310" s="2" t="inlineStr"/>
      <c r="X310" s="2" t="inlineStr">
        <is>
          <t>Decompose only from explicit face or note evidence; never fabricate a split.</t>
        </is>
      </c>
      <c r="Y310" s="2" t="inlineStr">
        <is>
          <t>Aggregate only mutually exclusive facts with identical period, scope, currency and unit.</t>
        </is>
      </c>
      <c r="Z310" s="2" t="inlineStr">
        <is>
          <t>Bind only to Income Statement / is_pl.</t>
        </is>
      </c>
      <c r="AA310" s="2" t="inlineStr"/>
      <c r="AB310" s="2" t="b">
        <v>1</v>
      </c>
      <c r="AC310" s="2" t="inlineStr"/>
      <c r="AD310" s="2" t="inlineStr">
        <is>
          <t>Exact field from Income Statement!A86; value cell B86.</t>
        </is>
      </c>
      <c r="AE310" s="2" t="inlineStr">
        <is>
          <t>Notes may support direct extraction or decomposition with provenance. Formula outputs must be derived only from template dependencies.</t>
        </is>
      </c>
      <c r="AF310" s="2" t="inlineStr">
        <is>
          <t>{"mode": "no_balancing_plug", "negative_result": "review"}</t>
        </is>
      </c>
      <c r="AG310" s="2" t="inlineStr">
        <is>
          <t>[]</t>
        </is>
      </c>
      <c r="AH310" s="2" t="inlineStr">
        <is>
          <t>Other Non-Oper Inc(Exp)(NC)</t>
        </is>
      </c>
      <c r="AI310" s="2" t="inlineStr"/>
      <c r="AJ310" s="2" t="inlineStr">
        <is>
          <t>{"template_sheet": "Income Statement", "template_row": 86, "template_cell": "B86", "template_value_or_formula": 8, "calculation_type": "reported_input", "dependencies": [], "source_template": "Copy of Output_CSV Template.xlsx"}</t>
        </is>
      </c>
    </row>
    <row r="311">
      <c r="A311" s="2" t="inlineStr">
        <is>
          <t>is_pl__other_income_expense</t>
        </is>
      </c>
      <c r="B311" s="2" t="inlineStr">
        <is>
          <t>Other Income(Expense)</t>
        </is>
      </c>
      <c r="C311" s="2" t="inlineStr">
        <is>
          <t>is_pl</t>
        </is>
      </c>
      <c r="D311" s="2" t="inlineStr">
        <is>
          <t>Calculated target using the exact formula retained in the supplied template: =SUM({is_pl__gain_loss_disp_of_fixed_assets}:{is_pl__other_non_oper_inc_exp_nc})</t>
        </is>
      </c>
      <c r="E311" s="2" t="inlineStr">
        <is>
          <t>Other Income(Expense)</t>
        </is>
      </c>
      <c r="F311" s="2" t="inlineStr">
        <is>
          <t>Other Income(Expense)</t>
        </is>
      </c>
      <c r="G311" s="2" t="inlineStr">
        <is>
          <t>^Other\s+Income\(Expense\)$</t>
        </is>
      </c>
      <c r="H311" s="2" t="inlineStr"/>
      <c r="I311" s="2" t="inlineStr">
        <is>
          <t>Amounts or disclosures explicitly reported for Other Income(Expense) in Income Statement / is_pl.</t>
        </is>
      </c>
      <c r="J311" s="2" t="inlineStr">
        <is>
          <t>Do not substitute another section, period, entity scope, currency or unit; do not double count a parent and its children.</t>
        </is>
      </c>
      <c r="K311" s="2" t="inlineStr"/>
      <c r="L311" s="2" t="inlineStr">
        <is>
          <t>as_reported</t>
        </is>
      </c>
      <c r="M311" s="2" t="inlineStr">
        <is>
          <t>derived_total</t>
        </is>
      </c>
      <c r="N311" s="2" t="n">
        <v>100</v>
      </c>
      <c r="O311" s="2" t="inlineStr">
        <is>
          <t>disabled</t>
        </is>
      </c>
      <c r="P311" s="4" t="inlineStr">
        <is>
          <t>derive</t>
        </is>
      </c>
      <c r="Q311" s="2" t="inlineStr">
        <is>
          <t>currency_amount</t>
        </is>
      </c>
      <c r="R311" s="2" t="inlineStr">
        <is>
          <t>period_flow</t>
        </is>
      </c>
      <c r="S311" s="2" t="inlineStr">
        <is>
          <t>allowed_with_provenance</t>
        </is>
      </c>
      <c r="T311" s="2" t="b">
        <v>0</v>
      </c>
      <c r="U311" s="2" t="b">
        <v>1</v>
      </c>
      <c r="V311" s="2" t="inlineStr">
        <is>
          <t>is_pl__gain_loss_disp_of_fixed_assets | is_pl__other_non_oper_inc_exp_nc</t>
        </is>
      </c>
      <c r="W311" s="2">
        <f>SUM({is_pl__gain_loss_disp_of_fixed_assets}:{is_pl__other_non_oper_inc_exp_nc})</f>
        <v/>
      </c>
      <c r="X311" s="2" t="inlineStr">
        <is>
          <t>Use only dependencies stated in the formula; never fabricate missing components.</t>
        </is>
      </c>
      <c r="Y311" s="2" t="inlineStr">
        <is>
          <t>Calculate only after every dependency is populated and validated.</t>
        </is>
      </c>
      <c r="Z311" s="2" t="inlineStr">
        <is>
          <t>Bind only to Income Statement / is_pl.</t>
        </is>
      </c>
      <c r="AA311" s="2" t="inlineStr"/>
      <c r="AB311" s="2" t="b">
        <v>0</v>
      </c>
      <c r="AC311" s="2" t="inlineStr">
        <is>
          <t>is_pl__gain_loss_disp_of_fixed_assets | is_pl__other_non_oper_inc_exp_nc</t>
        </is>
      </c>
      <c r="AD311" s="2" t="inlineStr">
        <is>
          <t>Exact field from Income Statement!A87; value cell B87.</t>
        </is>
      </c>
      <c r="AE311" s="2" t="inlineStr">
        <is>
          <t>Notes may support direct extraction or decomposition with provenance. Formula outputs must be derived only from template dependencies.</t>
        </is>
      </c>
      <c r="AF311" s="2" t="inlineStr">
        <is>
          <t>{"mode": "no_balancing_plug", "negative_result": "review"}</t>
        </is>
      </c>
      <c r="AG311" s="2" t="inlineStr">
        <is>
          <t>[]</t>
        </is>
      </c>
      <c r="AH311" s="2" t="inlineStr">
        <is>
          <t>Other Income(Expense)</t>
        </is>
      </c>
      <c r="AI311" s="2" t="inlineStr"/>
      <c r="AJ311" s="2" t="inlineStr">
        <is>
          <t>{"template_sheet": "Income Statement", "template_row": 87, "template_cell": "B87", "template_value_or_formula": "=SUM(B79:B86)", "calculation_type": "formula", "dependencies": ["is_pl__gain_loss_disp_of_fixed_assets", "is_pl__other_non_oper_inc_exp_nc"], "source_template": "Copy of Output_CSV Template.xlsx"}</t>
        </is>
      </c>
    </row>
    <row r="312">
      <c r="A312" s="2" t="inlineStr">
        <is>
          <t>is_pl__profit_loss_before_tax</t>
        </is>
      </c>
      <c r="B312" s="2" t="inlineStr">
        <is>
          <t>Profit(Loss) Before Tax</t>
        </is>
      </c>
      <c r="C312" s="2" t="inlineStr">
        <is>
          <t>is_pl</t>
        </is>
      </c>
      <c r="D312" s="2" t="inlineStr">
        <is>
          <t>Calculated target using the exact formula retained in the supplied template: ={is_pl__net_operating_profit}+{is_pl__net_interest_income_expense}+{is_pl__net_other_financial_inc_exp}+{is_pl__other_income_expense}</t>
        </is>
      </c>
      <c r="E312" s="2" t="inlineStr">
        <is>
          <t>Profit(Loss) Before Tax</t>
        </is>
      </c>
      <c r="F312" s="2" t="inlineStr">
        <is>
          <t>Profit(Loss) Before Tax</t>
        </is>
      </c>
      <c r="G312" s="2" t="inlineStr">
        <is>
          <t>^Profit\(Loss\)\s+Before\s+Tax$</t>
        </is>
      </c>
      <c r="H312" s="2" t="inlineStr"/>
      <c r="I312" s="2" t="inlineStr">
        <is>
          <t>Amounts or disclosures explicitly reported for Profit(Loss) Before Tax in Income Statement / is_pl.</t>
        </is>
      </c>
      <c r="J312" s="2" t="inlineStr">
        <is>
          <t>Do not substitute another section, period, entity scope, currency or unit; do not double count a parent and its children.</t>
        </is>
      </c>
      <c r="K312" s="2" t="inlineStr"/>
      <c r="L312" s="2" t="inlineStr">
        <is>
          <t>as_reported</t>
        </is>
      </c>
      <c r="M312" s="2" t="inlineStr">
        <is>
          <t>derived_total</t>
        </is>
      </c>
      <c r="N312" s="2" t="n">
        <v>100</v>
      </c>
      <c r="O312" s="2" t="inlineStr">
        <is>
          <t>disabled</t>
        </is>
      </c>
      <c r="P312" s="4" t="inlineStr">
        <is>
          <t>derive</t>
        </is>
      </c>
      <c r="Q312" s="2" t="inlineStr">
        <is>
          <t>currency_amount</t>
        </is>
      </c>
      <c r="R312" s="2" t="inlineStr">
        <is>
          <t>period_flow</t>
        </is>
      </c>
      <c r="S312" s="2" t="inlineStr">
        <is>
          <t>allowed_with_provenance</t>
        </is>
      </c>
      <c r="T312" s="2" t="b">
        <v>0</v>
      </c>
      <c r="U312" s="2" t="b">
        <v>1</v>
      </c>
      <c r="V312" s="2" t="inlineStr">
        <is>
          <t>is_pl__net_operating_profit | is_pl__net_interest_income_expense | is_pl__net_other_financial_inc_exp | is_pl__other_income_expense</t>
        </is>
      </c>
      <c r="W312" s="2">
        <f>{is_pl__net_operating_profit}+{is_pl__net_interest_income_expense}+{is_pl__net_other_financial_inc_exp}+{is_pl__other_income_expense}</f>
        <v/>
      </c>
      <c r="X312" s="2" t="inlineStr">
        <is>
          <t>Use only dependencies stated in the formula; never fabricate missing components.</t>
        </is>
      </c>
      <c r="Y312" s="2" t="inlineStr">
        <is>
          <t>Calculate only after every dependency is populated and validated.</t>
        </is>
      </c>
      <c r="Z312" s="2" t="inlineStr">
        <is>
          <t>Bind only to Income Statement / is_pl.</t>
        </is>
      </c>
      <c r="AA312" s="2" t="inlineStr"/>
      <c r="AB312" s="2" t="b">
        <v>0</v>
      </c>
      <c r="AC312" s="2" t="inlineStr">
        <is>
          <t>is_pl__net_operating_profit | is_pl__net_interest_income_expense | is_pl__net_other_financial_inc_exp | is_pl__other_income_expense</t>
        </is>
      </c>
      <c r="AD312" s="2" t="inlineStr">
        <is>
          <t>Exact field from Income Statement!A88; value cell B88.</t>
        </is>
      </c>
      <c r="AE312" s="2" t="inlineStr">
        <is>
          <t>Notes may support direct extraction or decomposition with provenance. Formula outputs must be derived only from template dependencies.</t>
        </is>
      </c>
      <c r="AF312" s="2" t="inlineStr"/>
      <c r="AG312" s="2" t="inlineStr">
        <is>
          <t>[]</t>
        </is>
      </c>
      <c r="AH312" s="2" t="inlineStr">
        <is>
          <t>Profit(Loss) Before Tax</t>
        </is>
      </c>
      <c r="AI312" s="2" t="inlineStr"/>
      <c r="AJ312" s="2" t="inlineStr">
        <is>
          <t>{"template_sheet": "Income Statement", "template_row": 88, "template_cell": "B88", "template_value_or_formula": "=B48+B64+B78+B87", "calculation_type": "formula", "dependencies": ["is_pl__net_operating_profit", "is_pl__net_interest_income_expense", "is_pl__net_other_financial_inc_exp", "is_pl__other_income_expense"], "source_template": "Copy of Output_CSV Template.xlsx"}</t>
        </is>
      </c>
    </row>
    <row r="313">
      <c r="A313" s="2" t="inlineStr">
        <is>
          <t>is_pl__current_income_taxes</t>
        </is>
      </c>
      <c r="B313" s="2" t="inlineStr">
        <is>
          <t>Current Income Taxes</t>
        </is>
      </c>
      <c r="C313" s="2" t="inlineStr">
        <is>
          <t>is_pl</t>
        </is>
      </c>
      <c r="D313" s="2" t="inlineStr">
        <is>
          <t>Extract the reported value for 'Current Income Taxes' from the stated section. Do not calculate or replace it from other rows, because the revised template does not designate this field as formula-driven.</t>
        </is>
      </c>
      <c r="E313" s="2" t="inlineStr">
        <is>
          <t>Current Income Taxes</t>
        </is>
      </c>
      <c r="F313" s="2" t="inlineStr">
        <is>
          <t>Current Income Taxes</t>
        </is>
      </c>
      <c r="G313" s="2" t="inlineStr">
        <is>
          <t>^Current\s+Income\s+Taxes$</t>
        </is>
      </c>
      <c r="H313" s="2" t="inlineStr"/>
      <c r="I313" s="2" t="inlineStr">
        <is>
          <t>Amounts or disclosures explicitly reported for Current Income Taxes in Income Statement / is_pl.</t>
        </is>
      </c>
      <c r="J313" s="2" t="inlineStr">
        <is>
          <t>Do not substitute another section, period, entity scope, currency or unit; do not double count a parent and its children.</t>
        </is>
      </c>
      <c r="K313" s="2" t="inlineStr"/>
      <c r="L313" s="2" t="inlineStr">
        <is>
          <t>as_reported</t>
        </is>
      </c>
      <c r="M313" s="2" t="inlineStr">
        <is>
          <t>direct_exclusive</t>
        </is>
      </c>
      <c r="N313" s="2" t="n">
        <v>90</v>
      </c>
      <c r="O313" s="2" t="inlineStr">
        <is>
          <t>normalized_exact_then_regex</t>
        </is>
      </c>
      <c r="P313" s="3" t="inlineStr">
        <is>
          <t>extract</t>
        </is>
      </c>
      <c r="Q313" s="2" t="inlineStr">
        <is>
          <t>currency_amount</t>
        </is>
      </c>
      <c r="R313" s="2" t="inlineStr">
        <is>
          <t>period_flow</t>
        </is>
      </c>
      <c r="S313" s="2" t="inlineStr">
        <is>
          <t>allowed_with_provenance</t>
        </is>
      </c>
      <c r="T313" s="2" t="b">
        <v>0</v>
      </c>
      <c r="U313" s="2" t="b">
        <v>0</v>
      </c>
      <c r="V313" s="2" t="inlineStr"/>
      <c r="W313" s="2" t="inlineStr"/>
      <c r="X313" s="2" t="inlineStr">
        <is>
          <t>Decompose only from explicit face or note evidence; never fabricate a split.</t>
        </is>
      </c>
      <c r="Y313" s="2" t="inlineStr">
        <is>
          <t>Aggregate only mutually exclusive facts with identical period, scope, currency and unit.</t>
        </is>
      </c>
      <c r="Z313" s="2" t="inlineStr">
        <is>
          <t>Bind only to Income Statement / is_pl.</t>
        </is>
      </c>
      <c r="AA313" s="2" t="inlineStr"/>
      <c r="AB313" s="2" t="b">
        <v>1</v>
      </c>
      <c r="AC313" s="2" t="inlineStr"/>
      <c r="AD313" s="2" t="inlineStr">
        <is>
          <t>Exact field from Income Statement!A89; value cell B89.</t>
        </is>
      </c>
      <c r="AE313" s="2" t="inlineStr">
        <is>
          <t>Notes may support direct extraction or decomposition with provenance. Formula outputs must be derived only from template dependencies.</t>
        </is>
      </c>
      <c r="AF313" s="2" t="inlineStr"/>
      <c r="AG313" s="2" t="inlineStr">
        <is>
          <t>[]</t>
        </is>
      </c>
      <c r="AH313" s="2" t="inlineStr">
        <is>
          <t>Current Income Taxes</t>
        </is>
      </c>
      <c r="AI313" s="2" t="inlineStr"/>
      <c r="AJ313" s="2" t="inlineStr">
        <is>
          <t>{"template_sheet": "Income Statement", "template_row": 89, "template_cell": "B89", "template_value_or_formula": 16, "calculation_type": "reported_input", "dependencies": [], "source_template": "Copy of Output_CSV Template.xlsx"}</t>
        </is>
      </c>
    </row>
    <row r="314">
      <c r="A314" s="2" t="inlineStr">
        <is>
          <t>is_pl__deferred_income_taxes_nc</t>
        </is>
      </c>
      <c r="B314" s="2" t="inlineStr">
        <is>
          <t>Deferred Income Taxes(NC)</t>
        </is>
      </c>
      <c r="C314" s="2" t="inlineStr">
        <is>
          <t>is_pl</t>
        </is>
      </c>
      <c r="D314" s="2" t="inlineStr">
        <is>
          <t>Extract the reported value for 'Deferred Income Taxes(NC)' from the stated section. Do not calculate or replace it from other rows, because the revised template does not designate this field as formula-driven.</t>
        </is>
      </c>
      <c r="E314" s="2" t="inlineStr">
        <is>
          <t>Deferred Income Taxes(NC)</t>
        </is>
      </c>
      <c r="F314" s="2" t="inlineStr">
        <is>
          <t>Deferred Income Taxes(NC)</t>
        </is>
      </c>
      <c r="G314" s="2" t="inlineStr">
        <is>
          <t>^Deferred\s+Income\s+Taxes\(NC\)$</t>
        </is>
      </c>
      <c r="H314" s="2" t="inlineStr"/>
      <c r="I314" s="2" t="inlineStr">
        <is>
          <t>Amounts or disclosures explicitly reported for Deferred Income Taxes(NC) in Income Statement / is_pl.</t>
        </is>
      </c>
      <c r="J314" s="2" t="inlineStr">
        <is>
          <t>Do not substitute another section, period, entity scope, currency or unit; do not double count a parent and its children.</t>
        </is>
      </c>
      <c r="K314" s="2" t="inlineStr"/>
      <c r="L314" s="2" t="inlineStr">
        <is>
          <t>as_reported</t>
        </is>
      </c>
      <c r="M314" s="2" t="inlineStr">
        <is>
          <t>direct_exclusive</t>
        </is>
      </c>
      <c r="N314" s="2" t="n">
        <v>90</v>
      </c>
      <c r="O314" s="2" t="inlineStr">
        <is>
          <t>normalized_exact_then_regex</t>
        </is>
      </c>
      <c r="P314" s="3" t="inlineStr">
        <is>
          <t>extract</t>
        </is>
      </c>
      <c r="Q314" s="2" t="inlineStr">
        <is>
          <t>currency_amount</t>
        </is>
      </c>
      <c r="R314" s="2" t="inlineStr">
        <is>
          <t>period_flow</t>
        </is>
      </c>
      <c r="S314" s="2" t="inlineStr">
        <is>
          <t>allowed_with_provenance</t>
        </is>
      </c>
      <c r="T314" s="2" t="b">
        <v>0</v>
      </c>
      <c r="U314" s="2" t="b">
        <v>0</v>
      </c>
      <c r="V314" s="2" t="inlineStr"/>
      <c r="W314" s="2" t="inlineStr"/>
      <c r="X314" s="2" t="inlineStr">
        <is>
          <t>Decompose only from explicit face or note evidence; never fabricate a split.</t>
        </is>
      </c>
      <c r="Y314" s="2" t="inlineStr">
        <is>
          <t>Aggregate only mutually exclusive facts with identical period, scope, currency and unit.</t>
        </is>
      </c>
      <c r="Z314" s="2" t="inlineStr">
        <is>
          <t>Bind only to Income Statement / is_pl.</t>
        </is>
      </c>
      <c r="AA314" s="2" t="inlineStr"/>
      <c r="AB314" s="2" t="b">
        <v>1</v>
      </c>
      <c r="AC314" s="2" t="inlineStr"/>
      <c r="AD314" s="2" t="inlineStr">
        <is>
          <t>Exact field from Income Statement!A90; value cell B90.</t>
        </is>
      </c>
      <c r="AE314" s="2" t="inlineStr">
        <is>
          <t>Notes may support direct extraction or decomposition with provenance. Formula outputs must be derived only from template dependencies.</t>
        </is>
      </c>
      <c r="AF314" s="2" t="inlineStr"/>
      <c r="AG314" s="2" t="inlineStr">
        <is>
          <t>[]</t>
        </is>
      </c>
      <c r="AH314" s="2" t="inlineStr">
        <is>
          <t>Deferred Income Taxes(NC)</t>
        </is>
      </c>
      <c r="AI314" s="2" t="inlineStr"/>
      <c r="AJ314" s="2" t="inlineStr">
        <is>
          <t>{"template_sheet": "Income Statement", "template_row": 90, "template_cell": "B90", "template_value_or_formula": 33, "calculation_type": "reported_input", "dependencies": [], "source_template": "Copy of Output_CSV Template.xlsx"}</t>
        </is>
      </c>
    </row>
    <row r="315">
      <c r="A315" s="2" t="inlineStr">
        <is>
          <t>is_pl__prior_year_tax_adj</t>
        </is>
      </c>
      <c r="B315" s="2" t="inlineStr">
        <is>
          <t>Prior Year Tax Adj(-)</t>
        </is>
      </c>
      <c r="C315" s="2" t="inlineStr">
        <is>
          <t>is_pl</t>
        </is>
      </c>
      <c r="D315" s="2" t="inlineStr">
        <is>
          <t>Extract the reported value for 'Prior Year Tax Adj(-)' from the stated section. Do not calculate or replace it from other rows, because the revised template does not designate this field as formula-driven.</t>
        </is>
      </c>
      <c r="E315" s="2" t="inlineStr">
        <is>
          <t>Prior Year Tax Adj(-)</t>
        </is>
      </c>
      <c r="F315" s="2" t="inlineStr">
        <is>
          <t>Prior Year Tax Adj(-)</t>
        </is>
      </c>
      <c r="G315" s="2" t="inlineStr">
        <is>
          <t>^Prior\s+Year\s+Tax\s+Adj\([\-–—]?\)$</t>
        </is>
      </c>
      <c r="H315" s="2" t="inlineStr"/>
      <c r="I315" s="2" t="inlineStr">
        <is>
          <t>Amounts or disclosures explicitly reported for Prior Year Tax Adj(-) in Income Statement / is_pl.</t>
        </is>
      </c>
      <c r="J315" s="2" t="inlineStr">
        <is>
          <t>Do not substitute another section, period, entity scope, currency or unit; do not double count a parent and its children.</t>
        </is>
      </c>
      <c r="K315" s="2" t="inlineStr"/>
      <c r="L315" s="2" t="inlineStr">
        <is>
          <t>negative_or_contra</t>
        </is>
      </c>
      <c r="M315" s="2" t="inlineStr">
        <is>
          <t>direct_exclusive</t>
        </is>
      </c>
      <c r="N315" s="2" t="n">
        <v>90</v>
      </c>
      <c r="O315" s="2" t="inlineStr">
        <is>
          <t>normalized_exact_then_regex</t>
        </is>
      </c>
      <c r="P315" s="3" t="inlineStr">
        <is>
          <t>extract</t>
        </is>
      </c>
      <c r="Q315" s="2" t="inlineStr">
        <is>
          <t>currency_amount</t>
        </is>
      </c>
      <c r="R315" s="2" t="inlineStr">
        <is>
          <t>period_flow</t>
        </is>
      </c>
      <c r="S315" s="2" t="inlineStr">
        <is>
          <t>allowed_with_provenance</t>
        </is>
      </c>
      <c r="T315" s="2" t="b">
        <v>0</v>
      </c>
      <c r="U315" s="2" t="b">
        <v>0</v>
      </c>
      <c r="V315" s="2" t="inlineStr"/>
      <c r="W315" s="2" t="inlineStr"/>
      <c r="X315" s="2" t="inlineStr">
        <is>
          <t>Decompose only from explicit face or note evidence; never fabricate a split.</t>
        </is>
      </c>
      <c r="Y315" s="2" t="inlineStr">
        <is>
          <t>Aggregate only mutually exclusive facts with identical period, scope, currency and unit.</t>
        </is>
      </c>
      <c r="Z315" s="2" t="inlineStr">
        <is>
          <t>Bind only to Income Statement / is_pl.</t>
        </is>
      </c>
      <c r="AA315" s="2" t="inlineStr"/>
      <c r="AB315" s="2" t="b">
        <v>1</v>
      </c>
      <c r="AC315" s="2" t="inlineStr"/>
      <c r="AD315" s="2" t="inlineStr">
        <is>
          <t>Exact field from Income Statement!A91; value cell B91.</t>
        </is>
      </c>
      <c r="AE315" s="2" t="inlineStr">
        <is>
          <t>Notes may support direct extraction or decomposition with provenance. Formula outputs must be derived only from template dependencies.</t>
        </is>
      </c>
      <c r="AF315" s="2" t="inlineStr"/>
      <c r="AG315" s="2" t="inlineStr">
        <is>
          <t>[]</t>
        </is>
      </c>
      <c r="AH315" s="2" t="inlineStr">
        <is>
          <t>Prior Year Tax Adj(-)</t>
        </is>
      </c>
      <c r="AI315" s="2" t="inlineStr"/>
      <c r="AJ315" s="2" t="inlineStr">
        <is>
          <t>{"template_sheet": "Income Statement", "template_row": 91, "template_cell": "B91", "template_value_or_formula": 50, "calculation_type": "reported_input", "dependencies": [], "source_template": "Copy of Output_CSV Template.xlsx"}</t>
        </is>
      </c>
    </row>
    <row r="316">
      <c r="A316" s="2" t="inlineStr">
        <is>
          <t>is_pl__total_income_tax</t>
        </is>
      </c>
      <c r="B316" s="2" t="inlineStr">
        <is>
          <t>Total Income Tax</t>
        </is>
      </c>
      <c r="C316" s="2" t="inlineStr">
        <is>
          <t>is_pl</t>
        </is>
      </c>
      <c r="D316" s="2" t="inlineStr">
        <is>
          <t>Calculated target using the exact formula retained in the supplied template: =SUM({is_pl__current_income_taxes}:{is_pl__prior_year_tax_adj})</t>
        </is>
      </c>
      <c r="E316" s="2" t="inlineStr">
        <is>
          <t>Total Income Tax</t>
        </is>
      </c>
      <c r="F316" s="2" t="inlineStr">
        <is>
          <t>Total Income Tax</t>
        </is>
      </c>
      <c r="G316" s="2" t="inlineStr">
        <is>
          <t>^Total\s+Income\s+Tax$</t>
        </is>
      </c>
      <c r="H316" s="2" t="inlineStr"/>
      <c r="I316" s="2" t="inlineStr">
        <is>
          <t>Amounts or disclosures explicitly reported for Total Income Tax in Income Statement / is_pl.</t>
        </is>
      </c>
      <c r="J316" s="2" t="inlineStr">
        <is>
          <t>Do not substitute another section, period, entity scope, currency or unit; do not double count a parent and its children.</t>
        </is>
      </c>
      <c r="K316" s="2" t="inlineStr"/>
      <c r="L316" s="2" t="inlineStr">
        <is>
          <t>as_reported</t>
        </is>
      </c>
      <c r="M316" s="2" t="inlineStr">
        <is>
          <t>derived_total</t>
        </is>
      </c>
      <c r="N316" s="2" t="n">
        <v>100</v>
      </c>
      <c r="O316" s="2" t="inlineStr">
        <is>
          <t>disabled</t>
        </is>
      </c>
      <c r="P316" s="4" t="inlineStr">
        <is>
          <t>derive</t>
        </is>
      </c>
      <c r="Q316" s="2" t="inlineStr">
        <is>
          <t>currency_amount</t>
        </is>
      </c>
      <c r="R316" s="2" t="inlineStr">
        <is>
          <t>period_flow</t>
        </is>
      </c>
      <c r="S316" s="2" t="inlineStr">
        <is>
          <t>allowed_with_provenance</t>
        </is>
      </c>
      <c r="T316" s="2" t="b">
        <v>0</v>
      </c>
      <c r="U316" s="2" t="b">
        <v>1</v>
      </c>
      <c r="V316" s="2" t="inlineStr">
        <is>
          <t>is_pl__current_income_taxes | is_pl__prior_year_tax_adj</t>
        </is>
      </c>
      <c r="W316" s="2">
        <f>SUM({is_pl__current_income_taxes}:{is_pl__prior_year_tax_adj})</f>
        <v/>
      </c>
      <c r="X316" s="2" t="inlineStr">
        <is>
          <t>Use only dependencies stated in the formula; never fabricate missing components.</t>
        </is>
      </c>
      <c r="Y316" s="2" t="inlineStr">
        <is>
          <t>Calculate only after every dependency is populated and validated.</t>
        </is>
      </c>
      <c r="Z316" s="2" t="inlineStr">
        <is>
          <t>Bind only to Income Statement / is_pl.</t>
        </is>
      </c>
      <c r="AA316" s="2" t="inlineStr"/>
      <c r="AB316" s="2" t="b">
        <v>0</v>
      </c>
      <c r="AC316" s="2" t="inlineStr">
        <is>
          <t>is_pl__current_income_taxes | is_pl__prior_year_tax_adj</t>
        </is>
      </c>
      <c r="AD316" s="2" t="inlineStr">
        <is>
          <t>Exact field from Income Statement!A92; value cell B92.</t>
        </is>
      </c>
      <c r="AE316" s="2" t="inlineStr">
        <is>
          <t>Notes may support direct extraction or decomposition with provenance. Formula outputs must be derived only from template dependencies.</t>
        </is>
      </c>
      <c r="AF316" s="2" t="inlineStr"/>
      <c r="AG316" s="2" t="inlineStr">
        <is>
          <t>[]</t>
        </is>
      </c>
      <c r="AH316" s="2" t="inlineStr">
        <is>
          <t>Total Income Tax</t>
        </is>
      </c>
      <c r="AI316" s="2" t="inlineStr"/>
      <c r="AJ316" s="2" t="inlineStr">
        <is>
          <t>{"template_sheet": "Income Statement", "template_row": 92, "template_cell": "B92", "template_value_or_formula": "=SUM(B89:B91)", "calculation_type": "formula", "dependencies": ["is_pl__current_income_taxes", "is_pl__prior_year_tax_adj"], "source_template": "Copy of Output_CSV Template.xlsx"}</t>
        </is>
      </c>
    </row>
    <row r="317">
      <c r="A317" s="2" t="inlineStr">
        <is>
          <t>is_pl__profit_loss_bef_extraord_items</t>
        </is>
      </c>
      <c r="B317" s="2" t="inlineStr">
        <is>
          <t>Profit(Loss) Bef Extraord Items</t>
        </is>
      </c>
      <c r="C317" s="2" t="inlineStr">
        <is>
          <t>is_pl</t>
        </is>
      </c>
      <c r="D317" s="2" t="inlineStr">
        <is>
          <t>Calculated target using the exact formula retained in the supplied template: ={is_pl__profit_loss_before_tax}-{is_pl__total_income_tax}</t>
        </is>
      </c>
      <c r="E317" s="2" t="inlineStr">
        <is>
          <t>Profit(Loss) Bef Extraord Items</t>
        </is>
      </c>
      <c r="F317" s="2" t="inlineStr">
        <is>
          <t>Profit(Loss) Bef Extraord Items</t>
        </is>
      </c>
      <c r="G317" s="2" t="inlineStr">
        <is>
          <t>^Profit\(Loss\)\s+Bef\s+Extraord\s+Items$</t>
        </is>
      </c>
      <c r="H317" s="2" t="inlineStr"/>
      <c r="I317" s="2" t="inlineStr">
        <is>
          <t>Amounts or disclosures explicitly reported for Profit(Loss) Bef Extraord Items in Income Statement / is_pl.</t>
        </is>
      </c>
      <c r="J317" s="2" t="inlineStr">
        <is>
          <t>Do not substitute another section, period, entity scope, currency or unit; do not double count a parent and its children.</t>
        </is>
      </c>
      <c r="K317" s="2" t="inlineStr"/>
      <c r="L317" s="2" t="inlineStr">
        <is>
          <t>as_reported</t>
        </is>
      </c>
      <c r="M317" s="2" t="inlineStr">
        <is>
          <t>derived_total</t>
        </is>
      </c>
      <c r="N317" s="2" t="n">
        <v>100</v>
      </c>
      <c r="O317" s="2" t="inlineStr">
        <is>
          <t>disabled</t>
        </is>
      </c>
      <c r="P317" s="4" t="inlineStr">
        <is>
          <t>derive</t>
        </is>
      </c>
      <c r="Q317" s="2" t="inlineStr">
        <is>
          <t>currency_amount</t>
        </is>
      </c>
      <c r="R317" s="2" t="inlineStr">
        <is>
          <t>period_flow</t>
        </is>
      </c>
      <c r="S317" s="2" t="inlineStr">
        <is>
          <t>allowed_with_provenance</t>
        </is>
      </c>
      <c r="T317" s="2" t="b">
        <v>0</v>
      </c>
      <c r="U317" s="2" t="b">
        <v>1</v>
      </c>
      <c r="V317" s="2" t="inlineStr">
        <is>
          <t>is_pl__profit_loss_before_tax | is_pl__total_income_tax</t>
        </is>
      </c>
      <c r="W317" s="2">
        <f>{is_pl__profit_loss_before_tax}-{is_pl__total_income_tax}</f>
        <v/>
      </c>
      <c r="X317" s="2" t="inlineStr">
        <is>
          <t>Use only dependencies stated in the formula; never fabricate missing components.</t>
        </is>
      </c>
      <c r="Y317" s="2" t="inlineStr">
        <is>
          <t>Calculate only after every dependency is populated and validated.</t>
        </is>
      </c>
      <c r="Z317" s="2" t="inlineStr">
        <is>
          <t>Bind only to Income Statement / is_pl.</t>
        </is>
      </c>
      <c r="AA317" s="2" t="inlineStr"/>
      <c r="AB317" s="2" t="b">
        <v>0</v>
      </c>
      <c r="AC317" s="2" t="inlineStr">
        <is>
          <t>is_pl__profit_loss_before_tax | is_pl__total_income_tax</t>
        </is>
      </c>
      <c r="AD317" s="2" t="inlineStr">
        <is>
          <t>Exact field from Income Statement!A93; value cell B93.</t>
        </is>
      </c>
      <c r="AE317" s="2" t="inlineStr">
        <is>
          <t>Notes may support direct extraction or decomposition with provenance. Formula outputs must be derived only from template dependencies.</t>
        </is>
      </c>
      <c r="AF317" s="2" t="inlineStr"/>
      <c r="AG317" s="2" t="inlineStr">
        <is>
          <t>[]</t>
        </is>
      </c>
      <c r="AH317" s="2" t="inlineStr">
        <is>
          <t>Profit(Loss) Bef Extraord Items</t>
        </is>
      </c>
      <c r="AI317" s="2" t="inlineStr"/>
      <c r="AJ317" s="2" t="inlineStr">
        <is>
          <t>{"template_sheet": "Income Statement", "template_row": 93, "template_cell": "B93", "template_value_or_formula": "=B88-B92", "calculation_type": "formula", "dependencies": ["is_pl__profit_loss_before_tax", "is_pl__total_income_tax"], "source_template": "Copy of Output_CSV Template.xlsx"}</t>
        </is>
      </c>
    </row>
    <row r="318">
      <c r="A318" s="2" t="inlineStr">
        <is>
          <t>is_pl__extraordinary_income_exp</t>
        </is>
      </c>
      <c r="B318" s="2" t="inlineStr">
        <is>
          <t>Extraordinary Income(Exp)</t>
        </is>
      </c>
      <c r="C318" s="2" t="inlineStr">
        <is>
          <t>is_pl</t>
        </is>
      </c>
      <c r="D318" s="2" t="inlineStr">
        <is>
          <t>Extract the reported value for 'Extraordinary Income(Exp)' from the stated section. Do not calculate or replace it from other rows, because the revised template does not designate this field as formula-driven.</t>
        </is>
      </c>
      <c r="E318" s="2" t="inlineStr">
        <is>
          <t>Extraordinary Income(Exp)</t>
        </is>
      </c>
      <c r="F318" s="2" t="inlineStr">
        <is>
          <t>Extraordinary Income(Exp)</t>
        </is>
      </c>
      <c r="G318" s="2" t="inlineStr">
        <is>
          <t>^Extraordinary\s+Income\(Exp\)$</t>
        </is>
      </c>
      <c r="H318" s="2" t="inlineStr"/>
      <c r="I318" s="2" t="inlineStr">
        <is>
          <t>Amounts or disclosures explicitly reported for Extraordinary Income(Exp) in Income Statement / is_pl.</t>
        </is>
      </c>
      <c r="J318" s="2" t="inlineStr">
        <is>
          <t>Do not substitute another section, period, entity scope, currency or unit; do not double count a parent and its children.</t>
        </is>
      </c>
      <c r="K318" s="2" t="inlineStr"/>
      <c r="L318" s="2" t="inlineStr">
        <is>
          <t>as_reported</t>
        </is>
      </c>
      <c r="M318" s="2" t="inlineStr">
        <is>
          <t>direct_exclusive</t>
        </is>
      </c>
      <c r="N318" s="2" t="n">
        <v>90</v>
      </c>
      <c r="O318" s="2" t="inlineStr">
        <is>
          <t>normalized_exact_then_regex</t>
        </is>
      </c>
      <c r="P318" s="3" t="inlineStr">
        <is>
          <t>extract</t>
        </is>
      </c>
      <c r="Q318" s="2" t="inlineStr">
        <is>
          <t>currency_amount</t>
        </is>
      </c>
      <c r="R318" s="2" t="inlineStr">
        <is>
          <t>period_flow</t>
        </is>
      </c>
      <c r="S318" s="2" t="inlineStr">
        <is>
          <t>allowed_with_provenance</t>
        </is>
      </c>
      <c r="T318" s="2" t="b">
        <v>0</v>
      </c>
      <c r="U318" s="2" t="b">
        <v>0</v>
      </c>
      <c r="V318" s="2" t="inlineStr"/>
      <c r="W318" s="2" t="inlineStr"/>
      <c r="X318" s="2" t="inlineStr">
        <is>
          <t>Decompose only from explicit face or note evidence; never fabricate a split.</t>
        </is>
      </c>
      <c r="Y318" s="2" t="inlineStr">
        <is>
          <t>Aggregate only mutually exclusive facts with identical period, scope, currency and unit.</t>
        </is>
      </c>
      <c r="Z318" s="2" t="inlineStr">
        <is>
          <t>Bind only to Income Statement / is_pl.</t>
        </is>
      </c>
      <c r="AA318" s="2" t="inlineStr"/>
      <c r="AB318" s="2" t="b">
        <v>1</v>
      </c>
      <c r="AC318" s="2" t="inlineStr"/>
      <c r="AD318" s="2" t="inlineStr">
        <is>
          <t>Exact field from Income Statement!A94; value cell B94.</t>
        </is>
      </c>
      <c r="AE318" s="2" t="inlineStr">
        <is>
          <t>Notes may support direct extraction or decomposition with provenance. Formula outputs must be derived only from template dependencies.</t>
        </is>
      </c>
      <c r="AF318" s="2" t="inlineStr"/>
      <c r="AG318" s="2" t="inlineStr">
        <is>
          <t>[]</t>
        </is>
      </c>
      <c r="AH318" s="2" t="inlineStr">
        <is>
          <t>Extraordinary Income(Exp)</t>
        </is>
      </c>
      <c r="AI318" s="2" t="inlineStr"/>
      <c r="AJ318" s="2" t="inlineStr">
        <is>
          <t>{"template_sheet": "Income Statement", "template_row": 94, "template_cell": "B94", "template_value_or_formula": 15, "calculation_type": "reported_input", "dependencies": [], "source_template": "Copy of Output_CSV Template.xlsx"}</t>
        </is>
      </c>
    </row>
    <row r="319">
      <c r="A319" s="2" t="inlineStr">
        <is>
          <t>is_pl__extraordinary_income_exp_nc</t>
        </is>
      </c>
      <c r="B319" s="2" t="inlineStr">
        <is>
          <t>Extraordinary Income(Exp)(NC)</t>
        </is>
      </c>
      <c r="C319" s="2" t="inlineStr">
        <is>
          <t>is_pl</t>
        </is>
      </c>
      <c r="D319" s="2" t="inlineStr">
        <is>
          <t>Extract the reported value for 'Extraordinary Income(Exp)(NC)' from the stated section. Do not calculate or replace it from other rows, because the revised template does not designate this field as formula-driven.</t>
        </is>
      </c>
      <c r="E319" s="2" t="inlineStr">
        <is>
          <t>Extraordinary Income(Exp)(NC)</t>
        </is>
      </c>
      <c r="F319" s="2" t="inlineStr">
        <is>
          <t>Extraordinary Income(Exp)(NC)</t>
        </is>
      </c>
      <c r="G319" s="2" t="inlineStr">
        <is>
          <t>^Extraordinary\s+Income\(Exp\)\(NC\)$</t>
        </is>
      </c>
      <c r="H319" s="2" t="inlineStr"/>
      <c r="I319" s="2" t="inlineStr">
        <is>
          <t>Amounts or disclosures explicitly reported for Extraordinary Income(Exp)(NC) in Income Statement / is_pl.</t>
        </is>
      </c>
      <c r="J319" s="2" t="inlineStr">
        <is>
          <t>Do not substitute another section, period, entity scope, currency or unit; do not double count a parent and its children.</t>
        </is>
      </c>
      <c r="K319" s="2" t="inlineStr"/>
      <c r="L319" s="2" t="inlineStr">
        <is>
          <t>as_reported</t>
        </is>
      </c>
      <c r="M319" s="2" t="inlineStr">
        <is>
          <t>direct_exclusive</t>
        </is>
      </c>
      <c r="N319" s="2" t="n">
        <v>90</v>
      </c>
      <c r="O319" s="2" t="inlineStr">
        <is>
          <t>normalized_exact_then_regex</t>
        </is>
      </c>
      <c r="P319" s="3" t="inlineStr">
        <is>
          <t>extract</t>
        </is>
      </c>
      <c r="Q319" s="2" t="inlineStr">
        <is>
          <t>currency_amount</t>
        </is>
      </c>
      <c r="R319" s="2" t="inlineStr">
        <is>
          <t>period_flow</t>
        </is>
      </c>
      <c r="S319" s="2" t="inlineStr">
        <is>
          <t>allowed_with_provenance</t>
        </is>
      </c>
      <c r="T319" s="2" t="b">
        <v>0</v>
      </c>
      <c r="U319" s="2" t="b">
        <v>0</v>
      </c>
      <c r="V319" s="2" t="inlineStr"/>
      <c r="W319" s="2" t="inlineStr"/>
      <c r="X319" s="2" t="inlineStr">
        <is>
          <t>Decompose only from explicit face or note evidence; never fabricate a split.</t>
        </is>
      </c>
      <c r="Y319" s="2" t="inlineStr">
        <is>
          <t>Aggregate only mutually exclusive facts with identical period, scope, currency and unit.</t>
        </is>
      </c>
      <c r="Z319" s="2" t="inlineStr">
        <is>
          <t>Bind only to Income Statement / is_pl.</t>
        </is>
      </c>
      <c r="AA319" s="2" t="inlineStr"/>
      <c r="AB319" s="2" t="b">
        <v>1</v>
      </c>
      <c r="AC319" s="2" t="inlineStr"/>
      <c r="AD319" s="2" t="inlineStr">
        <is>
          <t>Exact field from Income Statement!A95; value cell B95.</t>
        </is>
      </c>
      <c r="AE319" s="2" t="inlineStr">
        <is>
          <t>Notes may support direct extraction or decomposition with provenance. Formula outputs must be derived only from template dependencies.</t>
        </is>
      </c>
      <c r="AF319" s="2" t="inlineStr"/>
      <c r="AG319" s="2" t="inlineStr">
        <is>
          <t>[]</t>
        </is>
      </c>
      <c r="AH319" s="2" t="inlineStr">
        <is>
          <t>Extraordinary Income(Exp)(NC)</t>
        </is>
      </c>
      <c r="AI319" s="2" t="inlineStr"/>
      <c r="AJ319" s="2" t="inlineStr">
        <is>
          <t>{"template_sheet": "Income Statement", "template_row": 95, "template_cell": "B95", "template_value_or_formula": 32, "calculation_type": "reported_input", "dependencies": [], "source_template": "Copy of Output_CSV Template.xlsx"}</t>
        </is>
      </c>
    </row>
    <row r="320">
      <c r="A320" s="2" t="inlineStr">
        <is>
          <t>is_pl__minority_interests_pl</t>
        </is>
      </c>
      <c r="B320" s="2" t="inlineStr">
        <is>
          <t>Minority Interests(PL)</t>
        </is>
      </c>
      <c r="C320" s="2" t="inlineStr">
        <is>
          <t>is_pl</t>
        </is>
      </c>
      <c r="D320" s="2" t="inlineStr">
        <is>
          <t>Extract the reported value for 'Minority Interests(PL)' from the stated section. Do not calculate or replace it from other rows, because the revised template does not designate this field as formula-driven.</t>
        </is>
      </c>
      <c r="E320" s="2" t="inlineStr">
        <is>
          <t>Minority Interests(PL)</t>
        </is>
      </c>
      <c r="F320" s="2" t="inlineStr">
        <is>
          <t>Minority Interests(PL)</t>
        </is>
      </c>
      <c r="G320" s="2" t="inlineStr">
        <is>
          <t>^Minority\s+Interests\(PL\)$</t>
        </is>
      </c>
      <c r="H320" s="2" t="inlineStr"/>
      <c r="I320" s="2" t="inlineStr">
        <is>
          <t>Amounts or disclosures explicitly reported for Minority Interests(PL) in Income Statement / is_pl.</t>
        </is>
      </c>
      <c r="J320" s="2" t="inlineStr">
        <is>
          <t>Do not substitute another section, period, entity scope, currency or unit; do not double count a parent and its children.</t>
        </is>
      </c>
      <c r="K320" s="2" t="inlineStr"/>
      <c r="L320" s="2" t="inlineStr">
        <is>
          <t>as_reported</t>
        </is>
      </c>
      <c r="M320" s="2" t="inlineStr">
        <is>
          <t>direct_exclusive</t>
        </is>
      </c>
      <c r="N320" s="2" t="n">
        <v>90</v>
      </c>
      <c r="O320" s="2" t="inlineStr">
        <is>
          <t>normalized_exact_then_regex</t>
        </is>
      </c>
      <c r="P320" s="3" t="inlineStr">
        <is>
          <t>extract</t>
        </is>
      </c>
      <c r="Q320" s="2" t="inlineStr">
        <is>
          <t>currency_amount</t>
        </is>
      </c>
      <c r="R320" s="2" t="inlineStr">
        <is>
          <t>period_flow</t>
        </is>
      </c>
      <c r="S320" s="2" t="inlineStr">
        <is>
          <t>allowed_with_provenance</t>
        </is>
      </c>
      <c r="T320" s="2" t="b">
        <v>0</v>
      </c>
      <c r="U320" s="2" t="b">
        <v>0</v>
      </c>
      <c r="V320" s="2" t="inlineStr"/>
      <c r="W320" s="2" t="inlineStr"/>
      <c r="X320" s="2" t="inlineStr">
        <is>
          <t>Decompose only from explicit face or note evidence; never fabricate a split.</t>
        </is>
      </c>
      <c r="Y320" s="2" t="inlineStr">
        <is>
          <t>Aggregate only mutually exclusive facts with identical period, scope, currency and unit.</t>
        </is>
      </c>
      <c r="Z320" s="2" t="inlineStr">
        <is>
          <t>Bind only to Income Statement / is_pl.</t>
        </is>
      </c>
      <c r="AA320" s="2" t="inlineStr"/>
      <c r="AB320" s="2" t="b">
        <v>1</v>
      </c>
      <c r="AC320" s="2" t="inlineStr"/>
      <c r="AD320" s="2" t="inlineStr">
        <is>
          <t>Exact field from Income Statement!A96; value cell B96.</t>
        </is>
      </c>
      <c r="AE320" s="2" t="inlineStr">
        <is>
          <t>Notes may support direct extraction or decomposition with provenance. Formula outputs must be derived only from template dependencies.</t>
        </is>
      </c>
      <c r="AF320" s="2" t="inlineStr"/>
      <c r="AG320" s="2" t="inlineStr">
        <is>
          <t>[]</t>
        </is>
      </c>
      <c r="AH320" s="2" t="inlineStr">
        <is>
          <t>Minority Interests(PL)</t>
        </is>
      </c>
      <c r="AI320" s="2" t="inlineStr"/>
      <c r="AJ320" s="2" t="inlineStr">
        <is>
          <t>{"template_sheet": "Income Statement", "template_row": 96, "template_cell": "B96", "template_value_or_formula": 49, "calculation_type": "reported_input", "dependencies": [], "source_template": "Copy of Output_CSV Template.xlsx"}</t>
        </is>
      </c>
    </row>
    <row r="321">
      <c r="A321" s="2" t="inlineStr">
        <is>
          <t>is_pl__profit_for_the_year</t>
        </is>
      </c>
      <c r="B321" s="2" t="inlineStr">
        <is>
          <t>Profit for the year</t>
        </is>
      </c>
      <c r="C321" s="2" t="inlineStr">
        <is>
          <t>is_pl</t>
        </is>
      </c>
      <c r="D321" s="2" t="inlineStr">
        <is>
          <t>Calculated target using the exact formula retained in the supplied template: ={is_pl__profit_loss_bef_extraord_items}+SUM({is_pl__extraordinary_income_exp}:{is_pl__minority_interests_pl})</t>
        </is>
      </c>
      <c r="E321" s="2" t="inlineStr">
        <is>
          <t>Profit for the year</t>
        </is>
      </c>
      <c r="F321" s="2" t="inlineStr">
        <is>
          <t>Profit for the year</t>
        </is>
      </c>
      <c r="G321" s="2" t="inlineStr">
        <is>
          <t>^Profit\s+for\s+the\s+year$</t>
        </is>
      </c>
      <c r="H321" s="2" t="inlineStr"/>
      <c r="I321" s="2" t="inlineStr">
        <is>
          <t>Amounts or disclosures explicitly reported for Profit for the year in Income Statement / is_pl.</t>
        </is>
      </c>
      <c r="J321" s="2" t="inlineStr">
        <is>
          <t>Do not substitute another section, period, entity scope, currency or unit; do not double count a parent and its children.</t>
        </is>
      </c>
      <c r="K321" s="2" t="inlineStr"/>
      <c r="L321" s="2" t="inlineStr">
        <is>
          <t>as_reported</t>
        </is>
      </c>
      <c r="M321" s="2" t="inlineStr">
        <is>
          <t>derived_total</t>
        </is>
      </c>
      <c r="N321" s="2" t="n">
        <v>100</v>
      </c>
      <c r="O321" s="2" t="inlineStr">
        <is>
          <t>disabled</t>
        </is>
      </c>
      <c r="P321" s="4" t="inlineStr">
        <is>
          <t>derive</t>
        </is>
      </c>
      <c r="Q321" s="2" t="inlineStr">
        <is>
          <t>currency_amount</t>
        </is>
      </c>
      <c r="R321" s="2" t="inlineStr">
        <is>
          <t>period_flow</t>
        </is>
      </c>
      <c r="S321" s="2" t="inlineStr">
        <is>
          <t>allowed_with_provenance</t>
        </is>
      </c>
      <c r="T321" s="2" t="b">
        <v>0</v>
      </c>
      <c r="U321" s="2" t="b">
        <v>1</v>
      </c>
      <c r="V321" s="2" t="inlineStr">
        <is>
          <t>is_pl__profit_loss_bef_extraord_items | is_pl__extraordinary_income_exp | is_pl__minority_interests_pl</t>
        </is>
      </c>
      <c r="W321" s="2">
        <f>{is_pl__profit_loss_bef_extraord_items}+SUM({is_pl__extraordinary_income_exp}:{is_pl__minority_interests_pl})</f>
        <v/>
      </c>
      <c r="X321" s="2" t="inlineStr">
        <is>
          <t>Use only dependencies stated in the formula; never fabricate missing components.</t>
        </is>
      </c>
      <c r="Y321" s="2" t="inlineStr">
        <is>
          <t>Calculate only after every dependency is populated and validated.</t>
        </is>
      </c>
      <c r="Z321" s="2" t="inlineStr">
        <is>
          <t>Bind only to Income Statement / is_pl.</t>
        </is>
      </c>
      <c r="AA321" s="2" t="inlineStr"/>
      <c r="AB321" s="2" t="b">
        <v>0</v>
      </c>
      <c r="AC321" s="2" t="inlineStr">
        <is>
          <t>is_pl__profit_loss_bef_extraord_items | is_pl__extraordinary_income_exp | is_pl__minority_interests_pl</t>
        </is>
      </c>
      <c r="AD321" s="2" t="inlineStr">
        <is>
          <t>Exact field from Income Statement!A97; value cell B97.</t>
        </is>
      </c>
      <c r="AE321" s="2" t="inlineStr">
        <is>
          <t>Notes may support direct extraction or decomposition with provenance. Formula outputs must be derived only from template dependencies.</t>
        </is>
      </c>
      <c r="AF321" s="2" t="inlineStr"/>
      <c r="AG321" s="2" t="inlineStr">
        <is>
          <t>[]</t>
        </is>
      </c>
      <c r="AH321" s="2" t="inlineStr">
        <is>
          <t>Profit for the year</t>
        </is>
      </c>
      <c r="AI321" s="2" t="inlineStr"/>
      <c r="AJ321" s="2" t="inlineStr">
        <is>
          <t>{"template_sheet": "Income Statement", "template_row": 97, "template_cell": "B97", "template_value_or_formula": "=B93+SUM(B94:B96)", "calculation_type": "formula", "dependencies": ["is_pl__profit_loss_bef_extraord_items", "is_pl__extraordinary_income_exp", "is_pl__minority_interests_pl"], "source_template": "Copy of Output_CSV Template.xlsx"}</t>
        </is>
      </c>
    </row>
    <row r="322">
      <c r="A322" s="2" t="inlineStr">
        <is>
          <t>is_oci__unreal_gain_loss_fixed_assets</t>
        </is>
      </c>
      <c r="B322" s="2" t="inlineStr">
        <is>
          <t>Unreal Gain(Loss) Fixed Assets</t>
        </is>
      </c>
      <c r="C322" s="2" t="inlineStr">
        <is>
          <t>is_oci</t>
        </is>
      </c>
      <c r="D322" s="2" t="inlineStr">
        <is>
          <t>Extract the reported value for 'Unreal Gain(Loss) Fixed Assets' from the stated section. Do not calculate or replace it from other rows, because the revised template does not designate this field as formula-driven.</t>
        </is>
      </c>
      <c r="E322" s="2" t="inlineStr">
        <is>
          <t>Unreal Gain(Loss) Fixed Assets</t>
        </is>
      </c>
      <c r="F322" s="2" t="inlineStr">
        <is>
          <t>Unreal Gain(Loss) Fixed Assets</t>
        </is>
      </c>
      <c r="G322" s="2" t="inlineStr">
        <is>
          <t>^Unreal\s+Gain\(Loss\)\s+Fixed\s+Assets$</t>
        </is>
      </c>
      <c r="H322" s="2" t="inlineStr"/>
      <c r="I322" s="2" t="inlineStr">
        <is>
          <t>Amounts or disclosures explicitly reported for Unreal Gain(Loss) Fixed Assets in Income Statement / is_oci.</t>
        </is>
      </c>
      <c r="J322" s="2" t="inlineStr">
        <is>
          <t>Do not substitute another section, period, entity scope, currency or unit; do not double count a parent and its children.</t>
        </is>
      </c>
      <c r="K322" s="2" t="inlineStr"/>
      <c r="L322" s="2" t="inlineStr">
        <is>
          <t>as_reported</t>
        </is>
      </c>
      <c r="M322" s="2" t="inlineStr">
        <is>
          <t>direct_exclusive</t>
        </is>
      </c>
      <c r="N322" s="2" t="n">
        <v>90</v>
      </c>
      <c r="O322" s="2" t="inlineStr">
        <is>
          <t>normalized_exact_then_regex</t>
        </is>
      </c>
      <c r="P322" s="3" t="inlineStr">
        <is>
          <t>extract</t>
        </is>
      </c>
      <c r="Q322" s="2" t="inlineStr">
        <is>
          <t>currency_amount</t>
        </is>
      </c>
      <c r="R322" s="2" t="inlineStr">
        <is>
          <t>period_flow</t>
        </is>
      </c>
      <c r="S322" s="2" t="inlineStr">
        <is>
          <t>allowed_with_provenance</t>
        </is>
      </c>
      <c r="T322" s="2" t="b">
        <v>0</v>
      </c>
      <c r="U322" s="2" t="b">
        <v>0</v>
      </c>
      <c r="V322" s="2" t="inlineStr"/>
      <c r="W322" s="2" t="inlineStr"/>
      <c r="X322" s="2" t="inlineStr">
        <is>
          <t>Decompose only from explicit face or note evidence; never fabricate a split.</t>
        </is>
      </c>
      <c r="Y322" s="2" t="inlineStr">
        <is>
          <t>Aggregate only mutually exclusive facts with identical period, scope, currency and unit.</t>
        </is>
      </c>
      <c r="Z322" s="2" t="inlineStr">
        <is>
          <t>Bind only to Income Statement / is_oci.</t>
        </is>
      </c>
      <c r="AA322" s="2" t="inlineStr"/>
      <c r="AB322" s="2" t="b">
        <v>1</v>
      </c>
      <c r="AC322" s="2" t="inlineStr"/>
      <c r="AD322" s="2" t="inlineStr">
        <is>
          <t>Exact field from Income Statement!A99; value cell B99.</t>
        </is>
      </c>
      <c r="AE322" s="2" t="inlineStr">
        <is>
          <t>Notes may support direct extraction or decomposition with provenance. Formula outputs must be derived only from template dependencies.</t>
        </is>
      </c>
      <c r="AF322" s="2" t="inlineStr"/>
      <c r="AG322" s="2" t="inlineStr">
        <is>
          <t>[]</t>
        </is>
      </c>
      <c r="AH322" s="2" t="inlineStr">
        <is>
          <t>Unreal Gain(Loss) Fixed Assets</t>
        </is>
      </c>
      <c r="AI322" s="2" t="inlineStr"/>
      <c r="AJ322" s="2" t="inlineStr">
        <is>
          <t>{"template_sheet": "Income Statement", "template_row": 99, "template_cell": "B99", "template_value_or_formula": 14, "calculation_type": "reported_input", "dependencies": [], "source_template": "Copy of Output_CSV Template.xlsx"}</t>
        </is>
      </c>
    </row>
    <row r="323">
      <c r="A323" s="2" t="inlineStr">
        <is>
          <t>is_oci__unreal_gain_loss_invest_prpty</t>
        </is>
      </c>
      <c r="B323" s="2" t="inlineStr">
        <is>
          <t>Unreal Gain(Loss) Invest Prpty</t>
        </is>
      </c>
      <c r="C323" s="2" t="inlineStr">
        <is>
          <t>is_oci</t>
        </is>
      </c>
      <c r="D323" s="2" t="inlineStr">
        <is>
          <t>Extract the reported value for 'Unreal Gain(Loss) Invest Prpty' from the stated section. Do not calculate or replace it from other rows, because the revised template does not designate this field as formula-driven.</t>
        </is>
      </c>
      <c r="E323" s="2" t="inlineStr">
        <is>
          <t>Unreal Gain(Loss) Invest Prpty</t>
        </is>
      </c>
      <c r="F323" s="2" t="inlineStr">
        <is>
          <t>Unreal Gain(Loss) Invest Prpty</t>
        </is>
      </c>
      <c r="G323" s="2" t="inlineStr">
        <is>
          <t>^Unreal\s+Gain\(Loss\)\s+Invest\s+Prpty$</t>
        </is>
      </c>
      <c r="H323" s="2" t="inlineStr"/>
      <c r="I323" s="2" t="inlineStr">
        <is>
          <t>Amounts or disclosures explicitly reported for Unreal Gain(Loss) Invest Prpty in Income Statement / is_oci.</t>
        </is>
      </c>
      <c r="J323" s="2" t="inlineStr">
        <is>
          <t>Do not substitute another section, period, entity scope, currency or unit; do not double count a parent and its children.</t>
        </is>
      </c>
      <c r="K323" s="2" t="inlineStr"/>
      <c r="L323" s="2" t="inlineStr">
        <is>
          <t>as_reported</t>
        </is>
      </c>
      <c r="M323" s="2" t="inlineStr">
        <is>
          <t>direct_exclusive</t>
        </is>
      </c>
      <c r="N323" s="2" t="n">
        <v>90</v>
      </c>
      <c r="O323" s="2" t="inlineStr">
        <is>
          <t>normalized_exact_then_regex</t>
        </is>
      </c>
      <c r="P323" s="3" t="inlineStr">
        <is>
          <t>extract</t>
        </is>
      </c>
      <c r="Q323" s="2" t="inlineStr">
        <is>
          <t>currency_amount</t>
        </is>
      </c>
      <c r="R323" s="2" t="inlineStr">
        <is>
          <t>period_flow</t>
        </is>
      </c>
      <c r="S323" s="2" t="inlineStr">
        <is>
          <t>allowed_with_provenance</t>
        </is>
      </c>
      <c r="T323" s="2" t="b">
        <v>0</v>
      </c>
      <c r="U323" s="2" t="b">
        <v>0</v>
      </c>
      <c r="V323" s="2" t="inlineStr"/>
      <c r="W323" s="2" t="inlineStr"/>
      <c r="X323" s="2" t="inlineStr">
        <is>
          <t>Decompose only from explicit face or note evidence; never fabricate a split.</t>
        </is>
      </c>
      <c r="Y323" s="2" t="inlineStr">
        <is>
          <t>Aggregate only mutually exclusive facts with identical period, scope, currency and unit.</t>
        </is>
      </c>
      <c r="Z323" s="2" t="inlineStr">
        <is>
          <t>Bind only to Income Statement / is_oci.</t>
        </is>
      </c>
      <c r="AA323" s="2" t="inlineStr"/>
      <c r="AB323" s="2" t="b">
        <v>1</v>
      </c>
      <c r="AC323" s="2" t="inlineStr"/>
      <c r="AD323" s="2" t="inlineStr">
        <is>
          <t>Exact field from Income Statement!A100; value cell B100.</t>
        </is>
      </c>
      <c r="AE323" s="2" t="inlineStr">
        <is>
          <t>Notes may support direct extraction or decomposition with provenance. Formula outputs must be derived only from template dependencies.</t>
        </is>
      </c>
      <c r="AF323" s="2" t="inlineStr"/>
      <c r="AG323" s="2" t="inlineStr">
        <is>
          <t>[]</t>
        </is>
      </c>
      <c r="AH323" s="2" t="inlineStr">
        <is>
          <t>Unreal Gain(Loss) Invest Prpty</t>
        </is>
      </c>
      <c r="AI323" s="2" t="inlineStr"/>
      <c r="AJ323" s="2" t="inlineStr">
        <is>
          <t>{"template_sheet": "Income Statement", "template_row": 100, "template_cell": "B100", "template_value_or_formula": 31, "calculation_type": "reported_input", "dependencies": [], "source_template": "Copy of Output_CSV Template.xlsx"}</t>
        </is>
      </c>
    </row>
    <row r="324">
      <c r="A324" s="2" t="inlineStr">
        <is>
          <t>is_oci__unreal_gain_loss_investments</t>
        </is>
      </c>
      <c r="B324" s="2" t="inlineStr">
        <is>
          <t>Unreal Gain(Loss) Investments</t>
        </is>
      </c>
      <c r="C324" s="2" t="inlineStr">
        <is>
          <t>is_oci</t>
        </is>
      </c>
      <c r="D324" s="2" t="inlineStr">
        <is>
          <t>Extract the reported value for 'Unreal Gain(Loss) Investments' from the stated section. Do not calculate or replace it from other rows, because the revised template does not designate this field as formula-driven.</t>
        </is>
      </c>
      <c r="E324" s="2" t="inlineStr">
        <is>
          <t>Unreal Gain(Loss) Investments</t>
        </is>
      </c>
      <c r="F324" s="2" t="inlineStr">
        <is>
          <t>Unreal Gain(Loss) Investments</t>
        </is>
      </c>
      <c r="G324" s="2" t="inlineStr">
        <is>
          <t>^Unreal\s+Gain\(Loss\)\s+Investments$</t>
        </is>
      </c>
      <c r="H324" s="2" t="inlineStr"/>
      <c r="I324" s="2" t="inlineStr">
        <is>
          <t>Amounts or disclosures explicitly reported for Unreal Gain(Loss) Investments in Income Statement / is_oci.</t>
        </is>
      </c>
      <c r="J324" s="2" t="inlineStr">
        <is>
          <t>Do not substitute another section, period, entity scope, currency or unit; do not double count a parent and its children.</t>
        </is>
      </c>
      <c r="K324" s="2" t="inlineStr"/>
      <c r="L324" s="2" t="inlineStr">
        <is>
          <t>as_reported</t>
        </is>
      </c>
      <c r="M324" s="2" t="inlineStr">
        <is>
          <t>direct_exclusive</t>
        </is>
      </c>
      <c r="N324" s="2" t="n">
        <v>90</v>
      </c>
      <c r="O324" s="2" t="inlineStr">
        <is>
          <t>normalized_exact_then_regex</t>
        </is>
      </c>
      <c r="P324" s="3" t="inlineStr">
        <is>
          <t>extract</t>
        </is>
      </c>
      <c r="Q324" s="2" t="inlineStr">
        <is>
          <t>currency_amount</t>
        </is>
      </c>
      <c r="R324" s="2" t="inlineStr">
        <is>
          <t>period_flow</t>
        </is>
      </c>
      <c r="S324" s="2" t="inlineStr">
        <is>
          <t>allowed_with_provenance</t>
        </is>
      </c>
      <c r="T324" s="2" t="b">
        <v>0</v>
      </c>
      <c r="U324" s="2" t="b">
        <v>0</v>
      </c>
      <c r="V324" s="2" t="inlineStr"/>
      <c r="W324" s="2" t="inlineStr"/>
      <c r="X324" s="2" t="inlineStr">
        <is>
          <t>Decompose only from explicit face or note evidence; never fabricate a split.</t>
        </is>
      </c>
      <c r="Y324" s="2" t="inlineStr">
        <is>
          <t>Aggregate only mutually exclusive facts with identical period, scope, currency and unit.</t>
        </is>
      </c>
      <c r="Z324" s="2" t="inlineStr">
        <is>
          <t>Bind only to Income Statement / is_oci.</t>
        </is>
      </c>
      <c r="AA324" s="2" t="inlineStr"/>
      <c r="AB324" s="2" t="b">
        <v>1</v>
      </c>
      <c r="AC324" s="2" t="inlineStr"/>
      <c r="AD324" s="2" t="inlineStr">
        <is>
          <t>Exact field from Income Statement!A101; value cell B101.</t>
        </is>
      </c>
      <c r="AE324" s="2" t="inlineStr">
        <is>
          <t>Notes may support direct extraction or decomposition with provenance. Formula outputs must be derived only from template dependencies.</t>
        </is>
      </c>
      <c r="AF324" s="2" t="inlineStr"/>
      <c r="AG324" s="2" t="inlineStr">
        <is>
          <t>[]</t>
        </is>
      </c>
      <c r="AH324" s="2" t="inlineStr">
        <is>
          <t>Unreal Gain(Loss) Investments</t>
        </is>
      </c>
      <c r="AI324" s="2" t="inlineStr"/>
      <c r="AJ324" s="2" t="inlineStr">
        <is>
          <t>{"template_sheet": "Income Statement", "template_row": 101, "template_cell": "B101", "template_value_or_formula": 48, "calculation_type": "reported_input", "dependencies": [], "source_template": "Copy of Output_CSV Template.xlsx"}</t>
        </is>
      </c>
    </row>
    <row r="325">
      <c r="A325" s="2" t="inlineStr">
        <is>
          <t>is_oci__deferred_hedging_gain_loss</t>
        </is>
      </c>
      <c r="B325" s="2" t="inlineStr">
        <is>
          <t>Deferred Hedging Gain(Loss)</t>
        </is>
      </c>
      <c r="C325" s="2" t="inlineStr">
        <is>
          <t>is_oci</t>
        </is>
      </c>
      <c r="D325" s="2" t="inlineStr">
        <is>
          <t>Extract the reported value for 'Deferred Hedging Gain(Loss)' from the stated section. Do not calculate or replace it from other rows, because the revised template does not designate this field as formula-driven.</t>
        </is>
      </c>
      <c r="E325" s="2" t="inlineStr">
        <is>
          <t>Deferred Hedging Gain(Loss)</t>
        </is>
      </c>
      <c r="F325" s="2" t="inlineStr">
        <is>
          <t>Deferred Hedging Gain(Loss)</t>
        </is>
      </c>
      <c r="G325" s="2" t="inlineStr">
        <is>
          <t>^Deferred\s+Hedging\s+Gain\(Loss\)$</t>
        </is>
      </c>
      <c r="H325" s="2" t="inlineStr"/>
      <c r="I325" s="2" t="inlineStr">
        <is>
          <t>Amounts or disclosures explicitly reported for Deferred Hedging Gain(Loss) in Income Statement / is_oci.</t>
        </is>
      </c>
      <c r="J325" s="2" t="inlineStr">
        <is>
          <t>Do not substitute another section, period, entity scope, currency or unit; do not double count a parent and its children.</t>
        </is>
      </c>
      <c r="K325" s="2" t="inlineStr"/>
      <c r="L325" s="2" t="inlineStr">
        <is>
          <t>as_reported</t>
        </is>
      </c>
      <c r="M325" s="2" t="inlineStr">
        <is>
          <t>direct_exclusive</t>
        </is>
      </c>
      <c r="N325" s="2" t="n">
        <v>90</v>
      </c>
      <c r="O325" s="2" t="inlineStr">
        <is>
          <t>normalized_exact_then_regex</t>
        </is>
      </c>
      <c r="P325" s="3" t="inlineStr">
        <is>
          <t>extract</t>
        </is>
      </c>
      <c r="Q325" s="2" t="inlineStr">
        <is>
          <t>currency_amount</t>
        </is>
      </c>
      <c r="R325" s="2" t="inlineStr">
        <is>
          <t>period_flow</t>
        </is>
      </c>
      <c r="S325" s="2" t="inlineStr">
        <is>
          <t>allowed_with_provenance</t>
        </is>
      </c>
      <c r="T325" s="2" t="b">
        <v>0</v>
      </c>
      <c r="U325" s="2" t="b">
        <v>0</v>
      </c>
      <c r="V325" s="2" t="inlineStr"/>
      <c r="W325" s="2" t="inlineStr"/>
      <c r="X325" s="2" t="inlineStr">
        <is>
          <t>Decompose only from explicit face or note evidence; never fabricate a split.</t>
        </is>
      </c>
      <c r="Y325" s="2" t="inlineStr">
        <is>
          <t>Aggregate only mutually exclusive facts with identical period, scope, currency and unit.</t>
        </is>
      </c>
      <c r="Z325" s="2" t="inlineStr">
        <is>
          <t>Bind only to Income Statement / is_oci.</t>
        </is>
      </c>
      <c r="AA325" s="2" t="inlineStr"/>
      <c r="AB325" s="2" t="b">
        <v>1</v>
      </c>
      <c r="AC325" s="2" t="inlineStr"/>
      <c r="AD325" s="2" t="inlineStr">
        <is>
          <t>Exact field from Income Statement!A102; value cell B102.</t>
        </is>
      </c>
      <c r="AE325" s="2" t="inlineStr">
        <is>
          <t>Notes may support direct extraction or decomposition with provenance. Formula outputs must be derived only from template dependencies.</t>
        </is>
      </c>
      <c r="AF325" s="2" t="inlineStr"/>
      <c r="AG325" s="2" t="inlineStr">
        <is>
          <t>[]</t>
        </is>
      </c>
      <c r="AH325" s="2" t="inlineStr">
        <is>
          <t>Deferred Hedging Gain(Loss)</t>
        </is>
      </c>
      <c r="AI325" s="2" t="inlineStr"/>
      <c r="AJ325" s="2" t="inlineStr">
        <is>
          <t>{"template_sheet": "Income Statement", "template_row": 102, "template_cell": "B102", "template_value_or_formula": 22, "calculation_type": "reported_input", "dependencies": [], "source_template": "Copy of Output_CSV Template.xlsx"}</t>
        </is>
      </c>
    </row>
    <row r="326">
      <c r="A326" s="2" t="inlineStr">
        <is>
          <t>is_oci__derivatives_fmv_adjustment</t>
        </is>
      </c>
      <c r="B326" s="2" t="inlineStr">
        <is>
          <t>Derivatives FMV Adjustment</t>
        </is>
      </c>
      <c r="C326" s="2" t="inlineStr">
        <is>
          <t>is_oci</t>
        </is>
      </c>
      <c r="D326" s="2" t="inlineStr">
        <is>
          <t>Extract the reported value for 'Derivatives FMV Adjustment' from the stated section. Do not calculate or replace it from other rows, because the revised template does not designate this field as formula-driven.</t>
        </is>
      </c>
      <c r="E326" s="2" t="inlineStr">
        <is>
          <t>Derivatives FMV Adjustment</t>
        </is>
      </c>
      <c r="F326" s="2" t="inlineStr">
        <is>
          <t>Derivatives FMV Adjustment</t>
        </is>
      </c>
      <c r="G326" s="2" t="inlineStr">
        <is>
          <t>^Derivatives\s+FMV\s+Adjustment$</t>
        </is>
      </c>
      <c r="H326" s="2" t="inlineStr"/>
      <c r="I326" s="2" t="inlineStr">
        <is>
          <t>Amounts or disclosures explicitly reported for Derivatives FMV Adjustment in Income Statement / is_oci.</t>
        </is>
      </c>
      <c r="J326" s="2" t="inlineStr">
        <is>
          <t>Do not substitute another section, period, entity scope, currency or unit; do not double count a parent and its children.</t>
        </is>
      </c>
      <c r="K326" s="2" t="inlineStr"/>
      <c r="L326" s="2" t="inlineStr">
        <is>
          <t>as_reported</t>
        </is>
      </c>
      <c r="M326" s="2" t="inlineStr">
        <is>
          <t>direct_exclusive</t>
        </is>
      </c>
      <c r="N326" s="2" t="n">
        <v>90</v>
      </c>
      <c r="O326" s="2" t="inlineStr">
        <is>
          <t>normalized_exact_then_regex</t>
        </is>
      </c>
      <c r="P326" s="3" t="inlineStr">
        <is>
          <t>extract</t>
        </is>
      </c>
      <c r="Q326" s="2" t="inlineStr">
        <is>
          <t>currency_amount</t>
        </is>
      </c>
      <c r="R326" s="2" t="inlineStr">
        <is>
          <t>period_flow</t>
        </is>
      </c>
      <c r="S326" s="2" t="inlineStr">
        <is>
          <t>allowed_with_provenance</t>
        </is>
      </c>
      <c r="T326" s="2" t="b">
        <v>0</v>
      </c>
      <c r="U326" s="2" t="b">
        <v>0</v>
      </c>
      <c r="V326" s="2" t="inlineStr"/>
      <c r="W326" s="2" t="inlineStr"/>
      <c r="X326" s="2" t="inlineStr">
        <is>
          <t>Decompose only from explicit face or note evidence; never fabricate a split.</t>
        </is>
      </c>
      <c r="Y326" s="2" t="inlineStr">
        <is>
          <t>Aggregate only mutually exclusive facts with identical period, scope, currency and unit.</t>
        </is>
      </c>
      <c r="Z326" s="2" t="inlineStr">
        <is>
          <t>Bind only to Income Statement / is_oci.</t>
        </is>
      </c>
      <c r="AA326" s="2" t="inlineStr"/>
      <c r="AB326" s="2" t="b">
        <v>1</v>
      </c>
      <c r="AC326" s="2" t="inlineStr"/>
      <c r="AD326" s="2" t="inlineStr">
        <is>
          <t>Exact field from Income Statement!A103; value cell B103.</t>
        </is>
      </c>
      <c r="AE326" s="2" t="inlineStr">
        <is>
          <t>Notes may support direct extraction or decomposition with provenance. Formula outputs must be derived only from template dependencies.</t>
        </is>
      </c>
      <c r="AF326" s="2" t="inlineStr"/>
      <c r="AG326" s="2" t="inlineStr">
        <is>
          <t>[]</t>
        </is>
      </c>
      <c r="AH326" s="2" t="inlineStr">
        <is>
          <t>Derivatives FMV Adjustment</t>
        </is>
      </c>
      <c r="AI326" s="2" t="inlineStr"/>
      <c r="AJ326" s="2" t="inlineStr">
        <is>
          <t>{"template_sheet": "Income Statement", "template_row": 103, "template_cell": "B103", "template_value_or_formula": 39, "calculation_type": "reported_input", "dependencies": [], "source_template": "Copy of Output_CSV Template.xlsx"}</t>
        </is>
      </c>
    </row>
    <row r="327">
      <c r="A327" s="2" t="inlineStr">
        <is>
          <t>is_oci__minimum_pension_liability_adj</t>
        </is>
      </c>
      <c r="B327" s="2" t="inlineStr">
        <is>
          <t>Minimum Pension Liability Adj</t>
        </is>
      </c>
      <c r="C327" s="2" t="inlineStr">
        <is>
          <t>is_oci</t>
        </is>
      </c>
      <c r="D327" s="2" t="inlineStr">
        <is>
          <t>Extract the reported value for 'Minimum Pension Liability Adj' from the stated section. Do not calculate or replace it from other rows, because the revised template does not designate this field as formula-driven.</t>
        </is>
      </c>
      <c r="E327" s="2" t="inlineStr">
        <is>
          <t>Minimum Pension Liability Adj</t>
        </is>
      </c>
      <c r="F327" s="2" t="inlineStr">
        <is>
          <t>Minimum Pension Liability Adj</t>
        </is>
      </c>
      <c r="G327" s="2" t="inlineStr">
        <is>
          <t>^Minimum\s+Pension\s+Liability\s+Adj$</t>
        </is>
      </c>
      <c r="H327" s="2" t="inlineStr"/>
      <c r="I327" s="2" t="inlineStr">
        <is>
          <t>Amounts or disclosures explicitly reported for Minimum Pension Liability Adj in Income Statement / is_oci.</t>
        </is>
      </c>
      <c r="J327" s="2" t="inlineStr">
        <is>
          <t>Do not substitute another section, period, entity scope, currency or unit; do not double count a parent and its children.</t>
        </is>
      </c>
      <c r="K327" s="2" t="inlineStr"/>
      <c r="L327" s="2" t="inlineStr">
        <is>
          <t>as_reported</t>
        </is>
      </c>
      <c r="M327" s="2" t="inlineStr">
        <is>
          <t>direct_exclusive</t>
        </is>
      </c>
      <c r="N327" s="2" t="n">
        <v>90</v>
      </c>
      <c r="O327" s="2" t="inlineStr">
        <is>
          <t>normalized_exact_then_regex</t>
        </is>
      </c>
      <c r="P327" s="3" t="inlineStr">
        <is>
          <t>extract</t>
        </is>
      </c>
      <c r="Q327" s="2" t="inlineStr">
        <is>
          <t>currency_amount</t>
        </is>
      </c>
      <c r="R327" s="2" t="inlineStr">
        <is>
          <t>period_flow</t>
        </is>
      </c>
      <c r="S327" s="2" t="inlineStr">
        <is>
          <t>allowed_with_provenance</t>
        </is>
      </c>
      <c r="T327" s="2" t="b">
        <v>0</v>
      </c>
      <c r="U327" s="2" t="b">
        <v>0</v>
      </c>
      <c r="V327" s="2" t="inlineStr"/>
      <c r="W327" s="2" t="inlineStr"/>
      <c r="X327" s="2" t="inlineStr">
        <is>
          <t>Decompose only from explicit face or note evidence; never fabricate a split.</t>
        </is>
      </c>
      <c r="Y327" s="2" t="inlineStr">
        <is>
          <t>Aggregate only mutually exclusive facts with identical period, scope, currency and unit.</t>
        </is>
      </c>
      <c r="Z327" s="2" t="inlineStr">
        <is>
          <t>Bind only to Income Statement / is_oci.</t>
        </is>
      </c>
      <c r="AA327" s="2" t="inlineStr"/>
      <c r="AB327" s="2" t="b">
        <v>1</v>
      </c>
      <c r="AC327" s="2" t="inlineStr"/>
      <c r="AD327" s="2" t="inlineStr">
        <is>
          <t>Exact field from Income Statement!A104; value cell B104.</t>
        </is>
      </c>
      <c r="AE327" s="2" t="inlineStr">
        <is>
          <t>Notes may support direct extraction or decomposition with provenance. Formula outputs must be derived only from template dependencies.</t>
        </is>
      </c>
      <c r="AF327" s="2" t="inlineStr"/>
      <c r="AG327" s="2" t="inlineStr">
        <is>
          <t>[]</t>
        </is>
      </c>
      <c r="AH327" s="2" t="inlineStr">
        <is>
          <t>Minimum Pension Liability Adj</t>
        </is>
      </c>
      <c r="AI327" s="2" t="inlineStr"/>
      <c r="AJ327" s="2" t="inlineStr">
        <is>
          <t>{"template_sheet": "Income Statement", "template_row": 104, "template_cell": "B104", "template_value_or_formula": 13, "calculation_type": "reported_input", "dependencies": [], "source_template": "Copy of Output_CSV Template.xlsx"}</t>
        </is>
      </c>
    </row>
    <row r="328">
      <c r="A328" s="2" t="inlineStr">
        <is>
          <t>is_oci__other_equity_and_reserves_adj</t>
        </is>
      </c>
      <c r="B328" s="2" t="inlineStr">
        <is>
          <t>Other Equity &amp; Reserves Adj</t>
        </is>
      </c>
      <c r="C328" s="2" t="inlineStr">
        <is>
          <t>is_oci</t>
        </is>
      </c>
      <c r="D328" s="2" t="inlineStr">
        <is>
          <t>Extract the reported value for 'Other Equity &amp; Reserves Adj' from the stated section. Do not calculate or replace it from other rows, because the revised template does not designate this field as formula-driven.</t>
        </is>
      </c>
      <c r="E328" s="2" t="inlineStr">
        <is>
          <t>Other Equity &amp; Reserves Adj</t>
        </is>
      </c>
      <c r="F328" s="2" t="inlineStr">
        <is>
          <t>Other Equity &amp; Reserves Adj</t>
        </is>
      </c>
      <c r="G328" s="2" t="inlineStr">
        <is>
          <t>^Other\s+Equity\s+\&amp;\s+Reserves\s+Adj$</t>
        </is>
      </c>
      <c r="H328" s="2" t="inlineStr"/>
      <c r="I328" s="2" t="inlineStr">
        <is>
          <t>Amounts or disclosures explicitly reported for Other Equity &amp; Reserves Adj in Income Statement / is_oci.</t>
        </is>
      </c>
      <c r="J328" s="2" t="inlineStr">
        <is>
          <t>Do not substitute another section, period, entity scope, currency or unit; do not double count a parent and its children.</t>
        </is>
      </c>
      <c r="K328" s="2" t="inlineStr"/>
      <c r="L328" s="2" t="inlineStr">
        <is>
          <t>as_reported</t>
        </is>
      </c>
      <c r="M328" s="2" t="inlineStr">
        <is>
          <t>direct_exclusive</t>
        </is>
      </c>
      <c r="N328" s="2" t="n">
        <v>90</v>
      </c>
      <c r="O328" s="2" t="inlineStr">
        <is>
          <t>normalized_exact_then_regex</t>
        </is>
      </c>
      <c r="P328" s="3" t="inlineStr">
        <is>
          <t>extract</t>
        </is>
      </c>
      <c r="Q328" s="2" t="inlineStr">
        <is>
          <t>currency_amount</t>
        </is>
      </c>
      <c r="R328" s="2" t="inlineStr">
        <is>
          <t>period_flow</t>
        </is>
      </c>
      <c r="S328" s="2" t="inlineStr">
        <is>
          <t>allowed_with_provenance</t>
        </is>
      </c>
      <c r="T328" s="2" t="b">
        <v>0</v>
      </c>
      <c r="U328" s="2" t="b">
        <v>0</v>
      </c>
      <c r="V328" s="2" t="inlineStr"/>
      <c r="W328" s="2" t="inlineStr"/>
      <c r="X328" s="2" t="inlineStr">
        <is>
          <t>Decompose only from explicit face or note evidence; never fabricate a split.</t>
        </is>
      </c>
      <c r="Y328" s="2" t="inlineStr">
        <is>
          <t>Aggregate only mutually exclusive facts with identical period, scope, currency and unit.</t>
        </is>
      </c>
      <c r="Z328" s="2" t="inlineStr">
        <is>
          <t>Bind only to Income Statement / is_oci.</t>
        </is>
      </c>
      <c r="AA328" s="2" t="inlineStr"/>
      <c r="AB328" s="2" t="b">
        <v>1</v>
      </c>
      <c r="AC328" s="2" t="inlineStr"/>
      <c r="AD328" s="2" t="inlineStr">
        <is>
          <t>Exact field from Income Statement!A105; value cell B105.</t>
        </is>
      </c>
      <c r="AE328" s="2" t="inlineStr">
        <is>
          <t>Notes may support direct extraction or decomposition with provenance. Formula outputs must be derived only from template dependencies.</t>
        </is>
      </c>
      <c r="AF328" s="2" t="inlineStr">
        <is>
          <t>{"mode": "no_balancing_plug", "negative_result": "review"}</t>
        </is>
      </c>
      <c r="AG328" s="2" t="inlineStr">
        <is>
          <t>[]</t>
        </is>
      </c>
      <c r="AH328" s="2" t="inlineStr">
        <is>
          <t>Other Equity &amp; Reserves Adj</t>
        </is>
      </c>
      <c r="AI328" s="2" t="inlineStr"/>
      <c r="AJ328" s="2" t="inlineStr">
        <is>
          <t>{"template_sheet": "Income Statement", "template_row": 105, "template_cell": "B105", "template_value_or_formula": 30, "calculation_type": "reported_input", "dependencies": [], "source_template": "Copy of Output_CSV Template.xlsx"}</t>
        </is>
      </c>
    </row>
    <row r="329">
      <c r="A329" s="2" t="inlineStr">
        <is>
          <t>is_oci__total_other_comprehensive_income</t>
        </is>
      </c>
      <c r="B329" s="2" t="inlineStr">
        <is>
          <t>Total Other Comprehensive Income</t>
        </is>
      </c>
      <c r="C329" s="2" t="inlineStr">
        <is>
          <t>is_oci</t>
        </is>
      </c>
      <c r="D329" s="2" t="inlineStr">
        <is>
          <t>Calculated target using the exact formula retained in the supplied template: =SUM({is_oci__unreal_gain_loss_fixed_assets}:{is_oci__other_equity_and_reserves_adj})</t>
        </is>
      </c>
      <c r="E329" s="2" t="inlineStr">
        <is>
          <t>Total Other Comprehensive Income</t>
        </is>
      </c>
      <c r="F329" s="2" t="inlineStr">
        <is>
          <t>Total Other Comprehensive Income</t>
        </is>
      </c>
      <c r="G329" s="2" t="inlineStr">
        <is>
          <t>^Total\s+Other\s+Comprehensive\s+Income$</t>
        </is>
      </c>
      <c r="H329" s="2" t="inlineStr"/>
      <c r="I329" s="2" t="inlineStr">
        <is>
          <t>Amounts or disclosures explicitly reported for Total Other Comprehensive Income in Income Statement / is_oci.</t>
        </is>
      </c>
      <c r="J329" s="2" t="inlineStr">
        <is>
          <t>Do not substitute another section, period, entity scope, currency or unit; do not double count a parent and its children.</t>
        </is>
      </c>
      <c r="K329" s="2" t="inlineStr"/>
      <c r="L329" s="2" t="inlineStr">
        <is>
          <t>as_reported</t>
        </is>
      </c>
      <c r="M329" s="2" t="inlineStr">
        <is>
          <t>derived_total</t>
        </is>
      </c>
      <c r="N329" s="2" t="n">
        <v>100</v>
      </c>
      <c r="O329" s="2" t="inlineStr">
        <is>
          <t>disabled</t>
        </is>
      </c>
      <c r="P329" s="4" t="inlineStr">
        <is>
          <t>derive</t>
        </is>
      </c>
      <c r="Q329" s="2" t="inlineStr">
        <is>
          <t>currency_amount</t>
        </is>
      </c>
      <c r="R329" s="2" t="inlineStr">
        <is>
          <t>period_flow</t>
        </is>
      </c>
      <c r="S329" s="2" t="inlineStr">
        <is>
          <t>allowed_with_provenance</t>
        </is>
      </c>
      <c r="T329" s="2" t="b">
        <v>0</v>
      </c>
      <c r="U329" s="2" t="b">
        <v>1</v>
      </c>
      <c r="V329" s="2" t="inlineStr">
        <is>
          <t>is_oci__unreal_gain_loss_fixed_assets | is_oci__other_equity_and_reserves_adj</t>
        </is>
      </c>
      <c r="W329" s="2">
        <f>SUM({is_oci__unreal_gain_loss_fixed_assets}:{is_oci__other_equity_and_reserves_adj})</f>
        <v/>
      </c>
      <c r="X329" s="2" t="inlineStr">
        <is>
          <t>Use only dependencies stated in the formula; never fabricate missing components.</t>
        </is>
      </c>
      <c r="Y329" s="2" t="inlineStr">
        <is>
          <t>Calculate only after every dependency is populated and validated.</t>
        </is>
      </c>
      <c r="Z329" s="2" t="inlineStr">
        <is>
          <t>Bind only to Income Statement / is_oci.</t>
        </is>
      </c>
      <c r="AA329" s="2" t="inlineStr"/>
      <c r="AB329" s="2" t="b">
        <v>0</v>
      </c>
      <c r="AC329" s="2" t="inlineStr">
        <is>
          <t>is_oci__unreal_gain_loss_fixed_assets | is_oci__other_equity_and_reserves_adj</t>
        </is>
      </c>
      <c r="AD329" s="2" t="inlineStr">
        <is>
          <t>Exact field from Income Statement!A106; value cell B106.</t>
        </is>
      </c>
      <c r="AE329" s="2" t="inlineStr">
        <is>
          <t>Notes may support direct extraction or decomposition with provenance. Formula outputs must be derived only from template dependencies.</t>
        </is>
      </c>
      <c r="AF329" s="2" t="inlineStr"/>
      <c r="AG329" s="2" t="inlineStr">
        <is>
          <t>[]</t>
        </is>
      </c>
      <c r="AH329" s="2" t="inlineStr">
        <is>
          <t>Total Other Comprehensive Income</t>
        </is>
      </c>
      <c r="AI329" s="2" t="inlineStr"/>
      <c r="AJ329" s="2" t="inlineStr">
        <is>
          <t>{"template_sheet": "Income Statement", "template_row": 106, "template_cell": "B106", "template_value_or_formula": "=SUM(B99:B105)", "calculation_type": "formula", "dependencies": ["is_oci__unreal_gain_loss_fixed_assets", "is_oci__other_equity_and_reserves_adj"], "source_template": "Copy of Output_CSV Template.xlsx"}</t>
        </is>
      </c>
    </row>
    <row r="330">
      <c r="A330" s="2" t="inlineStr">
        <is>
          <t>is_retained__cash_div_pref_shares</t>
        </is>
      </c>
      <c r="B330" s="2" t="inlineStr">
        <is>
          <t>Cash Div Pref Shares(-)</t>
        </is>
      </c>
      <c r="C330" s="2" t="inlineStr">
        <is>
          <t>is_retained</t>
        </is>
      </c>
      <c r="D330" s="2" t="inlineStr">
        <is>
          <t>Extract the reported value for 'Cash Div Pref Shares(-)' from the stated section. Do not calculate or replace it from other rows, because the revised template does not designate this field as formula-driven.</t>
        </is>
      </c>
      <c r="E330" s="2" t="inlineStr">
        <is>
          <t>Cash Div Pref Shares(-)</t>
        </is>
      </c>
      <c r="F330" s="2" t="inlineStr">
        <is>
          <t>Cash Div Pref Shares(-)</t>
        </is>
      </c>
      <c r="G330" s="2" t="inlineStr">
        <is>
          <t>^Cash\s+Div\s+Pref\s+Shares\([\-–—]?\)$</t>
        </is>
      </c>
      <c r="H330" s="2" t="inlineStr"/>
      <c r="I330" s="2" t="inlineStr">
        <is>
          <t>Amounts or disclosures explicitly reported for Cash Div Pref Shares(-) in Income Statement / is_retained.</t>
        </is>
      </c>
      <c r="J330" s="2" t="inlineStr">
        <is>
          <t>Do not substitute another section, period, entity scope, currency or unit; do not double count a parent and its children.</t>
        </is>
      </c>
      <c r="K330" s="2" t="inlineStr"/>
      <c r="L330" s="2" t="inlineStr">
        <is>
          <t>negative_or_contra</t>
        </is>
      </c>
      <c r="M330" s="2" t="inlineStr">
        <is>
          <t>direct_exclusive</t>
        </is>
      </c>
      <c r="N330" s="2" t="n">
        <v>90</v>
      </c>
      <c r="O330" s="2" t="inlineStr">
        <is>
          <t>normalized_exact_then_regex</t>
        </is>
      </c>
      <c r="P330" s="3" t="inlineStr">
        <is>
          <t>extract</t>
        </is>
      </c>
      <c r="Q330" s="2" t="inlineStr">
        <is>
          <t>currency_amount</t>
        </is>
      </c>
      <c r="R330" s="2" t="inlineStr">
        <is>
          <t>period_flow</t>
        </is>
      </c>
      <c r="S330" s="2" t="inlineStr">
        <is>
          <t>allowed_with_provenance</t>
        </is>
      </c>
      <c r="T330" s="2" t="b">
        <v>0</v>
      </c>
      <c r="U330" s="2" t="b">
        <v>0</v>
      </c>
      <c r="V330" s="2" t="inlineStr"/>
      <c r="W330" s="2" t="inlineStr"/>
      <c r="X330" s="2" t="inlineStr">
        <is>
          <t>Decompose only from explicit face or note evidence; never fabricate a split.</t>
        </is>
      </c>
      <c r="Y330" s="2" t="inlineStr">
        <is>
          <t>Aggregate only mutually exclusive facts with identical period, scope, currency and unit.</t>
        </is>
      </c>
      <c r="Z330" s="2" t="inlineStr">
        <is>
          <t>Bind only to Income Statement / is_retained.</t>
        </is>
      </c>
      <c r="AA330" s="2" t="inlineStr"/>
      <c r="AB330" s="2" t="b">
        <v>1</v>
      </c>
      <c r="AC330" s="2" t="inlineStr"/>
      <c r="AD330" s="2" t="inlineStr">
        <is>
          <t>Exact field from Income Statement!A108; value cell B108.</t>
        </is>
      </c>
      <c r="AE330" s="2" t="inlineStr">
        <is>
          <t>Notes may support direct extraction or decomposition with provenance. Formula outputs must be derived only from template dependencies.</t>
        </is>
      </c>
      <c r="AF330" s="2" t="inlineStr"/>
      <c r="AG330" s="2" t="inlineStr">
        <is>
          <t>[]</t>
        </is>
      </c>
      <c r="AH330" s="2" t="inlineStr">
        <is>
          <t>Cash Div Pref Shares(-)</t>
        </is>
      </c>
      <c r="AI330" s="2" t="inlineStr"/>
      <c r="AJ330" s="2" t="inlineStr">
        <is>
          <t>{"template_sheet": "Income Statement", "template_row": 108, "template_cell": "B108", "template_value_or_formula": 38, "calculation_type": "reported_input", "dependencies": [], "source_template": "Copy of Output_CSV Template.xlsx"}</t>
        </is>
      </c>
    </row>
    <row r="331">
      <c r="A331" s="2" t="inlineStr">
        <is>
          <t>is_retained__proposed_cash_dividends</t>
        </is>
      </c>
      <c r="B331" s="2" t="inlineStr">
        <is>
          <t>Proposed Cash Dividends</t>
        </is>
      </c>
      <c r="C331" s="2" t="inlineStr">
        <is>
          <t>is_retained</t>
        </is>
      </c>
      <c r="D331" s="2" t="inlineStr">
        <is>
          <t>Extract the reported value for 'Proposed Cash Dividends' from the stated section. Do not calculate or replace it from other rows, because the revised template does not designate this field as formula-driven.</t>
        </is>
      </c>
      <c r="E331" s="2" t="inlineStr">
        <is>
          <t>Proposed Cash Dividends</t>
        </is>
      </c>
      <c r="F331" s="2" t="inlineStr">
        <is>
          <t>Proposed Cash Dividends</t>
        </is>
      </c>
      <c r="G331" s="2" t="inlineStr">
        <is>
          <t>^Proposed\s+Cash\s+Dividends$</t>
        </is>
      </c>
      <c r="H331" s="2" t="inlineStr"/>
      <c r="I331" s="2" t="inlineStr">
        <is>
          <t>Amounts or disclosures explicitly reported for Proposed Cash Dividends in Income Statement / is_retained.</t>
        </is>
      </c>
      <c r="J331" s="2" t="inlineStr">
        <is>
          <t>Do not substitute another section, period, entity scope, currency or unit; do not double count a parent and its children.</t>
        </is>
      </c>
      <c r="K331" s="2" t="inlineStr"/>
      <c r="L331" s="2" t="inlineStr">
        <is>
          <t>as_reported</t>
        </is>
      </c>
      <c r="M331" s="2" t="inlineStr">
        <is>
          <t>direct_exclusive</t>
        </is>
      </c>
      <c r="N331" s="2" t="n">
        <v>90</v>
      </c>
      <c r="O331" s="2" t="inlineStr">
        <is>
          <t>normalized_exact_then_regex</t>
        </is>
      </c>
      <c r="P331" s="3" t="inlineStr">
        <is>
          <t>extract</t>
        </is>
      </c>
      <c r="Q331" s="2" t="inlineStr">
        <is>
          <t>currency_amount</t>
        </is>
      </c>
      <c r="R331" s="2" t="inlineStr">
        <is>
          <t>period_flow</t>
        </is>
      </c>
      <c r="S331" s="2" t="inlineStr">
        <is>
          <t>allowed_with_provenance</t>
        </is>
      </c>
      <c r="T331" s="2" t="b">
        <v>0</v>
      </c>
      <c r="U331" s="2" t="b">
        <v>0</v>
      </c>
      <c r="V331" s="2" t="inlineStr"/>
      <c r="W331" s="2" t="inlineStr"/>
      <c r="X331" s="2" t="inlineStr">
        <is>
          <t>Decompose only from explicit face or note evidence; never fabricate a split.</t>
        </is>
      </c>
      <c r="Y331" s="2" t="inlineStr">
        <is>
          <t>Aggregate only mutually exclusive facts with identical period, scope, currency and unit.</t>
        </is>
      </c>
      <c r="Z331" s="2" t="inlineStr">
        <is>
          <t>Bind only to Income Statement / is_retained.</t>
        </is>
      </c>
      <c r="AA331" s="2" t="inlineStr"/>
      <c r="AB331" s="2" t="b">
        <v>1</v>
      </c>
      <c r="AC331" s="2" t="inlineStr"/>
      <c r="AD331" s="2" t="inlineStr">
        <is>
          <t>Exact field from Income Statement!A109; value cell B109.</t>
        </is>
      </c>
      <c r="AE331" s="2" t="inlineStr">
        <is>
          <t>Notes may support direct extraction or decomposition with provenance. Formula outputs must be derived only from template dependencies.</t>
        </is>
      </c>
      <c r="AF331" s="2" t="inlineStr"/>
      <c r="AG331" s="2" t="inlineStr">
        <is>
          <t>[]</t>
        </is>
      </c>
      <c r="AH331" s="2" t="inlineStr">
        <is>
          <t>Proposed Cash Dividends</t>
        </is>
      </c>
      <c r="AI331" s="2" t="inlineStr"/>
      <c r="AJ331" s="2" t="inlineStr">
        <is>
          <t>{"template_sheet": "Income Statement", "template_row": 109, "template_cell": "B109", "template_value_or_formula": 12, "calculation_type": "reported_input", "dependencies": [], "source_template": "Copy of Output_CSV Template.xlsx"}</t>
        </is>
      </c>
    </row>
    <row r="332">
      <c r="A332" s="2" t="inlineStr">
        <is>
          <t>is_retained__cash_div_common_shares</t>
        </is>
      </c>
      <c r="B332" s="2" t="inlineStr">
        <is>
          <t>Cash Div Common Shares(-)</t>
        </is>
      </c>
      <c r="C332" s="2" t="inlineStr">
        <is>
          <t>is_retained</t>
        </is>
      </c>
      <c r="D332" s="2" t="inlineStr">
        <is>
          <t>Extract the reported value for 'Cash Div Common Shares(-)' from the stated section. Do not calculate or replace it from other rows, because the revised template does not designate this field as formula-driven.</t>
        </is>
      </c>
      <c r="E332" s="2" t="inlineStr">
        <is>
          <t>Cash Div Common Shares(-)</t>
        </is>
      </c>
      <c r="F332" s="2" t="inlineStr">
        <is>
          <t>Cash Div Common Shares(-)</t>
        </is>
      </c>
      <c r="G332" s="2" t="inlineStr">
        <is>
          <t>^Cash\s+Div\s+Common\s+Shares\([\-–—]?\)$</t>
        </is>
      </c>
      <c r="H332" s="2" t="inlineStr"/>
      <c r="I332" s="2" t="inlineStr">
        <is>
          <t>Amounts or disclosures explicitly reported for Cash Div Common Shares(-) in Income Statement / is_retained.</t>
        </is>
      </c>
      <c r="J332" s="2" t="inlineStr">
        <is>
          <t>Do not substitute another section, period, entity scope, currency or unit; do not double count a parent and its children.</t>
        </is>
      </c>
      <c r="K332" s="2" t="inlineStr"/>
      <c r="L332" s="2" t="inlineStr">
        <is>
          <t>negative_or_contra</t>
        </is>
      </c>
      <c r="M332" s="2" t="inlineStr">
        <is>
          <t>direct_exclusive</t>
        </is>
      </c>
      <c r="N332" s="2" t="n">
        <v>90</v>
      </c>
      <c r="O332" s="2" t="inlineStr">
        <is>
          <t>normalized_exact_then_regex</t>
        </is>
      </c>
      <c r="P332" s="3" t="inlineStr">
        <is>
          <t>extract</t>
        </is>
      </c>
      <c r="Q332" s="2" t="inlineStr">
        <is>
          <t>currency_amount</t>
        </is>
      </c>
      <c r="R332" s="2" t="inlineStr">
        <is>
          <t>period_flow</t>
        </is>
      </c>
      <c r="S332" s="2" t="inlineStr">
        <is>
          <t>allowed_with_provenance</t>
        </is>
      </c>
      <c r="T332" s="2" t="b">
        <v>0</v>
      </c>
      <c r="U332" s="2" t="b">
        <v>0</v>
      </c>
      <c r="V332" s="2" t="inlineStr"/>
      <c r="W332" s="2" t="inlineStr"/>
      <c r="X332" s="2" t="inlineStr">
        <is>
          <t>Decompose only from explicit face or note evidence; never fabricate a split.</t>
        </is>
      </c>
      <c r="Y332" s="2" t="inlineStr">
        <is>
          <t>Aggregate only mutually exclusive facts with identical period, scope, currency and unit.</t>
        </is>
      </c>
      <c r="Z332" s="2" t="inlineStr">
        <is>
          <t>Bind only to Income Statement / is_retained.</t>
        </is>
      </c>
      <c r="AA332" s="2" t="inlineStr"/>
      <c r="AB332" s="2" t="b">
        <v>1</v>
      </c>
      <c r="AC332" s="2" t="inlineStr"/>
      <c r="AD332" s="2" t="inlineStr">
        <is>
          <t>Exact field from Income Statement!A110; value cell B110.</t>
        </is>
      </c>
      <c r="AE332" s="2" t="inlineStr">
        <is>
          <t>Notes may support direct extraction or decomposition with provenance. Formula outputs must be derived only from template dependencies.</t>
        </is>
      </c>
      <c r="AF332" s="2" t="inlineStr"/>
      <c r="AG332" s="2" t="inlineStr">
        <is>
          <t>[]</t>
        </is>
      </c>
      <c r="AH332" s="2" t="inlineStr">
        <is>
          <t>Cash Div Common Shares(-)</t>
        </is>
      </c>
      <c r="AI332" s="2" t="inlineStr"/>
      <c r="AJ332" s="2" t="inlineStr">
        <is>
          <t>{"template_sheet": "Income Statement", "template_row": 110, "template_cell": "B110", "template_value_or_formula": 29, "calculation_type": "reported_input", "dependencies": [], "source_template": "Copy of Output_CSV Template.xlsx"}</t>
        </is>
      </c>
    </row>
    <row r="333">
      <c r="A333" s="2" t="inlineStr">
        <is>
          <t>is_retained__stock_dividends_nc</t>
        </is>
      </c>
      <c r="B333" s="2" t="inlineStr">
        <is>
          <t>Stock Dividends(NC)(-)</t>
        </is>
      </c>
      <c r="C333" s="2" t="inlineStr">
        <is>
          <t>is_retained</t>
        </is>
      </c>
      <c r="D333" s="2" t="inlineStr">
        <is>
          <t>Extract the reported value for 'Stock Dividends(NC)(-)' from the stated section. Do not calculate or replace it from other rows, because the revised template does not designate this field as formula-driven.</t>
        </is>
      </c>
      <c r="E333" s="2" t="inlineStr">
        <is>
          <t>Stock Dividends(NC)(-)</t>
        </is>
      </c>
      <c r="F333" s="2" t="inlineStr">
        <is>
          <t>Stock Dividends(NC)(-)</t>
        </is>
      </c>
      <c r="G333" s="2" t="inlineStr">
        <is>
          <t>^Stock\s+Dividends\(NC\)\([\-–—]?\)$</t>
        </is>
      </c>
      <c r="H333" s="2" t="inlineStr"/>
      <c r="I333" s="2" t="inlineStr">
        <is>
          <t>Amounts or disclosures explicitly reported for Stock Dividends(NC)(-) in Income Statement / is_retained.</t>
        </is>
      </c>
      <c r="J333" s="2" t="inlineStr">
        <is>
          <t>Do not substitute another section, period, entity scope, currency or unit; do not double count a parent and its children.</t>
        </is>
      </c>
      <c r="K333" s="2" t="inlineStr"/>
      <c r="L333" s="2" t="inlineStr">
        <is>
          <t>negative_or_contra</t>
        </is>
      </c>
      <c r="M333" s="2" t="inlineStr">
        <is>
          <t>direct_exclusive</t>
        </is>
      </c>
      <c r="N333" s="2" t="n">
        <v>90</v>
      </c>
      <c r="O333" s="2" t="inlineStr">
        <is>
          <t>normalized_exact_then_regex</t>
        </is>
      </c>
      <c r="P333" s="3" t="inlineStr">
        <is>
          <t>extract</t>
        </is>
      </c>
      <c r="Q333" s="2" t="inlineStr">
        <is>
          <t>currency_amount</t>
        </is>
      </c>
      <c r="R333" s="2" t="inlineStr">
        <is>
          <t>period_flow</t>
        </is>
      </c>
      <c r="S333" s="2" t="inlineStr">
        <is>
          <t>allowed_with_provenance</t>
        </is>
      </c>
      <c r="T333" s="2" t="b">
        <v>0</v>
      </c>
      <c r="U333" s="2" t="b">
        <v>0</v>
      </c>
      <c r="V333" s="2" t="inlineStr"/>
      <c r="W333" s="2" t="inlineStr"/>
      <c r="X333" s="2" t="inlineStr">
        <is>
          <t>Decompose only from explicit face or note evidence; never fabricate a split.</t>
        </is>
      </c>
      <c r="Y333" s="2" t="inlineStr">
        <is>
          <t>Aggregate only mutually exclusive facts with identical period, scope, currency and unit.</t>
        </is>
      </c>
      <c r="Z333" s="2" t="inlineStr">
        <is>
          <t>Bind only to Income Statement / is_retained.</t>
        </is>
      </c>
      <c r="AA333" s="2" t="inlineStr"/>
      <c r="AB333" s="2" t="b">
        <v>1</v>
      </c>
      <c r="AC333" s="2" t="inlineStr"/>
      <c r="AD333" s="2" t="inlineStr">
        <is>
          <t>Exact field from Income Statement!A111; value cell B111.</t>
        </is>
      </c>
      <c r="AE333" s="2" t="inlineStr">
        <is>
          <t>Notes may support direct extraction or decomposition with provenance. Formula outputs must be derived only from template dependencies.</t>
        </is>
      </c>
      <c r="AF333" s="2" t="inlineStr"/>
      <c r="AG333" s="2" t="inlineStr">
        <is>
          <t>[]</t>
        </is>
      </c>
      <c r="AH333" s="2" t="inlineStr">
        <is>
          <t>Stock Dividends(NC)(-)</t>
        </is>
      </c>
      <c r="AI333" s="2" t="inlineStr"/>
      <c r="AJ333" s="2" t="inlineStr">
        <is>
          <t>{"template_sheet": "Income Statement", "template_row": 111, "template_cell": "B111", "template_value_or_formula": 46, "calculation_type": "reported_input", "dependencies": [], "source_template": "Copy of Output_CSV Template.xlsx"}</t>
        </is>
      </c>
    </row>
    <row r="334">
      <c r="A334" s="2" t="inlineStr">
        <is>
          <t>is_retained__transfer_to_reserves</t>
        </is>
      </c>
      <c r="B334" s="2" t="inlineStr">
        <is>
          <t>Transfer to Reserves(-)</t>
        </is>
      </c>
      <c r="C334" s="2" t="inlineStr">
        <is>
          <t>is_retained</t>
        </is>
      </c>
      <c r="D334" s="2" t="inlineStr">
        <is>
          <t>Extract the reported value for 'Transfer to Reserves(-)' from the stated section. Do not calculate or replace it from other rows, because the revised template does not designate this field as formula-driven.</t>
        </is>
      </c>
      <c r="E334" s="2" t="inlineStr">
        <is>
          <t>Transfer to Reserves(-)</t>
        </is>
      </c>
      <c r="F334" s="2" t="inlineStr">
        <is>
          <t>Transfer to Reserves(-)</t>
        </is>
      </c>
      <c r="G334" s="2" t="inlineStr">
        <is>
          <t>^Transfer\s+to\s+Reserves\([\-–—]?\)$</t>
        </is>
      </c>
      <c r="H334" s="2" t="inlineStr"/>
      <c r="I334" s="2" t="inlineStr">
        <is>
          <t>Amounts or disclosures explicitly reported for Transfer to Reserves(-) in Income Statement / is_retained.</t>
        </is>
      </c>
      <c r="J334" s="2" t="inlineStr">
        <is>
          <t>Do not substitute another section, period, entity scope, currency or unit; do not double count a parent and its children.</t>
        </is>
      </c>
      <c r="K334" s="2" t="inlineStr"/>
      <c r="L334" s="2" t="inlineStr">
        <is>
          <t>negative_or_contra</t>
        </is>
      </c>
      <c r="M334" s="2" t="inlineStr">
        <is>
          <t>direct_exclusive</t>
        </is>
      </c>
      <c r="N334" s="2" t="n">
        <v>90</v>
      </c>
      <c r="O334" s="2" t="inlineStr">
        <is>
          <t>normalized_exact_then_regex</t>
        </is>
      </c>
      <c r="P334" s="3" t="inlineStr">
        <is>
          <t>extract</t>
        </is>
      </c>
      <c r="Q334" s="2" t="inlineStr">
        <is>
          <t>currency_amount</t>
        </is>
      </c>
      <c r="R334" s="2" t="inlineStr">
        <is>
          <t>period_flow</t>
        </is>
      </c>
      <c r="S334" s="2" t="inlineStr">
        <is>
          <t>allowed_with_provenance</t>
        </is>
      </c>
      <c r="T334" s="2" t="b">
        <v>0</v>
      </c>
      <c r="U334" s="2" t="b">
        <v>0</v>
      </c>
      <c r="V334" s="2" t="inlineStr"/>
      <c r="W334" s="2" t="inlineStr"/>
      <c r="X334" s="2" t="inlineStr">
        <is>
          <t>Decompose only from explicit face or note evidence; never fabricate a split.</t>
        </is>
      </c>
      <c r="Y334" s="2" t="inlineStr">
        <is>
          <t>Aggregate only mutually exclusive facts with identical period, scope, currency and unit.</t>
        </is>
      </c>
      <c r="Z334" s="2" t="inlineStr">
        <is>
          <t>Bind only to Income Statement / is_retained.</t>
        </is>
      </c>
      <c r="AA334" s="2" t="inlineStr"/>
      <c r="AB334" s="2" t="b">
        <v>1</v>
      </c>
      <c r="AC334" s="2" t="inlineStr"/>
      <c r="AD334" s="2" t="inlineStr">
        <is>
          <t>Exact field from Income Statement!A112; value cell B112.</t>
        </is>
      </c>
      <c r="AE334" s="2" t="inlineStr">
        <is>
          <t>Notes may support direct extraction or decomposition with provenance. Formula outputs must be derived only from template dependencies.</t>
        </is>
      </c>
      <c r="AF334" s="2" t="inlineStr"/>
      <c r="AG334" s="2" t="inlineStr">
        <is>
          <t>[]</t>
        </is>
      </c>
      <c r="AH334" s="2" t="inlineStr">
        <is>
          <t>Transfer to Reserves(-)</t>
        </is>
      </c>
      <c r="AI334" s="2" t="inlineStr"/>
      <c r="AJ334" s="2" t="inlineStr">
        <is>
          <t>{"template_sheet": "Income Statement", "template_row": 112, "template_cell": "B112", "template_value_or_formula": 20, "calculation_type": "reported_input", "dependencies": [], "source_template": "Copy of Output_CSV Template.xlsx"}</t>
        </is>
      </c>
    </row>
    <row r="335">
      <c r="A335" s="2" t="inlineStr">
        <is>
          <t>is_retained__prior_period_adjustments</t>
        </is>
      </c>
      <c r="B335" s="2" t="inlineStr">
        <is>
          <t>Prior Period Adjustments</t>
        </is>
      </c>
      <c r="C335" s="2" t="inlineStr">
        <is>
          <t>is_retained</t>
        </is>
      </c>
      <c r="D335" s="2" t="inlineStr">
        <is>
          <t>Extract the reported value for 'Prior Period Adjustments' from the stated section. Do not calculate or replace it from other rows, because the revised template does not designate this field as formula-driven.</t>
        </is>
      </c>
      <c r="E335" s="2" t="inlineStr">
        <is>
          <t>Prior Period Adjustments</t>
        </is>
      </c>
      <c r="F335" s="2" t="inlineStr">
        <is>
          <t>Prior Period Adjustments</t>
        </is>
      </c>
      <c r="G335" s="2" t="inlineStr">
        <is>
          <t>^Prior\s+Period\s+Adjustments$</t>
        </is>
      </c>
      <c r="H335" s="2" t="inlineStr"/>
      <c r="I335" s="2" t="inlineStr">
        <is>
          <t>Amounts or disclosures explicitly reported for Prior Period Adjustments in Income Statement / is_retained.</t>
        </is>
      </c>
      <c r="J335" s="2" t="inlineStr">
        <is>
          <t>Do not substitute another section, period, entity scope, currency or unit; do not double count a parent and its children.</t>
        </is>
      </c>
      <c r="K335" s="2" t="inlineStr"/>
      <c r="L335" s="2" t="inlineStr">
        <is>
          <t>as_reported</t>
        </is>
      </c>
      <c r="M335" s="2" t="inlineStr">
        <is>
          <t>direct_exclusive</t>
        </is>
      </c>
      <c r="N335" s="2" t="n">
        <v>90</v>
      </c>
      <c r="O335" s="2" t="inlineStr">
        <is>
          <t>normalized_exact_then_regex</t>
        </is>
      </c>
      <c r="P335" s="3" t="inlineStr">
        <is>
          <t>extract</t>
        </is>
      </c>
      <c r="Q335" s="2" t="inlineStr">
        <is>
          <t>currency_amount</t>
        </is>
      </c>
      <c r="R335" s="2" t="inlineStr">
        <is>
          <t>period_flow</t>
        </is>
      </c>
      <c r="S335" s="2" t="inlineStr">
        <is>
          <t>allowed_with_provenance</t>
        </is>
      </c>
      <c r="T335" s="2" t="b">
        <v>0</v>
      </c>
      <c r="U335" s="2" t="b">
        <v>0</v>
      </c>
      <c r="V335" s="2" t="inlineStr"/>
      <c r="W335" s="2" t="inlineStr"/>
      <c r="X335" s="2" t="inlineStr">
        <is>
          <t>Decompose only from explicit face or note evidence; never fabricate a split.</t>
        </is>
      </c>
      <c r="Y335" s="2" t="inlineStr">
        <is>
          <t>Aggregate only mutually exclusive facts with identical period, scope, currency and unit.</t>
        </is>
      </c>
      <c r="Z335" s="2" t="inlineStr">
        <is>
          <t>Bind only to Income Statement / is_retained.</t>
        </is>
      </c>
      <c r="AA335" s="2" t="inlineStr"/>
      <c r="AB335" s="2" t="b">
        <v>1</v>
      </c>
      <c r="AC335" s="2" t="inlineStr"/>
      <c r="AD335" s="2" t="inlineStr">
        <is>
          <t>Exact field from Income Statement!A113; value cell B113.</t>
        </is>
      </c>
      <c r="AE335" s="2" t="inlineStr">
        <is>
          <t>Notes may support direct extraction or decomposition with provenance. Formula outputs must be derived only from template dependencies.</t>
        </is>
      </c>
      <c r="AF335" s="2" t="inlineStr"/>
      <c r="AG335" s="2" t="inlineStr">
        <is>
          <t>[]</t>
        </is>
      </c>
      <c r="AH335" s="2" t="inlineStr">
        <is>
          <t>Prior Period Adjustments</t>
        </is>
      </c>
      <c r="AI335" s="2" t="inlineStr"/>
      <c r="AJ335" s="2" t="inlineStr">
        <is>
          <t>{"template_sheet": "Income Statement", "template_row": 113, "template_cell": "B113", "template_value_or_formula": 37, "calculation_type": "reported_input", "dependencies": [], "source_template": "Copy of Output_CSV Template.xlsx"}</t>
        </is>
      </c>
    </row>
    <row r="336">
      <c r="A336" s="2" t="inlineStr">
        <is>
          <t>is_retained__other_adj_to_retained_profits</t>
        </is>
      </c>
      <c r="B336" s="2" t="inlineStr">
        <is>
          <t>Other Adj to Retained Profits</t>
        </is>
      </c>
      <c r="C336" s="2" t="inlineStr">
        <is>
          <t>is_retained</t>
        </is>
      </c>
      <c r="D336" s="2" t="inlineStr">
        <is>
          <t>Extract the reported value for 'Other Adj to Retained Profits' from the stated section. Do not calculate or replace it from other rows, because the revised template does not designate this field as formula-driven.</t>
        </is>
      </c>
      <c r="E336" s="2" t="inlineStr">
        <is>
          <t>Other Adj to Retained Profits</t>
        </is>
      </c>
      <c r="F336" s="2" t="inlineStr">
        <is>
          <t>Other Adj to Retained Profits</t>
        </is>
      </c>
      <c r="G336" s="2" t="inlineStr">
        <is>
          <t>^Other\s+Adj\s+to\s+Retained\s+Profits$</t>
        </is>
      </c>
      <c r="H336" s="2" t="inlineStr"/>
      <c r="I336" s="2" t="inlineStr">
        <is>
          <t>Amounts or disclosures explicitly reported for Other Adj to Retained Profits in Income Statement / is_retained.</t>
        </is>
      </c>
      <c r="J336" s="2" t="inlineStr">
        <is>
          <t>Do not substitute another section, period, entity scope, currency or unit; do not double count a parent and its children.</t>
        </is>
      </c>
      <c r="K336" s="2" t="inlineStr"/>
      <c r="L336" s="2" t="inlineStr">
        <is>
          <t>as_reported</t>
        </is>
      </c>
      <c r="M336" s="2" t="inlineStr">
        <is>
          <t>direct_exclusive</t>
        </is>
      </c>
      <c r="N336" s="2" t="n">
        <v>90</v>
      </c>
      <c r="O336" s="2" t="inlineStr">
        <is>
          <t>normalized_exact_then_regex</t>
        </is>
      </c>
      <c r="P336" s="3" t="inlineStr">
        <is>
          <t>extract</t>
        </is>
      </c>
      <c r="Q336" s="2" t="inlineStr">
        <is>
          <t>currency_amount</t>
        </is>
      </c>
      <c r="R336" s="2" t="inlineStr">
        <is>
          <t>period_flow</t>
        </is>
      </c>
      <c r="S336" s="2" t="inlineStr">
        <is>
          <t>allowed_with_provenance</t>
        </is>
      </c>
      <c r="T336" s="2" t="b">
        <v>0</v>
      </c>
      <c r="U336" s="2" t="b">
        <v>0</v>
      </c>
      <c r="V336" s="2" t="inlineStr"/>
      <c r="W336" s="2" t="inlineStr"/>
      <c r="X336" s="2" t="inlineStr">
        <is>
          <t>Decompose only from explicit face or note evidence; never fabricate a split.</t>
        </is>
      </c>
      <c r="Y336" s="2" t="inlineStr">
        <is>
          <t>Aggregate only mutually exclusive facts with identical period, scope, currency and unit.</t>
        </is>
      </c>
      <c r="Z336" s="2" t="inlineStr">
        <is>
          <t>Bind only to Income Statement / is_retained.</t>
        </is>
      </c>
      <c r="AA336" s="2" t="inlineStr"/>
      <c r="AB336" s="2" t="b">
        <v>1</v>
      </c>
      <c r="AC336" s="2" t="inlineStr"/>
      <c r="AD336" s="2" t="inlineStr">
        <is>
          <t>Exact field from Income Statement!A114; value cell B114.</t>
        </is>
      </c>
      <c r="AE336" s="2" t="inlineStr">
        <is>
          <t>Notes may support direct extraction or decomposition with provenance. Formula outputs must be derived only from template dependencies.</t>
        </is>
      </c>
      <c r="AF336" s="2" t="inlineStr">
        <is>
          <t>{"mode": "no_balancing_plug", "negative_result": "review"}</t>
        </is>
      </c>
      <c r="AG336" s="2" t="inlineStr">
        <is>
          <t>[]</t>
        </is>
      </c>
      <c r="AH336" s="2" t="inlineStr">
        <is>
          <t>Other Adj to Retained Profits</t>
        </is>
      </c>
      <c r="AI336" s="2" t="inlineStr"/>
      <c r="AJ336" s="2" t="inlineStr">
        <is>
          <t>{"template_sheet": "Income Statement", "template_row": 114, "template_cell": "B114", "template_value_or_formula": 11, "calculation_type": "reported_input", "dependencies": [], "source_template": "Copy of Output_CSV Template.xlsx"}</t>
        </is>
      </c>
    </row>
    <row r="337">
      <c r="A337" s="2" t="inlineStr">
        <is>
          <t>cf_oper_indirect__net_profit_loss</t>
        </is>
      </c>
      <c r="B337" s="2" t="inlineStr">
        <is>
          <t>Net Profit/(Loss)</t>
        </is>
      </c>
      <c r="C337" s="2" t="inlineStr">
        <is>
          <t>cf_oper_indirect</t>
        </is>
      </c>
      <c r="D337" s="2" t="inlineStr">
        <is>
          <t>Extract the reported value for 'Net Profit/(Loss)' from the stated section. Do not calculate or replace it from other rows, because the revised template does not designate this field as formula-driven.</t>
        </is>
      </c>
      <c r="E337" s="2" t="inlineStr">
        <is>
          <t>Net Profit/(Loss)</t>
        </is>
      </c>
      <c r="F337" s="2" t="inlineStr">
        <is>
          <t>Net Profit/(Loss)</t>
        </is>
      </c>
      <c r="G337" s="2" t="inlineStr">
        <is>
          <t>^Net\s+Profit/\(Loss\)$</t>
        </is>
      </c>
      <c r="H337" s="2" t="inlineStr"/>
      <c r="I337" s="2" t="inlineStr">
        <is>
          <t>Amounts or disclosures explicitly reported for Net Profit/(Loss) in Cash Flow / cf_oper_indirect.</t>
        </is>
      </c>
      <c r="J337" s="2" t="inlineStr">
        <is>
          <t>Do not substitute another section, period, entity scope, currency or unit; do not double count a parent and its children.</t>
        </is>
      </c>
      <c r="K337" s="2" t="inlineStr"/>
      <c r="L337" s="2" t="inlineStr">
        <is>
          <t>as_reported</t>
        </is>
      </c>
      <c r="M337" s="2" t="inlineStr">
        <is>
          <t>direct_exclusive</t>
        </is>
      </c>
      <c r="N337" s="2" t="n">
        <v>90</v>
      </c>
      <c r="O337" s="2" t="inlineStr">
        <is>
          <t>normalized_exact_then_regex</t>
        </is>
      </c>
      <c r="P337" s="3" t="inlineStr">
        <is>
          <t>extract</t>
        </is>
      </c>
      <c r="Q337" s="2" t="inlineStr">
        <is>
          <t>currency_amount</t>
        </is>
      </c>
      <c r="R337" s="2" t="inlineStr">
        <is>
          <t>period_flow</t>
        </is>
      </c>
      <c r="S337" s="2" t="inlineStr">
        <is>
          <t>allowed_with_provenance</t>
        </is>
      </c>
      <c r="T337" s="2" t="b">
        <v>0</v>
      </c>
      <c r="U337" s="2" t="b">
        <v>0</v>
      </c>
      <c r="V337" s="2" t="inlineStr"/>
      <c r="W337" s="2" t="inlineStr"/>
      <c r="X337" s="2" t="inlineStr">
        <is>
          <t>Decompose only from explicit face or note evidence; never fabricate a split.</t>
        </is>
      </c>
      <c r="Y337" s="2" t="inlineStr">
        <is>
          <t>Aggregate only mutually exclusive facts with identical period, scope, currency and unit.</t>
        </is>
      </c>
      <c r="Z337" s="2" t="inlineStr">
        <is>
          <t>Bind only to Cash Flow / cf_oper_indirect.</t>
        </is>
      </c>
      <c r="AA337" s="2" t="inlineStr"/>
      <c r="AB337" s="2" t="b">
        <v>1</v>
      </c>
      <c r="AC337" s="2" t="inlineStr"/>
      <c r="AD337" s="2" t="inlineStr">
        <is>
          <t>Exact field from Cash Flow!A6; value cell B6.</t>
        </is>
      </c>
      <c r="AE337" s="2" t="inlineStr">
        <is>
          <t>Notes may support direct extraction or decomposition with provenance. Formula outputs must be derived only from template dependencies.</t>
        </is>
      </c>
      <c r="AF337" s="2" t="inlineStr"/>
      <c r="AG337" s="2" t="inlineStr">
        <is>
          <t>[]</t>
        </is>
      </c>
      <c r="AH337" s="2" t="inlineStr">
        <is>
          <t>Net Profit/(Loss)</t>
        </is>
      </c>
      <c r="AI337" s="2" t="inlineStr"/>
      <c r="AJ337" s="2" t="inlineStr">
        <is>
          <t>{"template_sheet": "Cash Flow", "template_row": 6, "template_cell": "B6", "template_value_or_formula": -21, "calculation_type": "reported_input", "dependencies": [], "source_template": "Copy of Output_CSV Template.xlsx"}</t>
        </is>
      </c>
    </row>
    <row r="338">
      <c r="A338" s="2" t="inlineStr">
        <is>
          <t>cf_oper_indirect__other_after_tax_income_expense</t>
        </is>
      </c>
      <c r="B338" s="2" t="inlineStr">
        <is>
          <t>Other After Tax (Income)/Expense</t>
        </is>
      </c>
      <c r="C338" s="2" t="inlineStr">
        <is>
          <t>cf_oper_indirect</t>
        </is>
      </c>
      <c r="D338" s="2" t="inlineStr">
        <is>
          <t>Extract the reported value for 'Other After Tax (Income)/Expense' from the stated section. Do not calculate or replace it from other rows, because the revised template does not designate this field as formula-driven.</t>
        </is>
      </c>
      <c r="E338" s="2" t="inlineStr">
        <is>
          <t>Other After Tax (Income)/Expense</t>
        </is>
      </c>
      <c r="F338" s="2" t="inlineStr">
        <is>
          <t>Other After Tax (Income)/Expense</t>
        </is>
      </c>
      <c r="G338" s="2" t="inlineStr">
        <is>
          <t>^Other\s+After\s+Tax\s+\(Income\)/Expense$</t>
        </is>
      </c>
      <c r="H338" s="2" t="inlineStr"/>
      <c r="I338" s="2" t="inlineStr">
        <is>
          <t>Amounts or disclosures explicitly reported for Other After Tax (Income)/Expense in Cash Flow / cf_oper_indirect.</t>
        </is>
      </c>
      <c r="J338" s="2" t="inlineStr">
        <is>
          <t>Do not substitute another section, period, entity scope, currency or unit; do not double count a parent and its children.</t>
        </is>
      </c>
      <c r="K338" s="2" t="inlineStr"/>
      <c r="L338" s="2" t="inlineStr">
        <is>
          <t>as_reported</t>
        </is>
      </c>
      <c r="M338" s="2" t="inlineStr">
        <is>
          <t>direct_exclusive</t>
        </is>
      </c>
      <c r="N338" s="2" t="n">
        <v>90</v>
      </c>
      <c r="O338" s="2" t="inlineStr">
        <is>
          <t>normalized_exact_then_regex</t>
        </is>
      </c>
      <c r="P338" s="3" t="inlineStr">
        <is>
          <t>extract</t>
        </is>
      </c>
      <c r="Q338" s="2" t="inlineStr">
        <is>
          <t>currency_amount</t>
        </is>
      </c>
      <c r="R338" s="2" t="inlineStr">
        <is>
          <t>period_flow</t>
        </is>
      </c>
      <c r="S338" s="2" t="inlineStr">
        <is>
          <t>allowed_with_provenance</t>
        </is>
      </c>
      <c r="T338" s="2" t="b">
        <v>0</v>
      </c>
      <c r="U338" s="2" t="b">
        <v>0</v>
      </c>
      <c r="V338" s="2" t="inlineStr"/>
      <c r="W338" s="2" t="inlineStr"/>
      <c r="X338" s="2" t="inlineStr">
        <is>
          <t>Decompose only from explicit face or note evidence; never fabricate a split.</t>
        </is>
      </c>
      <c r="Y338" s="2" t="inlineStr">
        <is>
          <t>Aggregate only mutually exclusive facts with identical period, scope, currency and unit.</t>
        </is>
      </c>
      <c r="Z338" s="2" t="inlineStr">
        <is>
          <t>Bind only to Cash Flow / cf_oper_indirect.</t>
        </is>
      </c>
      <c r="AA338" s="2" t="inlineStr"/>
      <c r="AB338" s="2" t="b">
        <v>1</v>
      </c>
      <c r="AC338" s="2" t="inlineStr"/>
      <c r="AD338" s="2" t="inlineStr">
        <is>
          <t>Exact field from Cash Flow!A7; value cell B7.</t>
        </is>
      </c>
      <c r="AE338" s="2" t="inlineStr">
        <is>
          <t>Notes may support direct extraction or decomposition with provenance. Formula outputs must be derived only from template dependencies.</t>
        </is>
      </c>
      <c r="AF338" s="2" t="inlineStr">
        <is>
          <t>{"mode": "no_balancing_plug", "negative_result": "review"}</t>
        </is>
      </c>
      <c r="AG338" s="2" t="inlineStr">
        <is>
          <t>[]</t>
        </is>
      </c>
      <c r="AH338" s="2" t="inlineStr">
        <is>
          <t>Other After Tax (Income)/Expense</t>
        </is>
      </c>
      <c r="AI338" s="2" t="inlineStr"/>
      <c r="AJ338" s="2" t="inlineStr">
        <is>
          <t>{"template_sheet": "Cash Flow", "template_row": 7, "template_cell": "B7", "template_value_or_formula": 38, "calculation_type": "reported_input", "dependencies": [], "source_template": "Copy of Output_CSV Template.xlsx"}</t>
        </is>
      </c>
    </row>
    <row r="339">
      <c r="A339" s="2" t="inlineStr">
        <is>
          <t>cf_oper_indirect__minority_interests_cf</t>
        </is>
      </c>
      <c r="B339" s="2" t="inlineStr">
        <is>
          <t>Minority Interests(CF)</t>
        </is>
      </c>
      <c r="C339" s="2" t="inlineStr">
        <is>
          <t>cf_oper_indirect</t>
        </is>
      </c>
      <c r="D339" s="2" t="inlineStr">
        <is>
          <t>Extract the reported value for 'Minority Interests(CF)' from the stated section. Do not calculate or replace it from other rows, because the revised template does not designate this field as formula-driven.</t>
        </is>
      </c>
      <c r="E339" s="2" t="inlineStr">
        <is>
          <t>Minority Interests(CF)</t>
        </is>
      </c>
      <c r="F339" s="2" t="inlineStr">
        <is>
          <t>Minority Interests(CF)</t>
        </is>
      </c>
      <c r="G339" s="2" t="inlineStr">
        <is>
          <t>^Minority\s+Interests\(CF\)$</t>
        </is>
      </c>
      <c r="H339" s="2" t="inlineStr"/>
      <c r="I339" s="2" t="inlineStr">
        <is>
          <t>Amounts or disclosures explicitly reported for Minority Interests(CF) in Cash Flow / cf_oper_indirect.</t>
        </is>
      </c>
      <c r="J339" s="2" t="inlineStr">
        <is>
          <t>Do not substitute another section, period, entity scope, currency or unit; do not double count a parent and its children.</t>
        </is>
      </c>
      <c r="K339" s="2" t="inlineStr"/>
      <c r="L339" s="2" t="inlineStr">
        <is>
          <t>as_reported</t>
        </is>
      </c>
      <c r="M339" s="2" t="inlineStr">
        <is>
          <t>direct_exclusive</t>
        </is>
      </c>
      <c r="N339" s="2" t="n">
        <v>90</v>
      </c>
      <c r="O339" s="2" t="inlineStr">
        <is>
          <t>normalized_exact_then_regex</t>
        </is>
      </c>
      <c r="P339" s="3" t="inlineStr">
        <is>
          <t>extract</t>
        </is>
      </c>
      <c r="Q339" s="2" t="inlineStr">
        <is>
          <t>currency_amount</t>
        </is>
      </c>
      <c r="R339" s="2" t="inlineStr">
        <is>
          <t>period_flow</t>
        </is>
      </c>
      <c r="S339" s="2" t="inlineStr">
        <is>
          <t>allowed_with_provenance</t>
        </is>
      </c>
      <c r="T339" s="2" t="b">
        <v>0</v>
      </c>
      <c r="U339" s="2" t="b">
        <v>0</v>
      </c>
      <c r="V339" s="2" t="inlineStr"/>
      <c r="W339" s="2" t="inlineStr"/>
      <c r="X339" s="2" t="inlineStr">
        <is>
          <t>Decompose only from explicit face or note evidence; never fabricate a split.</t>
        </is>
      </c>
      <c r="Y339" s="2" t="inlineStr">
        <is>
          <t>Aggregate only mutually exclusive facts with identical period, scope, currency and unit.</t>
        </is>
      </c>
      <c r="Z339" s="2" t="inlineStr">
        <is>
          <t>Bind only to Cash Flow / cf_oper_indirect.</t>
        </is>
      </c>
      <c r="AA339" s="2" t="inlineStr"/>
      <c r="AB339" s="2" t="b">
        <v>1</v>
      </c>
      <c r="AC339" s="2" t="inlineStr"/>
      <c r="AD339" s="2" t="inlineStr">
        <is>
          <t>Exact field from Cash Flow!A8; value cell B8.</t>
        </is>
      </c>
      <c r="AE339" s="2" t="inlineStr">
        <is>
          <t>Notes may support direct extraction or decomposition with provenance. Formula outputs must be derived only from template dependencies.</t>
        </is>
      </c>
      <c r="AF339" s="2" t="inlineStr"/>
      <c r="AG339" s="2" t="inlineStr">
        <is>
          <t>[]</t>
        </is>
      </c>
      <c r="AH339" s="2" t="inlineStr">
        <is>
          <t>Minority Interests(CF)</t>
        </is>
      </c>
      <c r="AI339" s="2" t="inlineStr"/>
      <c r="AJ339" s="2" t="inlineStr">
        <is>
          <t>{"template_sheet": "Cash Flow", "template_row": 8, "template_cell": "B8", "template_value_or_formula": 12, "calculation_type": "reported_input", "dependencies": [], "source_template": "Copy of Output_CSV Template.xlsx"}</t>
        </is>
      </c>
    </row>
    <row r="340">
      <c r="A340" s="2" t="inlineStr">
        <is>
          <t>cf_oper_indirect__income_tax_expense</t>
        </is>
      </c>
      <c r="B340" s="2" t="inlineStr">
        <is>
          <t>Income Tax Expense</t>
        </is>
      </c>
      <c r="C340" s="2" t="inlineStr">
        <is>
          <t>cf_oper_indirect</t>
        </is>
      </c>
      <c r="D340" s="2" t="inlineStr">
        <is>
          <t>Extract the reported value for 'Income Tax Expense' from the stated section. Do not calculate or replace it from other rows, because the revised template does not designate this field as formula-driven.</t>
        </is>
      </c>
      <c r="E340" s="2" t="inlineStr">
        <is>
          <t>Income Tax Expense</t>
        </is>
      </c>
      <c r="F340" s="2" t="inlineStr">
        <is>
          <t>Income Tax Expense</t>
        </is>
      </c>
      <c r="G340" s="2" t="inlineStr">
        <is>
          <t>^Income\s+Tax\s+Expense$</t>
        </is>
      </c>
      <c r="H340" s="2" t="inlineStr"/>
      <c r="I340" s="2" t="inlineStr">
        <is>
          <t>Amounts or disclosures explicitly reported for Income Tax Expense in Cash Flow / cf_oper_indirect.</t>
        </is>
      </c>
      <c r="J340" s="2" t="inlineStr">
        <is>
          <t>Do not substitute another section, period, entity scope, currency or unit; do not double count a parent and its children.</t>
        </is>
      </c>
      <c r="K340" s="2" t="inlineStr"/>
      <c r="L340" s="2" t="inlineStr">
        <is>
          <t>as_reported</t>
        </is>
      </c>
      <c r="M340" s="2" t="inlineStr">
        <is>
          <t>direct_exclusive</t>
        </is>
      </c>
      <c r="N340" s="2" t="n">
        <v>90</v>
      </c>
      <c r="O340" s="2" t="inlineStr">
        <is>
          <t>normalized_exact_then_regex</t>
        </is>
      </c>
      <c r="P340" s="3" t="inlineStr">
        <is>
          <t>extract</t>
        </is>
      </c>
      <c r="Q340" s="2" t="inlineStr">
        <is>
          <t>currency_amount</t>
        </is>
      </c>
      <c r="R340" s="2" t="inlineStr">
        <is>
          <t>period_flow</t>
        </is>
      </c>
      <c r="S340" s="2" t="inlineStr">
        <is>
          <t>allowed_with_provenance</t>
        </is>
      </c>
      <c r="T340" s="2" t="b">
        <v>0</v>
      </c>
      <c r="U340" s="2" t="b">
        <v>0</v>
      </c>
      <c r="V340" s="2" t="inlineStr"/>
      <c r="W340" s="2" t="inlineStr"/>
      <c r="X340" s="2" t="inlineStr">
        <is>
          <t>Decompose only from explicit face or note evidence; never fabricate a split.</t>
        </is>
      </c>
      <c r="Y340" s="2" t="inlineStr">
        <is>
          <t>Aggregate only mutually exclusive facts with identical period, scope, currency and unit.</t>
        </is>
      </c>
      <c r="Z340" s="2" t="inlineStr">
        <is>
          <t>Bind only to Cash Flow / cf_oper_indirect.</t>
        </is>
      </c>
      <c r="AA340" s="2" t="inlineStr"/>
      <c r="AB340" s="2" t="b">
        <v>1</v>
      </c>
      <c r="AC340" s="2" t="inlineStr"/>
      <c r="AD340" s="2" t="inlineStr">
        <is>
          <t>Exact field from Cash Flow!A9; value cell B9.</t>
        </is>
      </c>
      <c r="AE340" s="2" t="inlineStr">
        <is>
          <t>Notes may support direct extraction or decomposition with provenance. Formula outputs must be derived only from template dependencies.</t>
        </is>
      </c>
      <c r="AF340" s="2" t="inlineStr"/>
      <c r="AG340" s="2" t="inlineStr">
        <is>
          <t>[]</t>
        </is>
      </c>
      <c r="AH340" s="2" t="inlineStr">
        <is>
          <t>Income Tax Expense</t>
        </is>
      </c>
      <c r="AI340" s="2" t="inlineStr"/>
      <c r="AJ340" s="2" t="inlineStr">
        <is>
          <t>{"template_sheet": "Cash Flow", "template_row": 9, "template_cell": "B9", "template_value_or_formula": -29, "calculation_type": "reported_input", "dependencies": [], "source_template": "Copy of Output_CSV Template.xlsx"}</t>
        </is>
      </c>
    </row>
    <row r="341">
      <c r="A341" s="2" t="inlineStr">
        <is>
          <t>cf_oper_indirect__depreciation</t>
        </is>
      </c>
      <c r="B341" s="2" t="inlineStr">
        <is>
          <t>Depreciation</t>
        </is>
      </c>
      <c r="C341" s="2" t="inlineStr">
        <is>
          <t>cf_oper_indirect</t>
        </is>
      </c>
      <c r="D341" s="2" t="inlineStr">
        <is>
          <t>Extract the reported value for 'Depreciation' from the stated section. Do not calculate or replace it from other rows, because the revised template does not designate this field as formula-driven.</t>
        </is>
      </c>
      <c r="E341" s="2" t="inlineStr">
        <is>
          <t>Depreciation</t>
        </is>
      </c>
      <c r="F341" s="2" t="inlineStr">
        <is>
          <t>Depreciation</t>
        </is>
      </c>
      <c r="G341" s="2" t="inlineStr">
        <is>
          <t>^Depreciation$</t>
        </is>
      </c>
      <c r="H341" s="2" t="inlineStr"/>
      <c r="I341" s="2" t="inlineStr">
        <is>
          <t>Amounts or disclosures explicitly reported for Depreciation in Cash Flow / cf_oper_indirect.</t>
        </is>
      </c>
      <c r="J341" s="2" t="inlineStr">
        <is>
          <t>Do not substitute another section, period, entity scope, currency or unit; do not double count a parent and its children.</t>
        </is>
      </c>
      <c r="K341" s="2" t="inlineStr"/>
      <c r="L341" s="2" t="inlineStr">
        <is>
          <t>as_reported</t>
        </is>
      </c>
      <c r="M341" s="2" t="inlineStr">
        <is>
          <t>direct_exclusive</t>
        </is>
      </c>
      <c r="N341" s="2" t="n">
        <v>90</v>
      </c>
      <c r="O341" s="2" t="inlineStr">
        <is>
          <t>normalized_exact_then_regex</t>
        </is>
      </c>
      <c r="P341" s="3" t="inlineStr">
        <is>
          <t>extract</t>
        </is>
      </c>
      <c r="Q341" s="2" t="inlineStr">
        <is>
          <t>currency_amount</t>
        </is>
      </c>
      <c r="R341" s="2" t="inlineStr">
        <is>
          <t>period_flow</t>
        </is>
      </c>
      <c r="S341" s="2" t="inlineStr">
        <is>
          <t>allowed_with_provenance</t>
        </is>
      </c>
      <c r="T341" s="2" t="b">
        <v>0</v>
      </c>
      <c r="U341" s="2" t="b">
        <v>0</v>
      </c>
      <c r="V341" s="2" t="inlineStr"/>
      <c r="W341" s="2" t="inlineStr"/>
      <c r="X341" s="2" t="inlineStr">
        <is>
          <t>Decompose only from explicit face or note evidence; never fabricate a split.</t>
        </is>
      </c>
      <c r="Y341" s="2" t="inlineStr">
        <is>
          <t>Aggregate only mutually exclusive facts with identical period, scope, currency and unit.</t>
        </is>
      </c>
      <c r="Z341" s="2" t="inlineStr">
        <is>
          <t>Bind only to Cash Flow / cf_oper_indirect.</t>
        </is>
      </c>
      <c r="AA341" s="2" t="inlineStr"/>
      <c r="AB341" s="2" t="b">
        <v>1</v>
      </c>
      <c r="AC341" s="2" t="inlineStr"/>
      <c r="AD341" s="2" t="inlineStr">
        <is>
          <t>Exact field from Cash Flow!A10; value cell B10.</t>
        </is>
      </c>
      <c r="AE341" s="2" t="inlineStr">
        <is>
          <t>Notes may support direct extraction or decomposition with provenance. Formula outputs must be derived only from template dependencies.</t>
        </is>
      </c>
      <c r="AF341" s="2" t="inlineStr"/>
      <c r="AG341" s="2" t="inlineStr">
        <is>
          <t>[]</t>
        </is>
      </c>
      <c r="AH341" s="2" t="inlineStr">
        <is>
          <t>Depreciation</t>
        </is>
      </c>
      <c r="AI341" s="2" t="inlineStr"/>
      <c r="AJ341" s="2" t="inlineStr">
        <is>
          <t>{"template_sheet": "Cash Flow", "template_row": 10, "template_cell": "B10", "template_value_or_formula": 46, "calculation_type": "reported_input", "dependencies": [], "source_template": "Copy of Output_CSV Template.xlsx"}</t>
        </is>
      </c>
    </row>
    <row r="342">
      <c r="A342" s="2" t="inlineStr">
        <is>
          <t>cf_oper_indirect__amortization_and_asset_impairment</t>
        </is>
      </c>
      <c r="B342" s="2" t="inlineStr">
        <is>
          <t>Amortization &amp; Asset Impairment</t>
        </is>
      </c>
      <c r="C342" s="2" t="inlineStr">
        <is>
          <t>cf_oper_indirect</t>
        </is>
      </c>
      <c r="D342" s="2" t="inlineStr">
        <is>
          <t>Extract the reported value for 'Amortization &amp; Asset Impairment' from the stated section. Do not calculate or replace it from other rows, because the revised template does not designate this field as formula-driven.</t>
        </is>
      </c>
      <c r="E342" s="2" t="inlineStr">
        <is>
          <t>Amortization &amp; Asset Impairment</t>
        </is>
      </c>
      <c r="F342" s="2" t="inlineStr">
        <is>
          <t>Amortization &amp; Asset Impairment</t>
        </is>
      </c>
      <c r="G342" s="2" t="inlineStr">
        <is>
          <t>^Amortization\s+\&amp;\s+Asset\s+Impairment$</t>
        </is>
      </c>
      <c r="H342" s="2" t="inlineStr"/>
      <c r="I342" s="2" t="inlineStr">
        <is>
          <t>Amounts or disclosures explicitly reported for Amortization &amp; Asset Impairment in Cash Flow / cf_oper_indirect.</t>
        </is>
      </c>
      <c r="J342" s="2" t="inlineStr">
        <is>
          <t>Do not substitute another section, period, entity scope, currency or unit; do not double count a parent and its children.</t>
        </is>
      </c>
      <c r="K342" s="2" t="inlineStr"/>
      <c r="L342" s="2" t="inlineStr">
        <is>
          <t>as_reported</t>
        </is>
      </c>
      <c r="M342" s="2" t="inlineStr">
        <is>
          <t>direct_exclusive</t>
        </is>
      </c>
      <c r="N342" s="2" t="n">
        <v>90</v>
      </c>
      <c r="O342" s="2" t="inlineStr">
        <is>
          <t>normalized_exact_then_regex</t>
        </is>
      </c>
      <c r="P342" s="3" t="inlineStr">
        <is>
          <t>extract</t>
        </is>
      </c>
      <c r="Q342" s="2" t="inlineStr">
        <is>
          <t>currency_amount</t>
        </is>
      </c>
      <c r="R342" s="2" t="inlineStr">
        <is>
          <t>period_flow</t>
        </is>
      </c>
      <c r="S342" s="2" t="inlineStr">
        <is>
          <t>allowed_with_provenance</t>
        </is>
      </c>
      <c r="T342" s="2" t="b">
        <v>0</v>
      </c>
      <c r="U342" s="2" t="b">
        <v>0</v>
      </c>
      <c r="V342" s="2" t="inlineStr"/>
      <c r="W342" s="2" t="inlineStr"/>
      <c r="X342" s="2" t="inlineStr">
        <is>
          <t>Decompose only from explicit face or note evidence; never fabricate a split.</t>
        </is>
      </c>
      <c r="Y342" s="2" t="inlineStr">
        <is>
          <t>Aggregate only mutually exclusive facts with identical period, scope, currency and unit.</t>
        </is>
      </c>
      <c r="Z342" s="2" t="inlineStr">
        <is>
          <t>Bind only to Cash Flow / cf_oper_indirect.</t>
        </is>
      </c>
      <c r="AA342" s="2" t="inlineStr"/>
      <c r="AB342" s="2" t="b">
        <v>1</v>
      </c>
      <c r="AC342" s="2" t="inlineStr"/>
      <c r="AD342" s="2" t="inlineStr">
        <is>
          <t>Exact field from Cash Flow!A11; value cell B11.</t>
        </is>
      </c>
      <c r="AE342" s="2" t="inlineStr">
        <is>
          <t>Notes may support direct extraction or decomposition with provenance. Formula outputs must be derived only from template dependencies.</t>
        </is>
      </c>
      <c r="AF342" s="2" t="inlineStr"/>
      <c r="AG342" s="2" t="inlineStr">
        <is>
          <t>[]</t>
        </is>
      </c>
      <c r="AH342" s="2" t="inlineStr">
        <is>
          <t>Amortization &amp; Asset Impairment</t>
        </is>
      </c>
      <c r="AI342" s="2" t="inlineStr"/>
      <c r="AJ342" s="2" t="inlineStr">
        <is>
          <t>{"template_sheet": "Cash Flow", "template_row": 11, "template_cell": "B11", "template_value_or_formula": 20, "calculation_type": "reported_input", "dependencies": [], "source_template": "Copy of Output_CSV Template.xlsx"}</t>
        </is>
      </c>
    </row>
    <row r="343">
      <c r="A343" s="2" t="inlineStr">
        <is>
          <t>cf_oper_indirect__cash_flow_from_hedging_oper</t>
        </is>
      </c>
      <c r="B343" s="2" t="inlineStr">
        <is>
          <t>Cash Flow from Hedging(Oper)</t>
        </is>
      </c>
      <c r="C343" s="2" t="inlineStr">
        <is>
          <t>cf_oper_indirect</t>
        </is>
      </c>
      <c r="D343" s="2" t="inlineStr">
        <is>
          <t>Extract the reported value for 'Cash Flow from Hedging(Oper)' from the stated section. Do not calculate or replace it from other rows, because the revised template does not designate this field as formula-driven.</t>
        </is>
      </c>
      <c r="E343" s="2" t="inlineStr">
        <is>
          <t>Cash Flow from Hedging(Oper)</t>
        </is>
      </c>
      <c r="F343" s="2" t="inlineStr">
        <is>
          <t>Cash Flow from Hedging(Oper)</t>
        </is>
      </c>
      <c r="G343" s="2" t="inlineStr">
        <is>
          <t>^Cash\s+Flow\s+from\s+Hedging\(Oper\)$</t>
        </is>
      </c>
      <c r="H343" s="2" t="inlineStr"/>
      <c r="I343" s="2" t="inlineStr">
        <is>
          <t>Amounts or disclosures explicitly reported for Cash Flow from Hedging(Oper) in Cash Flow / cf_oper_indirect.</t>
        </is>
      </c>
      <c r="J343" s="2" t="inlineStr">
        <is>
          <t>Do not substitute another section, period, entity scope, currency or unit; do not double count a parent and its children.</t>
        </is>
      </c>
      <c r="K343" s="2" t="inlineStr"/>
      <c r="L343" s="2" t="inlineStr">
        <is>
          <t>as_reported</t>
        </is>
      </c>
      <c r="M343" s="2" t="inlineStr">
        <is>
          <t>direct_exclusive</t>
        </is>
      </c>
      <c r="N343" s="2" t="n">
        <v>90</v>
      </c>
      <c r="O343" s="2" t="inlineStr">
        <is>
          <t>normalized_exact_then_regex</t>
        </is>
      </c>
      <c r="P343" s="3" t="inlineStr">
        <is>
          <t>extract</t>
        </is>
      </c>
      <c r="Q343" s="2" t="inlineStr">
        <is>
          <t>currency_amount</t>
        </is>
      </c>
      <c r="R343" s="2" t="inlineStr">
        <is>
          <t>period_flow</t>
        </is>
      </c>
      <c r="S343" s="2" t="inlineStr">
        <is>
          <t>allowed_with_provenance</t>
        </is>
      </c>
      <c r="T343" s="2" t="b">
        <v>0</v>
      </c>
      <c r="U343" s="2" t="b">
        <v>0</v>
      </c>
      <c r="V343" s="2" t="inlineStr"/>
      <c r="W343" s="2" t="inlineStr"/>
      <c r="X343" s="2" t="inlineStr">
        <is>
          <t>Decompose only from explicit face or note evidence; never fabricate a split.</t>
        </is>
      </c>
      <c r="Y343" s="2" t="inlineStr">
        <is>
          <t>Aggregate only mutually exclusive facts with identical period, scope, currency and unit.</t>
        </is>
      </c>
      <c r="Z343" s="2" t="inlineStr">
        <is>
          <t>Bind only to Cash Flow / cf_oper_indirect.</t>
        </is>
      </c>
      <c r="AA343" s="2" t="inlineStr"/>
      <c r="AB343" s="2" t="b">
        <v>1</v>
      </c>
      <c r="AC343" s="2" t="inlineStr"/>
      <c r="AD343" s="2" t="inlineStr">
        <is>
          <t>Exact field from Cash Flow!A12; value cell B12.</t>
        </is>
      </c>
      <c r="AE343" s="2" t="inlineStr">
        <is>
          <t>Notes may support direct extraction or decomposition with provenance. Formula outputs must be derived only from template dependencies.</t>
        </is>
      </c>
      <c r="AF343" s="2" t="inlineStr"/>
      <c r="AG343" s="2" t="inlineStr">
        <is>
          <t>[]</t>
        </is>
      </c>
      <c r="AH343" s="2" t="inlineStr">
        <is>
          <t>Cash Flow from Hedging(Oper)</t>
        </is>
      </c>
      <c r="AI343" s="2" t="inlineStr"/>
      <c r="AJ343" s="2" t="inlineStr">
        <is>
          <t>{"template_sheet": "Cash Flow", "template_row": 12, "template_cell": "B12", "template_value_or_formula": -37, "calculation_type": "reported_input", "dependencies": [], "source_template": "Copy of Output_CSV Template.xlsx"}</t>
        </is>
      </c>
    </row>
    <row r="344">
      <c r="A344" s="2" t="inlineStr">
        <is>
          <t>cf_oper_indirect__assoc_profit_share_net_of_dvds</t>
        </is>
      </c>
      <c r="B344" s="2" t="inlineStr">
        <is>
          <t>Assoc Profit Share(Net of Dvds)</t>
        </is>
      </c>
      <c r="C344" s="2" t="inlineStr">
        <is>
          <t>cf_oper_indirect</t>
        </is>
      </c>
      <c r="D344" s="2" t="inlineStr">
        <is>
          <t>Extract the reported value for 'Assoc Profit Share(Net of Dvds)' from the stated section. Do not calculate or replace it from other rows, because the revised template does not designate this field as formula-driven.</t>
        </is>
      </c>
      <c r="E344" s="2" t="inlineStr">
        <is>
          <t>Assoc Profit Share(Net of Dvds)</t>
        </is>
      </c>
      <c r="F344" s="2" t="inlineStr">
        <is>
          <t>Assoc Profit Share(Net of Dvds)</t>
        </is>
      </c>
      <c r="G344" s="2" t="inlineStr">
        <is>
          <t>^Assoc\s+Profit\s+Share\(Net\s+of\s+Dvds\)$</t>
        </is>
      </c>
      <c r="H344" s="2" t="inlineStr"/>
      <c r="I344" s="2" t="inlineStr">
        <is>
          <t>Amounts or disclosures explicitly reported for Assoc Profit Share(Net of Dvds) in Cash Flow / cf_oper_indirect.</t>
        </is>
      </c>
      <c r="J344" s="2" t="inlineStr">
        <is>
          <t>Do not substitute another section, period, entity scope, currency or unit; do not double count a parent and its children.</t>
        </is>
      </c>
      <c r="K344" s="2" t="inlineStr"/>
      <c r="L344" s="2" t="inlineStr">
        <is>
          <t>as_reported</t>
        </is>
      </c>
      <c r="M344" s="2" t="inlineStr">
        <is>
          <t>direct_exclusive</t>
        </is>
      </c>
      <c r="N344" s="2" t="n">
        <v>90</v>
      </c>
      <c r="O344" s="2" t="inlineStr">
        <is>
          <t>normalized_exact_then_regex</t>
        </is>
      </c>
      <c r="P344" s="3" t="inlineStr">
        <is>
          <t>extract</t>
        </is>
      </c>
      <c r="Q344" s="2" t="inlineStr">
        <is>
          <t>currency_amount</t>
        </is>
      </c>
      <c r="R344" s="2" t="inlineStr">
        <is>
          <t>period_flow</t>
        </is>
      </c>
      <c r="S344" s="2" t="inlineStr">
        <is>
          <t>allowed_with_provenance</t>
        </is>
      </c>
      <c r="T344" s="2" t="b">
        <v>0</v>
      </c>
      <c r="U344" s="2" t="b">
        <v>0</v>
      </c>
      <c r="V344" s="2" t="inlineStr"/>
      <c r="W344" s="2" t="inlineStr"/>
      <c r="X344" s="2" t="inlineStr">
        <is>
          <t>Decompose only from explicit face or note evidence; never fabricate a split.</t>
        </is>
      </c>
      <c r="Y344" s="2" t="inlineStr">
        <is>
          <t>Aggregate only mutually exclusive facts with identical period, scope, currency and unit.</t>
        </is>
      </c>
      <c r="Z344" s="2" t="inlineStr">
        <is>
          <t>Bind only to Cash Flow / cf_oper_indirect.</t>
        </is>
      </c>
      <c r="AA344" s="2" t="inlineStr"/>
      <c r="AB344" s="2" t="b">
        <v>1</v>
      </c>
      <c r="AC344" s="2" t="inlineStr"/>
      <c r="AD344" s="2" t="inlineStr">
        <is>
          <t>Exact field from Cash Flow!A13; value cell B13.</t>
        </is>
      </c>
      <c r="AE344" s="2" t="inlineStr">
        <is>
          <t>Notes may support direct extraction or decomposition with provenance. Formula outputs must be derived only from template dependencies.</t>
        </is>
      </c>
      <c r="AF344" s="2" t="inlineStr"/>
      <c r="AG344" s="2" t="inlineStr">
        <is>
          <t>[]</t>
        </is>
      </c>
      <c r="AH344" s="2" t="inlineStr">
        <is>
          <t>Assoc Profit Share(Net of Dvds)</t>
        </is>
      </c>
      <c r="AI344" s="2" t="inlineStr"/>
      <c r="AJ344" s="2" t="inlineStr">
        <is>
          <t>{"template_sheet": "Cash Flow", "template_row": 13, "template_cell": "B13", "template_value_or_formula": 11, "calculation_type": "reported_input", "dependencies": [], "source_template": "Copy of Output_CSV Template.xlsx"}</t>
        </is>
      </c>
    </row>
    <row r="345">
      <c r="A345" s="2" t="inlineStr">
        <is>
          <t>cf_oper_indirect__interest_inc_received_oper</t>
        </is>
      </c>
      <c r="B345" s="2" t="inlineStr">
        <is>
          <t>Interest Inc Received(Oper)</t>
        </is>
      </c>
      <c r="C345" s="2" t="inlineStr">
        <is>
          <t>cf_oper_indirect</t>
        </is>
      </c>
      <c r="D345" s="2" t="inlineStr">
        <is>
          <t>Extract the reported value for 'Interest Inc Received(Oper)' from the stated section. Do not calculate or replace it from other rows, because the revised template does not designate this field as formula-driven.</t>
        </is>
      </c>
      <c r="E345" s="2" t="inlineStr">
        <is>
          <t>Interest Inc Received(Oper)</t>
        </is>
      </c>
      <c r="F345" s="2" t="inlineStr">
        <is>
          <t>Interest Inc Received(Oper)</t>
        </is>
      </c>
      <c r="G345" s="2" t="inlineStr">
        <is>
          <t>^Interest\s+Inc\s+Received\(Oper\)$</t>
        </is>
      </c>
      <c r="H345" s="2" t="inlineStr"/>
      <c r="I345" s="2" t="inlineStr">
        <is>
          <t>Amounts or disclosures explicitly reported for Interest Inc Received(Oper) in Cash Flow / cf_oper_indirect.</t>
        </is>
      </c>
      <c r="J345" s="2" t="inlineStr">
        <is>
          <t>Do not substitute another section, period, entity scope, currency or unit; do not double count a parent and its children.</t>
        </is>
      </c>
      <c r="K345" s="2" t="inlineStr"/>
      <c r="L345" s="2" t="inlineStr">
        <is>
          <t>as_reported</t>
        </is>
      </c>
      <c r="M345" s="2" t="inlineStr">
        <is>
          <t>direct_exclusive</t>
        </is>
      </c>
      <c r="N345" s="2" t="n">
        <v>90</v>
      </c>
      <c r="O345" s="2" t="inlineStr">
        <is>
          <t>normalized_exact_then_regex</t>
        </is>
      </c>
      <c r="P345" s="3" t="inlineStr">
        <is>
          <t>extract</t>
        </is>
      </c>
      <c r="Q345" s="2" t="inlineStr">
        <is>
          <t>currency_amount</t>
        </is>
      </c>
      <c r="R345" s="2" t="inlineStr">
        <is>
          <t>period_flow</t>
        </is>
      </c>
      <c r="S345" s="2" t="inlineStr">
        <is>
          <t>allowed_with_provenance</t>
        </is>
      </c>
      <c r="T345" s="2" t="b">
        <v>0</v>
      </c>
      <c r="U345" s="2" t="b">
        <v>0</v>
      </c>
      <c r="V345" s="2" t="inlineStr"/>
      <c r="W345" s="2" t="inlineStr"/>
      <c r="X345" s="2" t="inlineStr">
        <is>
          <t>Decompose only from explicit face or note evidence; never fabricate a split.</t>
        </is>
      </c>
      <c r="Y345" s="2" t="inlineStr">
        <is>
          <t>Aggregate only mutually exclusive facts with identical period, scope, currency and unit.</t>
        </is>
      </c>
      <c r="Z345" s="2" t="inlineStr">
        <is>
          <t>Bind only to Cash Flow / cf_oper_indirect.</t>
        </is>
      </c>
      <c r="AA345" s="2" t="inlineStr"/>
      <c r="AB345" s="2" t="b">
        <v>1</v>
      </c>
      <c r="AC345" s="2" t="inlineStr"/>
      <c r="AD345" s="2" t="inlineStr">
        <is>
          <t>Exact field from Cash Flow!A14; value cell B14.</t>
        </is>
      </c>
      <c r="AE345" s="2" t="inlineStr">
        <is>
          <t>Notes may support direct extraction or decomposition with provenance. Formula outputs must be derived only from template dependencies.</t>
        </is>
      </c>
      <c r="AF345" s="2" t="inlineStr"/>
      <c r="AG345" s="2" t="inlineStr">
        <is>
          <t>[]</t>
        </is>
      </c>
      <c r="AH345" s="2" t="inlineStr">
        <is>
          <t>Interest Inc Received(Oper)</t>
        </is>
      </c>
      <c r="AI345" s="2" t="inlineStr"/>
      <c r="AJ345" s="2" t="inlineStr">
        <is>
          <t>{"template_sheet": "Cash Flow", "template_row": 14, "template_cell": "B14", "template_value_or_formula": 28, "calculation_type": "reported_input", "dependencies": [], "source_template": "Copy of Output_CSV Template.xlsx"}</t>
        </is>
      </c>
    </row>
    <row r="346">
      <c r="A346" s="2" t="inlineStr">
        <is>
          <t>cf_oper_indirect__interest_expense</t>
        </is>
      </c>
      <c r="B346" s="2" t="inlineStr">
        <is>
          <t>Interest Expense</t>
        </is>
      </c>
      <c r="C346" s="2" t="inlineStr">
        <is>
          <t>cf_oper_indirect</t>
        </is>
      </c>
      <c r="D346" s="2" t="inlineStr">
        <is>
          <t>Extract the reported value for 'Interest Expense' from the stated section. Do not calculate or replace it from other rows, because the revised template does not designate this field as formula-driven.</t>
        </is>
      </c>
      <c r="E346" s="2" t="inlineStr">
        <is>
          <t>Interest Expense</t>
        </is>
      </c>
      <c r="F346" s="2" t="inlineStr">
        <is>
          <t>Interest Expense</t>
        </is>
      </c>
      <c r="G346" s="2" t="inlineStr">
        <is>
          <t>^Interest\s+Expense$</t>
        </is>
      </c>
      <c r="H346" s="2" t="inlineStr"/>
      <c r="I346" s="2" t="inlineStr">
        <is>
          <t>Amounts or disclosures explicitly reported for Interest Expense in Cash Flow / cf_oper_indirect.</t>
        </is>
      </c>
      <c r="J346" s="2" t="inlineStr">
        <is>
          <t>Do not substitute another section, period, entity scope, currency or unit; do not double count a parent and its children.</t>
        </is>
      </c>
      <c r="K346" s="2" t="inlineStr"/>
      <c r="L346" s="2" t="inlineStr">
        <is>
          <t>as_reported</t>
        </is>
      </c>
      <c r="M346" s="2" t="inlineStr">
        <is>
          <t>direct_exclusive</t>
        </is>
      </c>
      <c r="N346" s="2" t="n">
        <v>90</v>
      </c>
      <c r="O346" s="2" t="inlineStr">
        <is>
          <t>normalized_exact_then_regex</t>
        </is>
      </c>
      <c r="P346" s="3" t="inlineStr">
        <is>
          <t>extract</t>
        </is>
      </c>
      <c r="Q346" s="2" t="inlineStr">
        <is>
          <t>currency_amount</t>
        </is>
      </c>
      <c r="R346" s="2" t="inlineStr">
        <is>
          <t>period_flow</t>
        </is>
      </c>
      <c r="S346" s="2" t="inlineStr">
        <is>
          <t>allowed_with_provenance</t>
        </is>
      </c>
      <c r="T346" s="2" t="b">
        <v>0</v>
      </c>
      <c r="U346" s="2" t="b">
        <v>0</v>
      </c>
      <c r="V346" s="2" t="inlineStr"/>
      <c r="W346" s="2" t="inlineStr"/>
      <c r="X346" s="2" t="inlineStr">
        <is>
          <t>Decompose only from explicit face or note evidence; never fabricate a split.</t>
        </is>
      </c>
      <c r="Y346" s="2" t="inlineStr">
        <is>
          <t>Aggregate only mutually exclusive facts with identical period, scope, currency and unit.</t>
        </is>
      </c>
      <c r="Z346" s="2" t="inlineStr">
        <is>
          <t>Bind only to Cash Flow / cf_oper_indirect.</t>
        </is>
      </c>
      <c r="AA346" s="2" t="inlineStr"/>
      <c r="AB346" s="2" t="b">
        <v>1</v>
      </c>
      <c r="AC346" s="2" t="inlineStr"/>
      <c r="AD346" s="2" t="inlineStr">
        <is>
          <t>Exact field from Cash Flow!A15; value cell B15.</t>
        </is>
      </c>
      <c r="AE346" s="2" t="inlineStr">
        <is>
          <t>Notes may support direct extraction or decomposition with provenance. Formula outputs must be derived only from template dependencies.</t>
        </is>
      </c>
      <c r="AF346" s="2" t="inlineStr"/>
      <c r="AG346" s="2" t="inlineStr">
        <is>
          <t>[]</t>
        </is>
      </c>
      <c r="AH346" s="2" t="inlineStr">
        <is>
          <t>Interest Expense</t>
        </is>
      </c>
      <c r="AI346" s="2" t="inlineStr"/>
      <c r="AJ346" s="2" t="inlineStr">
        <is>
          <t>{"template_sheet": "Cash Flow", "template_row": 15, "template_cell": "B15", "template_value_or_formula": -45, "calculation_type": "reported_input", "dependencies": [], "source_template": "Copy of Output_CSV Template.xlsx"}</t>
        </is>
      </c>
    </row>
    <row r="347">
      <c r="A347" s="2" t="inlineStr">
        <is>
          <t>cf_oper_indirect__cash_flow_disp_fixed_assets</t>
        </is>
      </c>
      <c r="B347" s="2" t="inlineStr">
        <is>
          <t>Cash Flow Disp Fixed Assets</t>
        </is>
      </c>
      <c r="C347" s="2" t="inlineStr">
        <is>
          <t>cf_oper_indirect</t>
        </is>
      </c>
      <c r="D347" s="2" t="inlineStr">
        <is>
          <t>Extract the reported value for 'Cash Flow Disp Fixed Assets' from the stated section. Do not calculate or replace it from other rows, because the revised template does not designate this field as formula-driven.</t>
        </is>
      </c>
      <c r="E347" s="2" t="inlineStr">
        <is>
          <t>Cash Flow Disp Fixed Assets</t>
        </is>
      </c>
      <c r="F347" s="2" t="inlineStr">
        <is>
          <t>Cash Flow Disp Fixed Assets</t>
        </is>
      </c>
      <c r="G347" s="2" t="inlineStr">
        <is>
          <t>^Cash\s+Flow\s+Disp\s+Fixed\s+Assets$</t>
        </is>
      </c>
      <c r="H347" s="2" t="inlineStr"/>
      <c r="I347" s="2" t="inlineStr">
        <is>
          <t>Amounts or disclosures explicitly reported for Cash Flow Disp Fixed Assets in Cash Flow / cf_oper_indirect.</t>
        </is>
      </c>
      <c r="J347" s="2" t="inlineStr">
        <is>
          <t>Do not substitute another section, period, entity scope, currency or unit; do not double count a parent and its children.</t>
        </is>
      </c>
      <c r="K347" s="2" t="inlineStr"/>
      <c r="L347" s="2" t="inlineStr">
        <is>
          <t>as_reported</t>
        </is>
      </c>
      <c r="M347" s="2" t="inlineStr">
        <is>
          <t>direct_exclusive</t>
        </is>
      </c>
      <c r="N347" s="2" t="n">
        <v>90</v>
      </c>
      <c r="O347" s="2" t="inlineStr">
        <is>
          <t>normalized_exact_then_regex</t>
        </is>
      </c>
      <c r="P347" s="3" t="inlineStr">
        <is>
          <t>extract</t>
        </is>
      </c>
      <c r="Q347" s="2" t="inlineStr">
        <is>
          <t>currency_amount</t>
        </is>
      </c>
      <c r="R347" s="2" t="inlineStr">
        <is>
          <t>period_flow</t>
        </is>
      </c>
      <c r="S347" s="2" t="inlineStr">
        <is>
          <t>allowed_with_provenance</t>
        </is>
      </c>
      <c r="T347" s="2" t="b">
        <v>0</v>
      </c>
      <c r="U347" s="2" t="b">
        <v>0</v>
      </c>
      <c r="V347" s="2" t="inlineStr"/>
      <c r="W347" s="2" t="inlineStr"/>
      <c r="X347" s="2" t="inlineStr">
        <is>
          <t>Decompose only from explicit face or note evidence; never fabricate a split.</t>
        </is>
      </c>
      <c r="Y347" s="2" t="inlineStr">
        <is>
          <t>Aggregate only mutually exclusive facts with identical period, scope, currency and unit.</t>
        </is>
      </c>
      <c r="Z347" s="2" t="inlineStr">
        <is>
          <t>Bind only to Cash Flow / cf_oper_indirect.</t>
        </is>
      </c>
      <c r="AA347" s="2" t="inlineStr"/>
      <c r="AB347" s="2" t="b">
        <v>1</v>
      </c>
      <c r="AC347" s="2" t="inlineStr"/>
      <c r="AD347" s="2" t="inlineStr">
        <is>
          <t>Exact field from Cash Flow!A16; value cell B16.</t>
        </is>
      </c>
      <c r="AE347" s="2" t="inlineStr">
        <is>
          <t>Notes may support direct extraction or decomposition with provenance. Formula outputs must be derived only from template dependencies.</t>
        </is>
      </c>
      <c r="AF347" s="2" t="inlineStr"/>
      <c r="AG347" s="2" t="inlineStr">
        <is>
          <t>[]</t>
        </is>
      </c>
      <c r="AH347" s="2" t="inlineStr">
        <is>
          <t>Cash Flow Disp Fixed Assets</t>
        </is>
      </c>
      <c r="AI347" s="2" t="inlineStr"/>
      <c r="AJ347" s="2" t="inlineStr">
        <is>
          <t>{"template_sheet": "Cash Flow", "template_row": 16, "template_cell": "B16", "template_value_or_formula": 19, "calculation_type": "reported_input", "dependencies": [], "source_template": "Copy of Output_CSV Template.xlsx"}</t>
        </is>
      </c>
    </row>
    <row r="348">
      <c r="A348" s="2" t="inlineStr">
        <is>
          <t>cf_oper_indirect__cash_flow_disp_financial_assets</t>
        </is>
      </c>
      <c r="B348" s="2" t="inlineStr">
        <is>
          <t>Cash Flow Disp Financial Assets</t>
        </is>
      </c>
      <c r="C348" s="2" t="inlineStr">
        <is>
          <t>cf_oper_indirect</t>
        </is>
      </c>
      <c r="D348" s="2" t="inlineStr">
        <is>
          <t>Extract the reported value for 'Cash Flow Disp Financial Assets' from the stated section. Do not calculate or replace it from other rows, because the revised template does not designate this field as formula-driven.</t>
        </is>
      </c>
      <c r="E348" s="2" t="inlineStr">
        <is>
          <t>Cash Flow Disp Financial Assets</t>
        </is>
      </c>
      <c r="F348" s="2" t="inlineStr">
        <is>
          <t>Cash Flow Disp Financial Assets</t>
        </is>
      </c>
      <c r="G348" s="2" t="inlineStr">
        <is>
          <t>^Cash\s+Flow\s+Disp\s+Financial\s+Assets$</t>
        </is>
      </c>
      <c r="H348" s="2" t="inlineStr"/>
      <c r="I348" s="2" t="inlineStr">
        <is>
          <t>Amounts or disclosures explicitly reported for Cash Flow Disp Financial Assets in Cash Flow / cf_oper_indirect.</t>
        </is>
      </c>
      <c r="J348" s="2" t="inlineStr">
        <is>
          <t>Do not substitute another section, period, entity scope, currency or unit; do not double count a parent and its children.</t>
        </is>
      </c>
      <c r="K348" s="2" t="inlineStr"/>
      <c r="L348" s="2" t="inlineStr">
        <is>
          <t>as_reported</t>
        </is>
      </c>
      <c r="M348" s="2" t="inlineStr">
        <is>
          <t>direct_exclusive</t>
        </is>
      </c>
      <c r="N348" s="2" t="n">
        <v>90</v>
      </c>
      <c r="O348" s="2" t="inlineStr">
        <is>
          <t>normalized_exact_then_regex</t>
        </is>
      </c>
      <c r="P348" s="3" t="inlineStr">
        <is>
          <t>extract</t>
        </is>
      </c>
      <c r="Q348" s="2" t="inlineStr">
        <is>
          <t>currency_amount</t>
        </is>
      </c>
      <c r="R348" s="2" t="inlineStr">
        <is>
          <t>period_flow</t>
        </is>
      </c>
      <c r="S348" s="2" t="inlineStr">
        <is>
          <t>allowed_with_provenance</t>
        </is>
      </c>
      <c r="T348" s="2" t="b">
        <v>0</v>
      </c>
      <c r="U348" s="2" t="b">
        <v>0</v>
      </c>
      <c r="V348" s="2" t="inlineStr"/>
      <c r="W348" s="2" t="inlineStr"/>
      <c r="X348" s="2" t="inlineStr">
        <is>
          <t>Decompose only from explicit face or note evidence; never fabricate a split.</t>
        </is>
      </c>
      <c r="Y348" s="2" t="inlineStr">
        <is>
          <t>Aggregate only mutually exclusive facts with identical period, scope, currency and unit.</t>
        </is>
      </c>
      <c r="Z348" s="2" t="inlineStr">
        <is>
          <t>Bind only to Cash Flow / cf_oper_indirect.</t>
        </is>
      </c>
      <c r="AA348" s="2" t="inlineStr"/>
      <c r="AB348" s="2" t="b">
        <v>1</v>
      </c>
      <c r="AC348" s="2" t="inlineStr"/>
      <c r="AD348" s="2" t="inlineStr">
        <is>
          <t>Exact field from Cash Flow!A17; value cell B17.</t>
        </is>
      </c>
      <c r="AE348" s="2" t="inlineStr">
        <is>
          <t>Notes may support direct extraction or decomposition with provenance. Formula outputs must be derived only from template dependencies.</t>
        </is>
      </c>
      <c r="AF348" s="2" t="inlineStr"/>
      <c r="AG348" s="2" t="inlineStr">
        <is>
          <t>[]</t>
        </is>
      </c>
      <c r="AH348" s="2" t="inlineStr">
        <is>
          <t>Cash Flow Disp Financial Assets</t>
        </is>
      </c>
      <c r="AI348" s="2" t="inlineStr"/>
      <c r="AJ348" s="2" t="inlineStr">
        <is>
          <t>{"template_sheet": "Cash Flow", "template_row": 17, "template_cell": "B17", "template_value_or_formula": 36, "calculation_type": "reported_input", "dependencies": [], "source_template": "Copy of Output_CSV Template.xlsx"}</t>
        </is>
      </c>
    </row>
    <row r="349">
      <c r="A349" s="2" t="inlineStr">
        <is>
          <t>cf_oper_indirect__chg_in_trade_receivables</t>
        </is>
      </c>
      <c r="B349" s="2" t="inlineStr">
        <is>
          <t>Chg in Trade Receivables</t>
        </is>
      </c>
      <c r="C349" s="2" t="inlineStr">
        <is>
          <t>cf_oper_indirect</t>
        </is>
      </c>
      <c r="D349" s="2" t="inlineStr">
        <is>
          <t>Extract the reported value for 'Chg in Trade Receivables' from the stated section. Do not calculate or replace it from other rows, because the revised template does not designate this field as formula-driven.</t>
        </is>
      </c>
      <c r="E349" s="2" t="inlineStr">
        <is>
          <t>Chg in Trade Receivables</t>
        </is>
      </c>
      <c r="F349" s="2" t="inlineStr">
        <is>
          <t>Chg in Trade Receivables</t>
        </is>
      </c>
      <c r="G349" s="2" t="inlineStr">
        <is>
          <t>^Chg\s+in\s+Trade\s+Receivables$</t>
        </is>
      </c>
      <c r="H349" s="2" t="inlineStr"/>
      <c r="I349" s="2" t="inlineStr">
        <is>
          <t>Amounts or disclosures explicitly reported for Chg in Trade Receivables in Cash Flow / cf_oper_indirect.</t>
        </is>
      </c>
      <c r="J349" s="2" t="inlineStr">
        <is>
          <t>Do not substitute another section, period, entity scope, currency or unit; do not double count a parent and its children.</t>
        </is>
      </c>
      <c r="K349" s="2" t="inlineStr"/>
      <c r="L349" s="2" t="inlineStr">
        <is>
          <t>negative_or_contra</t>
        </is>
      </c>
      <c r="M349" s="2" t="inlineStr">
        <is>
          <t>direct_exclusive</t>
        </is>
      </c>
      <c r="N349" s="2" t="n">
        <v>90</v>
      </c>
      <c r="O349" s="2" t="inlineStr">
        <is>
          <t>normalized_exact_then_regex</t>
        </is>
      </c>
      <c r="P349" s="3" t="inlineStr">
        <is>
          <t>extract</t>
        </is>
      </c>
      <c r="Q349" s="2" t="inlineStr">
        <is>
          <t>currency_amount</t>
        </is>
      </c>
      <c r="R349" s="2" t="inlineStr">
        <is>
          <t>period_flow</t>
        </is>
      </c>
      <c r="S349" s="2" t="inlineStr">
        <is>
          <t>allowed_with_provenance</t>
        </is>
      </c>
      <c r="T349" s="2" t="b">
        <v>0</v>
      </c>
      <c r="U349" s="2" t="b">
        <v>0</v>
      </c>
      <c r="V349" s="2" t="inlineStr"/>
      <c r="W349" s="2" t="inlineStr"/>
      <c r="X349" s="2" t="inlineStr">
        <is>
          <t>Decompose only from explicit face or note evidence; never fabricate a split.</t>
        </is>
      </c>
      <c r="Y349" s="2" t="inlineStr">
        <is>
          <t>Aggregate only mutually exclusive facts with identical period, scope, currency and unit.</t>
        </is>
      </c>
      <c r="Z349" s="2" t="inlineStr">
        <is>
          <t>Bind only to Cash Flow / cf_oper_indirect.</t>
        </is>
      </c>
      <c r="AA349" s="2" t="inlineStr"/>
      <c r="AB349" s="2" t="b">
        <v>1</v>
      </c>
      <c r="AC349" s="2" t="inlineStr"/>
      <c r="AD349" s="2" t="inlineStr">
        <is>
          <t>Exact field from Cash Flow!A18; value cell B18.</t>
        </is>
      </c>
      <c r="AE349" s="2" t="inlineStr">
        <is>
          <t>Notes may support direct extraction or decomposition with provenance. Formula outputs must be derived only from template dependencies.</t>
        </is>
      </c>
      <c r="AF349" s="2" t="inlineStr"/>
      <c r="AG349" s="2" t="inlineStr">
        <is>
          <t>[]</t>
        </is>
      </c>
      <c r="AH349" s="2" t="inlineStr">
        <is>
          <t>Chg in Trade Receivables</t>
        </is>
      </c>
      <c r="AI349" s="2" t="inlineStr"/>
      <c r="AJ349" s="2" t="inlineStr">
        <is>
          <t>{"template_sheet": "Cash Flow", "template_row": 18, "template_cell": "B18", "template_value_or_formula": -10, "calculation_type": "reported_input", "dependencies": [], "source_template": "Copy of Output_CSV Template.xlsx"}</t>
        </is>
      </c>
    </row>
    <row r="350">
      <c r="A350" s="2" t="inlineStr">
        <is>
          <t>cf_oper_indirect__chg_in_other_receivables</t>
        </is>
      </c>
      <c r="B350" s="2" t="inlineStr">
        <is>
          <t>Chg in Other Receivables</t>
        </is>
      </c>
      <c r="C350" s="2" t="inlineStr">
        <is>
          <t>cf_oper_indirect</t>
        </is>
      </c>
      <c r="D350" s="2" t="inlineStr">
        <is>
          <t>Extract the reported value for 'Chg in Other Receivables' from the stated section. Do not calculate or replace it from other rows, because the revised template does not designate this field as formula-driven.</t>
        </is>
      </c>
      <c r="E350" s="2" t="inlineStr">
        <is>
          <t>Chg in Other Receivables</t>
        </is>
      </c>
      <c r="F350" s="2" t="inlineStr">
        <is>
          <t>Chg in Other Receivables</t>
        </is>
      </c>
      <c r="G350" s="2" t="inlineStr">
        <is>
          <t>^Chg\s+in\s+Other\s+Receivables$</t>
        </is>
      </c>
      <c r="H350" s="2" t="inlineStr"/>
      <c r="I350" s="2" t="inlineStr">
        <is>
          <t>Amounts or disclosures explicitly reported for Chg in Other Receivables in Cash Flow / cf_oper_indirect.</t>
        </is>
      </c>
      <c r="J350" s="2" t="inlineStr">
        <is>
          <t>Do not substitute another section, period, entity scope, currency or unit; do not double count a parent and its children.</t>
        </is>
      </c>
      <c r="K350" s="2" t="inlineStr"/>
      <c r="L350" s="2" t="inlineStr">
        <is>
          <t>negative_or_contra</t>
        </is>
      </c>
      <c r="M350" s="2" t="inlineStr">
        <is>
          <t>direct_exclusive</t>
        </is>
      </c>
      <c r="N350" s="2" t="n">
        <v>90</v>
      </c>
      <c r="O350" s="2" t="inlineStr">
        <is>
          <t>normalized_exact_then_regex</t>
        </is>
      </c>
      <c r="P350" s="3" t="inlineStr">
        <is>
          <t>extract</t>
        </is>
      </c>
      <c r="Q350" s="2" t="inlineStr">
        <is>
          <t>currency_amount</t>
        </is>
      </c>
      <c r="R350" s="2" t="inlineStr">
        <is>
          <t>period_flow</t>
        </is>
      </c>
      <c r="S350" s="2" t="inlineStr">
        <is>
          <t>allowed_with_provenance</t>
        </is>
      </c>
      <c r="T350" s="2" t="b">
        <v>0</v>
      </c>
      <c r="U350" s="2" t="b">
        <v>0</v>
      </c>
      <c r="V350" s="2" t="inlineStr"/>
      <c r="W350" s="2" t="inlineStr"/>
      <c r="X350" s="2" t="inlineStr">
        <is>
          <t>Decompose only from explicit face or note evidence; never fabricate a split.</t>
        </is>
      </c>
      <c r="Y350" s="2" t="inlineStr">
        <is>
          <t>Aggregate only mutually exclusive facts with identical period, scope, currency and unit.</t>
        </is>
      </c>
      <c r="Z350" s="2" t="inlineStr">
        <is>
          <t>Bind only to Cash Flow / cf_oper_indirect.</t>
        </is>
      </c>
      <c r="AA350" s="2" t="inlineStr"/>
      <c r="AB350" s="2" t="b">
        <v>1</v>
      </c>
      <c r="AC350" s="2" t="inlineStr"/>
      <c r="AD350" s="2" t="inlineStr">
        <is>
          <t>Exact field from Cash Flow!A19; value cell B19.</t>
        </is>
      </c>
      <c r="AE350" s="2" t="inlineStr">
        <is>
          <t>Notes may support direct extraction or decomposition with provenance. Formula outputs must be derived only from template dependencies.</t>
        </is>
      </c>
      <c r="AF350" s="2" t="inlineStr"/>
      <c r="AG350" s="2" t="inlineStr">
        <is>
          <t>[]</t>
        </is>
      </c>
      <c r="AH350" s="2" t="inlineStr">
        <is>
          <t>Chg in Other Receivables</t>
        </is>
      </c>
      <c r="AI350" s="2" t="inlineStr"/>
      <c r="AJ350" s="2" t="inlineStr">
        <is>
          <t>{"template_sheet": "Cash Flow", "template_row": 19, "template_cell": "B19", "template_value_or_formula": 27, "calculation_type": "reported_input", "dependencies": [], "source_template": "Copy of Output_CSV Template.xlsx"}</t>
        </is>
      </c>
    </row>
    <row r="351">
      <c r="A351" s="2" t="inlineStr">
        <is>
          <t>cf_oper_indirect__chg_in_inventories</t>
        </is>
      </c>
      <c r="B351" s="2" t="inlineStr">
        <is>
          <t>Chg in Inventories</t>
        </is>
      </c>
      <c r="C351" s="2" t="inlineStr">
        <is>
          <t>cf_oper_indirect</t>
        </is>
      </c>
      <c r="D351" s="2" t="inlineStr">
        <is>
          <t>Extract the reported value for 'Chg in Inventories' from the stated section. Do not calculate or replace it from other rows, because the revised template does not designate this field as formula-driven.</t>
        </is>
      </c>
      <c r="E351" s="2" t="inlineStr">
        <is>
          <t>Chg in Inventories</t>
        </is>
      </c>
      <c r="F351" s="2" t="inlineStr">
        <is>
          <t>Chg in Inventories</t>
        </is>
      </c>
      <c r="G351" s="2" t="inlineStr">
        <is>
          <t>^Chg\s+in\s+Inventories$</t>
        </is>
      </c>
      <c r="H351" s="2" t="inlineStr"/>
      <c r="I351" s="2" t="inlineStr">
        <is>
          <t>Amounts or disclosures explicitly reported for Chg in Inventories in Cash Flow / cf_oper_indirect.</t>
        </is>
      </c>
      <c r="J351" s="2" t="inlineStr">
        <is>
          <t>Do not substitute another section, period, entity scope, currency or unit; do not double count a parent and its children.</t>
        </is>
      </c>
      <c r="K351" s="2" t="inlineStr"/>
      <c r="L351" s="2" t="inlineStr">
        <is>
          <t>negative_or_contra</t>
        </is>
      </c>
      <c r="M351" s="2" t="inlineStr">
        <is>
          <t>direct_exclusive</t>
        </is>
      </c>
      <c r="N351" s="2" t="n">
        <v>90</v>
      </c>
      <c r="O351" s="2" t="inlineStr">
        <is>
          <t>normalized_exact_then_regex</t>
        </is>
      </c>
      <c r="P351" s="3" t="inlineStr">
        <is>
          <t>extract</t>
        </is>
      </c>
      <c r="Q351" s="2" t="inlineStr">
        <is>
          <t>currency_amount</t>
        </is>
      </c>
      <c r="R351" s="2" t="inlineStr">
        <is>
          <t>period_flow</t>
        </is>
      </c>
      <c r="S351" s="2" t="inlineStr">
        <is>
          <t>allowed_with_provenance</t>
        </is>
      </c>
      <c r="T351" s="2" t="b">
        <v>0</v>
      </c>
      <c r="U351" s="2" t="b">
        <v>0</v>
      </c>
      <c r="V351" s="2" t="inlineStr"/>
      <c r="W351" s="2" t="inlineStr"/>
      <c r="X351" s="2" t="inlineStr">
        <is>
          <t>Decompose only from explicit face or note evidence; never fabricate a split.</t>
        </is>
      </c>
      <c r="Y351" s="2" t="inlineStr">
        <is>
          <t>Aggregate only mutually exclusive facts with identical period, scope, currency and unit.</t>
        </is>
      </c>
      <c r="Z351" s="2" t="inlineStr">
        <is>
          <t>Bind only to Cash Flow / cf_oper_indirect.</t>
        </is>
      </c>
      <c r="AA351" s="2" t="inlineStr"/>
      <c r="AB351" s="2" t="b">
        <v>1</v>
      </c>
      <c r="AC351" s="2" t="inlineStr"/>
      <c r="AD351" s="2" t="inlineStr">
        <is>
          <t>Exact field from Cash Flow!A20; value cell B20.</t>
        </is>
      </c>
      <c r="AE351" s="2" t="inlineStr">
        <is>
          <t>Notes may support direct extraction or decomposition with provenance. Formula outputs must be derived only from template dependencies.</t>
        </is>
      </c>
      <c r="AF351" s="2" t="inlineStr"/>
      <c r="AG351" s="2" t="inlineStr">
        <is>
          <t>[]</t>
        </is>
      </c>
      <c r="AH351" s="2" t="inlineStr">
        <is>
          <t>Chg in Inventories</t>
        </is>
      </c>
      <c r="AI351" s="2" t="inlineStr"/>
      <c r="AJ351" s="2" t="inlineStr">
        <is>
          <t>{"template_sheet": "Cash Flow", "template_row": 20, "template_cell": "B20", "template_value_or_formula": 44, "calculation_type": "reported_input", "dependencies": [], "source_template": "Copy of Output_CSV Template.xlsx"}</t>
        </is>
      </c>
    </row>
    <row r="352">
      <c r="A352" s="2" t="inlineStr">
        <is>
          <t>cf_oper_indirect__chg_in_prepayments_and_def_assets</t>
        </is>
      </c>
      <c r="B352" s="2" t="inlineStr">
        <is>
          <t>Chg in Prepayments &amp; Def Assets</t>
        </is>
      </c>
      <c r="C352" s="2" t="inlineStr">
        <is>
          <t>cf_oper_indirect</t>
        </is>
      </c>
      <c r="D352" s="2" t="inlineStr">
        <is>
          <t>Extract the reported value for 'Chg in Prepayments &amp; Def Assets' from the stated section. Do not calculate or replace it from other rows, because the revised template does not designate this field as formula-driven.</t>
        </is>
      </c>
      <c r="E352" s="2" t="inlineStr">
        <is>
          <t>Chg in Prepayments &amp; Def Assets</t>
        </is>
      </c>
      <c r="F352" s="2" t="inlineStr">
        <is>
          <t>Chg in Prepayments &amp; Def Assets</t>
        </is>
      </c>
      <c r="G352" s="2" t="inlineStr">
        <is>
          <t>^Chg\s+in\s+Prepayments\s+\&amp;\s+Def\s+Assets$</t>
        </is>
      </c>
      <c r="H352" s="2" t="inlineStr"/>
      <c r="I352" s="2" t="inlineStr">
        <is>
          <t>Amounts or disclosures explicitly reported for Chg in Prepayments &amp; Def Assets in Cash Flow / cf_oper_indirect.</t>
        </is>
      </c>
      <c r="J352" s="2" t="inlineStr">
        <is>
          <t>Do not substitute another section, period, entity scope, currency or unit; do not double count a parent and its children.</t>
        </is>
      </c>
      <c r="K352" s="2" t="inlineStr"/>
      <c r="L352" s="2" t="inlineStr">
        <is>
          <t>negative_or_contra</t>
        </is>
      </c>
      <c r="M352" s="2" t="inlineStr">
        <is>
          <t>direct_exclusive</t>
        </is>
      </c>
      <c r="N352" s="2" t="n">
        <v>90</v>
      </c>
      <c r="O352" s="2" t="inlineStr">
        <is>
          <t>normalized_exact_then_regex</t>
        </is>
      </c>
      <c r="P352" s="3" t="inlineStr">
        <is>
          <t>extract</t>
        </is>
      </c>
      <c r="Q352" s="2" t="inlineStr">
        <is>
          <t>currency_amount</t>
        </is>
      </c>
      <c r="R352" s="2" t="inlineStr">
        <is>
          <t>period_flow</t>
        </is>
      </c>
      <c r="S352" s="2" t="inlineStr">
        <is>
          <t>allowed_with_provenance</t>
        </is>
      </c>
      <c r="T352" s="2" t="b">
        <v>0</v>
      </c>
      <c r="U352" s="2" t="b">
        <v>0</v>
      </c>
      <c r="V352" s="2" t="inlineStr"/>
      <c r="W352" s="2" t="inlineStr"/>
      <c r="X352" s="2" t="inlineStr">
        <is>
          <t>Decompose only from explicit face or note evidence; never fabricate a split.</t>
        </is>
      </c>
      <c r="Y352" s="2" t="inlineStr">
        <is>
          <t>Aggregate only mutually exclusive facts with identical period, scope, currency and unit.</t>
        </is>
      </c>
      <c r="Z352" s="2" t="inlineStr">
        <is>
          <t>Bind only to Cash Flow / cf_oper_indirect.</t>
        </is>
      </c>
      <c r="AA352" s="2" t="inlineStr"/>
      <c r="AB352" s="2" t="b">
        <v>1</v>
      </c>
      <c r="AC352" s="2" t="inlineStr"/>
      <c r="AD352" s="2" t="inlineStr">
        <is>
          <t>Exact field from Cash Flow!A21; value cell B21.</t>
        </is>
      </c>
      <c r="AE352" s="2" t="inlineStr">
        <is>
          <t>Notes may support direct extraction or decomposition with provenance. Formula outputs must be derived only from template dependencies.</t>
        </is>
      </c>
      <c r="AF352" s="2" t="inlineStr"/>
      <c r="AG352" s="2" t="inlineStr">
        <is>
          <t>[]</t>
        </is>
      </c>
      <c r="AH352" s="2" t="inlineStr">
        <is>
          <t>Chg in Prepayments &amp; Def Assets</t>
        </is>
      </c>
      <c r="AI352" s="2" t="inlineStr"/>
      <c r="AJ352" s="2" t="inlineStr">
        <is>
          <t>{"template_sheet": "Cash Flow", "template_row": 21, "template_cell": "B21", "template_value_or_formula": -18, "calculation_type": "reported_input", "dependencies": [], "source_template": "Copy of Output_CSV Template.xlsx"}</t>
        </is>
      </c>
    </row>
    <row r="353">
      <c r="A353" s="2" t="inlineStr">
        <is>
          <t>cf_oper_indirect__chg_in_fncl_instruments_trading</t>
        </is>
      </c>
      <c r="B353" s="2" t="inlineStr">
        <is>
          <t>Chg in Fncl Instruments(Trading)</t>
        </is>
      </c>
      <c r="C353" s="2" t="inlineStr">
        <is>
          <t>cf_oper_indirect</t>
        </is>
      </c>
      <c r="D353" s="2" t="inlineStr">
        <is>
          <t>Extract the reported value for 'Chg in Fncl Instruments(Trading)' from the stated section. Do not calculate or replace it from other rows, because the revised template does not designate this field as formula-driven.</t>
        </is>
      </c>
      <c r="E353" s="2" t="inlineStr">
        <is>
          <t>Chg in Fncl Instruments(Trading)</t>
        </is>
      </c>
      <c r="F353" s="2" t="inlineStr">
        <is>
          <t>Chg in Fncl Instruments(Trading)</t>
        </is>
      </c>
      <c r="G353" s="2" t="inlineStr">
        <is>
          <t>^Chg\s+in\s+Fncl\s+Instruments\(Trading\)$</t>
        </is>
      </c>
      <c r="H353" s="2" t="inlineStr"/>
      <c r="I353" s="2" t="inlineStr">
        <is>
          <t>Amounts or disclosures explicitly reported for Chg in Fncl Instruments(Trading) in Cash Flow / cf_oper_indirect.</t>
        </is>
      </c>
      <c r="J353" s="2" t="inlineStr">
        <is>
          <t>Do not substitute another section, period, entity scope, currency or unit; do not double count a parent and its children.</t>
        </is>
      </c>
      <c r="K353" s="2" t="inlineStr"/>
      <c r="L353" s="2" t="inlineStr">
        <is>
          <t>negative_or_contra</t>
        </is>
      </c>
      <c r="M353" s="2" t="inlineStr">
        <is>
          <t>direct_exclusive</t>
        </is>
      </c>
      <c r="N353" s="2" t="n">
        <v>90</v>
      </c>
      <c r="O353" s="2" t="inlineStr">
        <is>
          <t>normalized_exact_then_regex</t>
        </is>
      </c>
      <c r="P353" s="3" t="inlineStr">
        <is>
          <t>extract</t>
        </is>
      </c>
      <c r="Q353" s="2" t="inlineStr">
        <is>
          <t>currency_amount</t>
        </is>
      </c>
      <c r="R353" s="2" t="inlineStr">
        <is>
          <t>period_flow</t>
        </is>
      </c>
      <c r="S353" s="2" t="inlineStr">
        <is>
          <t>allowed_with_provenance</t>
        </is>
      </c>
      <c r="T353" s="2" t="b">
        <v>0</v>
      </c>
      <c r="U353" s="2" t="b">
        <v>0</v>
      </c>
      <c r="V353" s="2" t="inlineStr"/>
      <c r="W353" s="2" t="inlineStr"/>
      <c r="X353" s="2" t="inlineStr">
        <is>
          <t>Decompose only from explicit face or note evidence; never fabricate a split.</t>
        </is>
      </c>
      <c r="Y353" s="2" t="inlineStr">
        <is>
          <t>Aggregate only mutually exclusive facts with identical period, scope, currency and unit.</t>
        </is>
      </c>
      <c r="Z353" s="2" t="inlineStr">
        <is>
          <t>Bind only to Cash Flow / cf_oper_indirect.</t>
        </is>
      </c>
      <c r="AA353" s="2" t="inlineStr"/>
      <c r="AB353" s="2" t="b">
        <v>1</v>
      </c>
      <c r="AC353" s="2" t="inlineStr"/>
      <c r="AD353" s="2" t="inlineStr">
        <is>
          <t>Exact field from Cash Flow!A22; value cell B22.</t>
        </is>
      </c>
      <c r="AE353" s="2" t="inlineStr">
        <is>
          <t>Notes may support direct extraction or decomposition with provenance. Formula outputs must be derived only from template dependencies.</t>
        </is>
      </c>
      <c r="AF353" s="2" t="inlineStr"/>
      <c r="AG353" s="2" t="inlineStr">
        <is>
          <t>[]</t>
        </is>
      </c>
      <c r="AH353" s="2" t="inlineStr">
        <is>
          <t>Chg in Fncl Instruments(Trading)</t>
        </is>
      </c>
      <c r="AI353" s="2" t="inlineStr"/>
      <c r="AJ353" s="2" t="inlineStr">
        <is>
          <t>{"template_sheet": "Cash Flow", "template_row": 22, "template_cell": "B22", "template_value_or_formula": 35, "calculation_type": "reported_input", "dependencies": [], "source_template": "Copy of Output_CSV Template.xlsx"}</t>
        </is>
      </c>
    </row>
    <row r="354">
      <c r="A354" s="2" t="inlineStr">
        <is>
          <t>cf_oper_indirect__chg_in_other_current_assets</t>
        </is>
      </c>
      <c r="B354" s="2" t="inlineStr">
        <is>
          <t>Chg in Other Current Assets</t>
        </is>
      </c>
      <c r="C354" s="2" t="inlineStr">
        <is>
          <t>cf_oper_indirect</t>
        </is>
      </c>
      <c r="D354" s="2" t="inlineStr">
        <is>
          <t>Extract the reported value for 'Chg in Other Current Assets' from the stated section. Do not calculate or replace it from other rows, because the revised template does not designate this field as formula-driven.</t>
        </is>
      </c>
      <c r="E354" s="2" t="inlineStr">
        <is>
          <t>Chg in Other Current Assets</t>
        </is>
      </c>
      <c r="F354" s="2" t="inlineStr">
        <is>
          <t>Chg in Other Current Assets</t>
        </is>
      </c>
      <c r="G354" s="2" t="inlineStr">
        <is>
          <t>^Chg\s+in\s+Other\s+Current\s+Assets$</t>
        </is>
      </c>
      <c r="H354" s="2" t="inlineStr"/>
      <c r="I354" s="2" t="inlineStr">
        <is>
          <t>Amounts or disclosures explicitly reported for Chg in Other Current Assets in Cash Flow / cf_oper_indirect.</t>
        </is>
      </c>
      <c r="J354" s="2" t="inlineStr">
        <is>
          <t>Do not substitute another section, period, entity scope, currency or unit; do not double count a parent and its children.</t>
        </is>
      </c>
      <c r="K354" s="2" t="inlineStr"/>
      <c r="L354" s="2" t="inlineStr">
        <is>
          <t>negative_or_contra</t>
        </is>
      </c>
      <c r="M354" s="2" t="inlineStr">
        <is>
          <t>direct_exclusive</t>
        </is>
      </c>
      <c r="N354" s="2" t="n">
        <v>90</v>
      </c>
      <c r="O354" s="2" t="inlineStr">
        <is>
          <t>normalized_exact_then_regex</t>
        </is>
      </c>
      <c r="P354" s="3" t="inlineStr">
        <is>
          <t>extract</t>
        </is>
      </c>
      <c r="Q354" s="2" t="inlineStr">
        <is>
          <t>currency_amount</t>
        </is>
      </c>
      <c r="R354" s="2" t="inlineStr">
        <is>
          <t>period_flow</t>
        </is>
      </c>
      <c r="S354" s="2" t="inlineStr">
        <is>
          <t>allowed_with_provenance</t>
        </is>
      </c>
      <c r="T354" s="2" t="b">
        <v>0</v>
      </c>
      <c r="U354" s="2" t="b">
        <v>0</v>
      </c>
      <c r="V354" s="2" t="inlineStr"/>
      <c r="W354" s="2" t="inlineStr"/>
      <c r="X354" s="2" t="inlineStr">
        <is>
          <t>Decompose only from explicit face or note evidence; never fabricate a split.</t>
        </is>
      </c>
      <c r="Y354" s="2" t="inlineStr">
        <is>
          <t>Aggregate only mutually exclusive facts with identical period, scope, currency and unit.</t>
        </is>
      </c>
      <c r="Z354" s="2" t="inlineStr">
        <is>
          <t>Bind only to Cash Flow / cf_oper_indirect.</t>
        </is>
      </c>
      <c r="AA354" s="2" t="inlineStr"/>
      <c r="AB354" s="2" t="b">
        <v>1</v>
      </c>
      <c r="AC354" s="2" t="inlineStr"/>
      <c r="AD354" s="2" t="inlineStr">
        <is>
          <t>Exact field from Cash Flow!A23; value cell B23.</t>
        </is>
      </c>
      <c r="AE354" s="2" t="inlineStr">
        <is>
          <t>Notes may support direct extraction or decomposition with provenance. Formula outputs must be derived only from template dependencies.</t>
        </is>
      </c>
      <c r="AF354" s="2" t="inlineStr"/>
      <c r="AG354" s="2" t="inlineStr">
        <is>
          <t>[]</t>
        </is>
      </c>
      <c r="AH354" s="2" t="inlineStr">
        <is>
          <t>Chg in Other Current Assets</t>
        </is>
      </c>
      <c r="AI354" s="2" t="inlineStr"/>
      <c r="AJ354" s="2" t="inlineStr">
        <is>
          <t>{"template_sheet": "Cash Flow", "template_row": 23, "template_cell": "B23", "template_value_or_formula": 9, "calculation_type": "reported_input", "dependencies": [], "source_template": "Copy of Output_CSV Template.xlsx"}</t>
        </is>
      </c>
    </row>
    <row r="355">
      <c r="A355" s="2" t="inlineStr">
        <is>
          <t>cf_oper_indirect__chg_in_trade_payables</t>
        </is>
      </c>
      <c r="B355" s="2" t="inlineStr">
        <is>
          <t>Chg in Trade Payables</t>
        </is>
      </c>
      <c r="C355" s="2" t="inlineStr">
        <is>
          <t>cf_oper_indirect</t>
        </is>
      </c>
      <c r="D355" s="2" t="inlineStr">
        <is>
          <t>Extract the reported value for 'Chg in Trade Payables' from the stated section. Do not calculate or replace it from other rows, because the revised template does not designate this field as formula-driven.</t>
        </is>
      </c>
      <c r="E355" s="2" t="inlineStr">
        <is>
          <t>Chg in Trade Payables</t>
        </is>
      </c>
      <c r="F355" s="2" t="inlineStr">
        <is>
          <t>Chg in Trade Payables</t>
        </is>
      </c>
      <c r="G355" s="2" t="inlineStr">
        <is>
          <t>^Chg\s+in\s+Trade\s+Payables$</t>
        </is>
      </c>
      <c r="H355" s="2" t="inlineStr"/>
      <c r="I355" s="2" t="inlineStr">
        <is>
          <t>Amounts or disclosures explicitly reported for Chg in Trade Payables in Cash Flow / cf_oper_indirect.</t>
        </is>
      </c>
      <c r="J355" s="2" t="inlineStr">
        <is>
          <t>Do not substitute another section, period, entity scope, currency or unit; do not double count a parent and its children.</t>
        </is>
      </c>
      <c r="K355" s="2" t="inlineStr"/>
      <c r="L355" s="2" t="inlineStr">
        <is>
          <t>negative_or_contra</t>
        </is>
      </c>
      <c r="M355" s="2" t="inlineStr">
        <is>
          <t>direct_exclusive</t>
        </is>
      </c>
      <c r="N355" s="2" t="n">
        <v>90</v>
      </c>
      <c r="O355" s="2" t="inlineStr">
        <is>
          <t>normalized_exact_then_regex</t>
        </is>
      </c>
      <c r="P355" s="3" t="inlineStr">
        <is>
          <t>extract</t>
        </is>
      </c>
      <c r="Q355" s="2" t="inlineStr">
        <is>
          <t>currency_amount</t>
        </is>
      </c>
      <c r="R355" s="2" t="inlineStr">
        <is>
          <t>period_flow</t>
        </is>
      </c>
      <c r="S355" s="2" t="inlineStr">
        <is>
          <t>allowed_with_provenance</t>
        </is>
      </c>
      <c r="T355" s="2" t="b">
        <v>0</v>
      </c>
      <c r="U355" s="2" t="b">
        <v>0</v>
      </c>
      <c r="V355" s="2" t="inlineStr"/>
      <c r="W355" s="2" t="inlineStr"/>
      <c r="X355" s="2" t="inlineStr">
        <is>
          <t>Decompose only from explicit face or note evidence; never fabricate a split.</t>
        </is>
      </c>
      <c r="Y355" s="2" t="inlineStr">
        <is>
          <t>Aggregate only mutually exclusive facts with identical period, scope, currency and unit.</t>
        </is>
      </c>
      <c r="Z355" s="2" t="inlineStr">
        <is>
          <t>Bind only to Cash Flow / cf_oper_indirect.</t>
        </is>
      </c>
      <c r="AA355" s="2" t="inlineStr"/>
      <c r="AB355" s="2" t="b">
        <v>1</v>
      </c>
      <c r="AC355" s="2" t="inlineStr"/>
      <c r="AD355" s="2" t="inlineStr">
        <is>
          <t>Exact field from Cash Flow!A24; value cell B24.</t>
        </is>
      </c>
      <c r="AE355" s="2" t="inlineStr">
        <is>
          <t>Notes may support direct extraction or decomposition with provenance. Formula outputs must be derived only from template dependencies.</t>
        </is>
      </c>
      <c r="AF355" s="2" t="inlineStr"/>
      <c r="AG355" s="2" t="inlineStr">
        <is>
          <t>[]</t>
        </is>
      </c>
      <c r="AH355" s="2" t="inlineStr">
        <is>
          <t>Chg in Trade Payables</t>
        </is>
      </c>
      <c r="AI355" s="2" t="inlineStr"/>
      <c r="AJ355" s="2" t="inlineStr">
        <is>
          <t>{"template_sheet": "Cash Flow", "template_row": 24, "template_cell": "B24", "template_value_or_formula": -26, "calculation_type": "reported_input", "dependencies": [], "source_template": "Copy of Output_CSV Template.xlsx"}</t>
        </is>
      </c>
    </row>
    <row r="356">
      <c r="A356" s="2" t="inlineStr">
        <is>
          <t>cf_oper_indirect__chg_in_provisions</t>
        </is>
      </c>
      <c r="B356" s="2" t="inlineStr">
        <is>
          <t>Chg in Provisions</t>
        </is>
      </c>
      <c r="C356" s="2" t="inlineStr">
        <is>
          <t>cf_oper_indirect</t>
        </is>
      </c>
      <c r="D356" s="2" t="inlineStr">
        <is>
          <t>Extract the reported value for 'Chg in Provisions' from the stated section. Do not calculate or replace it from other rows, because the revised template does not designate this field as formula-driven.</t>
        </is>
      </c>
      <c r="E356" s="2" t="inlineStr">
        <is>
          <t>Chg in Provisions</t>
        </is>
      </c>
      <c r="F356" s="2" t="inlineStr">
        <is>
          <t>Chg in Provisions</t>
        </is>
      </c>
      <c r="G356" s="2" t="inlineStr">
        <is>
          <t>^Chg\s+in\s+Provisions$</t>
        </is>
      </c>
      <c r="H356" s="2" t="inlineStr"/>
      <c r="I356" s="2" t="inlineStr">
        <is>
          <t>Amounts or disclosures explicitly reported for Chg in Provisions in Cash Flow / cf_oper_indirect.</t>
        </is>
      </c>
      <c r="J356" s="2" t="inlineStr">
        <is>
          <t>Do not substitute another section, period, entity scope, currency or unit; do not double count a parent and its children.</t>
        </is>
      </c>
      <c r="K356" s="2" t="inlineStr"/>
      <c r="L356" s="2" t="inlineStr">
        <is>
          <t>negative_or_contra</t>
        </is>
      </c>
      <c r="M356" s="2" t="inlineStr">
        <is>
          <t>direct_exclusive</t>
        </is>
      </c>
      <c r="N356" s="2" t="n">
        <v>90</v>
      </c>
      <c r="O356" s="2" t="inlineStr">
        <is>
          <t>normalized_exact_then_regex</t>
        </is>
      </c>
      <c r="P356" s="3" t="inlineStr">
        <is>
          <t>extract</t>
        </is>
      </c>
      <c r="Q356" s="2" t="inlineStr">
        <is>
          <t>currency_amount</t>
        </is>
      </c>
      <c r="R356" s="2" t="inlineStr">
        <is>
          <t>period_flow</t>
        </is>
      </c>
      <c r="S356" s="2" t="inlineStr">
        <is>
          <t>allowed_with_provenance</t>
        </is>
      </c>
      <c r="T356" s="2" t="b">
        <v>0</v>
      </c>
      <c r="U356" s="2" t="b">
        <v>0</v>
      </c>
      <c r="V356" s="2" t="inlineStr"/>
      <c r="W356" s="2" t="inlineStr"/>
      <c r="X356" s="2" t="inlineStr">
        <is>
          <t>Decompose only from explicit face or note evidence; never fabricate a split.</t>
        </is>
      </c>
      <c r="Y356" s="2" t="inlineStr">
        <is>
          <t>Aggregate only mutually exclusive facts with identical period, scope, currency and unit.</t>
        </is>
      </c>
      <c r="Z356" s="2" t="inlineStr">
        <is>
          <t>Bind only to Cash Flow / cf_oper_indirect.</t>
        </is>
      </c>
      <c r="AA356" s="2" t="inlineStr"/>
      <c r="AB356" s="2" t="b">
        <v>1</v>
      </c>
      <c r="AC356" s="2" t="inlineStr"/>
      <c r="AD356" s="2" t="inlineStr">
        <is>
          <t>Exact field from Cash Flow!A25; value cell B25.</t>
        </is>
      </c>
      <c r="AE356" s="2" t="inlineStr">
        <is>
          <t>Notes may support direct extraction or decomposition with provenance. Formula outputs must be derived only from template dependencies.</t>
        </is>
      </c>
      <c r="AF356" s="2" t="inlineStr"/>
      <c r="AG356" s="2" t="inlineStr">
        <is>
          <t>[]</t>
        </is>
      </c>
      <c r="AH356" s="2" t="inlineStr">
        <is>
          <t>Chg in Provisions</t>
        </is>
      </c>
      <c r="AI356" s="2" t="inlineStr"/>
      <c r="AJ356" s="2" t="inlineStr">
        <is>
          <t>{"template_sheet": "Cash Flow", "template_row": 25, "template_cell": "B25", "template_value_or_formula": 43, "calculation_type": "reported_input", "dependencies": [], "source_template": "Copy of Output_CSV Template.xlsx"}</t>
        </is>
      </c>
    </row>
    <row r="357">
      <c r="A357" s="2" t="inlineStr">
        <is>
          <t>cf_oper_indirect__chg_in_post_employ_bnft_oblig</t>
        </is>
      </c>
      <c r="B357" s="2" t="inlineStr">
        <is>
          <t>Chg in Post Employ Bnft Oblig</t>
        </is>
      </c>
      <c r="C357" s="2" t="inlineStr">
        <is>
          <t>cf_oper_indirect</t>
        </is>
      </c>
      <c r="D357" s="2" t="inlineStr">
        <is>
          <t>Extract the reported value for 'Chg in Post Employ Bnft Oblig' from the stated section. Do not calculate or replace it from other rows, because the revised template does not designate this field as formula-driven.</t>
        </is>
      </c>
      <c r="E357" s="2" t="inlineStr">
        <is>
          <t>Chg in Post Employ Bnft Oblig</t>
        </is>
      </c>
      <c r="F357" s="2" t="inlineStr">
        <is>
          <t>Chg in Post Employ Bnft Oblig</t>
        </is>
      </c>
      <c r="G357" s="2" t="inlineStr">
        <is>
          <t>^Chg\s+in\s+Post\s+Employ\s+Bnft\s+Oblig$</t>
        </is>
      </c>
      <c r="H357" s="2" t="inlineStr"/>
      <c r="I357" s="2" t="inlineStr">
        <is>
          <t>Amounts or disclosures explicitly reported for Chg in Post Employ Bnft Oblig in Cash Flow / cf_oper_indirect.</t>
        </is>
      </c>
      <c r="J357" s="2" t="inlineStr">
        <is>
          <t>Do not substitute another section, period, entity scope, currency or unit; do not double count a parent and its children.</t>
        </is>
      </c>
      <c r="K357" s="2" t="inlineStr"/>
      <c r="L357" s="2" t="inlineStr">
        <is>
          <t>negative_or_contra</t>
        </is>
      </c>
      <c r="M357" s="2" t="inlineStr">
        <is>
          <t>direct_exclusive</t>
        </is>
      </c>
      <c r="N357" s="2" t="n">
        <v>90</v>
      </c>
      <c r="O357" s="2" t="inlineStr">
        <is>
          <t>normalized_exact_then_regex</t>
        </is>
      </c>
      <c r="P357" s="3" t="inlineStr">
        <is>
          <t>extract</t>
        </is>
      </c>
      <c r="Q357" s="2" t="inlineStr">
        <is>
          <t>currency_amount</t>
        </is>
      </c>
      <c r="R357" s="2" t="inlineStr">
        <is>
          <t>period_flow</t>
        </is>
      </c>
      <c r="S357" s="2" t="inlineStr">
        <is>
          <t>allowed_with_provenance</t>
        </is>
      </c>
      <c r="T357" s="2" t="b">
        <v>0</v>
      </c>
      <c r="U357" s="2" t="b">
        <v>0</v>
      </c>
      <c r="V357" s="2" t="inlineStr"/>
      <c r="W357" s="2" t="inlineStr"/>
      <c r="X357" s="2" t="inlineStr">
        <is>
          <t>Decompose only from explicit face or note evidence; never fabricate a split.</t>
        </is>
      </c>
      <c r="Y357" s="2" t="inlineStr">
        <is>
          <t>Aggregate only mutually exclusive facts with identical period, scope, currency and unit.</t>
        </is>
      </c>
      <c r="Z357" s="2" t="inlineStr">
        <is>
          <t>Bind only to Cash Flow / cf_oper_indirect.</t>
        </is>
      </c>
      <c r="AA357" s="2" t="inlineStr"/>
      <c r="AB357" s="2" t="b">
        <v>1</v>
      </c>
      <c r="AC357" s="2" t="inlineStr"/>
      <c r="AD357" s="2" t="inlineStr">
        <is>
          <t>Exact field from Cash Flow!A26; value cell B26.</t>
        </is>
      </c>
      <c r="AE357" s="2" t="inlineStr">
        <is>
          <t>Notes may support direct extraction or decomposition with provenance. Formula outputs must be derived only from template dependencies.</t>
        </is>
      </c>
      <c r="AF357" s="2" t="inlineStr"/>
      <c r="AG357" s="2" t="inlineStr">
        <is>
          <t>[]</t>
        </is>
      </c>
      <c r="AH357" s="2" t="inlineStr">
        <is>
          <t>Chg in Post Employ Bnft Oblig</t>
        </is>
      </c>
      <c r="AI357" s="2" t="inlineStr"/>
      <c r="AJ357" s="2" t="inlineStr">
        <is>
          <t>{"template_sheet": "Cash Flow", "template_row": 26, "template_cell": "B26", "template_value_or_formula": 17, "calculation_type": "reported_input", "dependencies": [], "source_template": "Copy of Output_CSV Template.xlsx"}</t>
        </is>
      </c>
    </row>
    <row r="358">
      <c r="A358" s="2" t="inlineStr">
        <is>
          <t>cf_oper_indirect__chg_in_other_current_liab</t>
        </is>
      </c>
      <c r="B358" s="2" t="inlineStr">
        <is>
          <t>Chg in Other Current Liab</t>
        </is>
      </c>
      <c r="C358" s="2" t="inlineStr">
        <is>
          <t>cf_oper_indirect</t>
        </is>
      </c>
      <c r="D358" s="2" t="inlineStr">
        <is>
          <t>Extract the reported value for 'Chg in Other Current Liab' from the stated section. Do not calculate or replace it from other rows, because the revised template does not designate this field as formula-driven.</t>
        </is>
      </c>
      <c r="E358" s="2" t="inlineStr">
        <is>
          <t>Chg in Other Current Liab</t>
        </is>
      </c>
      <c r="F358" s="2" t="inlineStr">
        <is>
          <t>Chg in Other Current Liab</t>
        </is>
      </c>
      <c r="G358" s="2" t="inlineStr">
        <is>
          <t>^Chg\s+in\s+Other\s+Current\s+Liab$</t>
        </is>
      </c>
      <c r="H358" s="2" t="inlineStr"/>
      <c r="I358" s="2" t="inlineStr">
        <is>
          <t>Amounts or disclosures explicitly reported for Chg in Other Current Liab in Cash Flow / cf_oper_indirect.</t>
        </is>
      </c>
      <c r="J358" s="2" t="inlineStr">
        <is>
          <t>Do not substitute another section, period, entity scope, currency or unit; do not double count a parent and its children.</t>
        </is>
      </c>
      <c r="K358" s="2" t="inlineStr"/>
      <c r="L358" s="2" t="inlineStr">
        <is>
          <t>negative_or_contra</t>
        </is>
      </c>
      <c r="M358" s="2" t="inlineStr">
        <is>
          <t>direct_exclusive</t>
        </is>
      </c>
      <c r="N358" s="2" t="n">
        <v>90</v>
      </c>
      <c r="O358" s="2" t="inlineStr">
        <is>
          <t>normalized_exact_then_regex</t>
        </is>
      </c>
      <c r="P358" s="3" t="inlineStr">
        <is>
          <t>extract</t>
        </is>
      </c>
      <c r="Q358" s="2" t="inlineStr">
        <is>
          <t>currency_amount</t>
        </is>
      </c>
      <c r="R358" s="2" t="inlineStr">
        <is>
          <t>period_flow</t>
        </is>
      </c>
      <c r="S358" s="2" t="inlineStr">
        <is>
          <t>allowed_with_provenance</t>
        </is>
      </c>
      <c r="T358" s="2" t="b">
        <v>0</v>
      </c>
      <c r="U358" s="2" t="b">
        <v>0</v>
      </c>
      <c r="V358" s="2" t="inlineStr"/>
      <c r="W358" s="2" t="inlineStr"/>
      <c r="X358" s="2" t="inlineStr">
        <is>
          <t>Decompose only from explicit face or note evidence; never fabricate a split.</t>
        </is>
      </c>
      <c r="Y358" s="2" t="inlineStr">
        <is>
          <t>Aggregate only mutually exclusive facts with identical period, scope, currency and unit.</t>
        </is>
      </c>
      <c r="Z358" s="2" t="inlineStr">
        <is>
          <t>Bind only to Cash Flow / cf_oper_indirect.</t>
        </is>
      </c>
      <c r="AA358" s="2" t="inlineStr"/>
      <c r="AB358" s="2" t="b">
        <v>1</v>
      </c>
      <c r="AC358" s="2" t="inlineStr"/>
      <c r="AD358" s="2" t="inlineStr">
        <is>
          <t>Exact field from Cash Flow!A27; value cell B27.</t>
        </is>
      </c>
      <c r="AE358" s="2" t="inlineStr">
        <is>
          <t>Notes may support direct extraction or decomposition with provenance. Formula outputs must be derived only from template dependencies.</t>
        </is>
      </c>
      <c r="AF358" s="2" t="inlineStr"/>
      <c r="AG358" s="2" t="inlineStr">
        <is>
          <t>[]</t>
        </is>
      </c>
      <c r="AH358" s="2" t="inlineStr">
        <is>
          <t>Chg in Other Current Liab</t>
        </is>
      </c>
      <c r="AI358" s="2" t="inlineStr"/>
      <c r="AJ358" s="2" t="inlineStr">
        <is>
          <t>{"template_sheet": "Cash Flow", "template_row": 27, "template_cell": "B27", "template_value_or_formula": -34, "calculation_type": "reported_input", "dependencies": [], "source_template": "Copy of Output_CSV Template.xlsx"}</t>
        </is>
      </c>
    </row>
    <row r="359">
      <c r="A359" s="2" t="inlineStr">
        <is>
          <t>cf_oper_indirect__chg_in_other_wkng_capital_items</t>
        </is>
      </c>
      <c r="B359" s="2" t="inlineStr">
        <is>
          <t>Chg in Other Wkng Capital Items</t>
        </is>
      </c>
      <c r="C359" s="2" t="inlineStr">
        <is>
          <t>cf_oper_indirect</t>
        </is>
      </c>
      <c r="D359" s="2" t="inlineStr">
        <is>
          <t>Extract the reported value for 'Chg in Other Wkng Capital Items' from the stated section. Do not calculate or replace it from other rows, because the revised template does not designate this field as formula-driven.</t>
        </is>
      </c>
      <c r="E359" s="2" t="inlineStr">
        <is>
          <t>Chg in Other Wkng Capital Items</t>
        </is>
      </c>
      <c r="F359" s="2" t="inlineStr">
        <is>
          <t>Chg in Other Wkng Capital Items</t>
        </is>
      </c>
      <c r="G359" s="2" t="inlineStr">
        <is>
          <t>^Chg\s+in\s+Other\s+Wkng\s+Capital\s+Items$</t>
        </is>
      </c>
      <c r="H359" s="2" t="inlineStr"/>
      <c r="I359" s="2" t="inlineStr">
        <is>
          <t>Amounts or disclosures explicitly reported for Chg in Other Wkng Capital Items in Cash Flow / cf_oper_indirect.</t>
        </is>
      </c>
      <c r="J359" s="2" t="inlineStr">
        <is>
          <t>Do not substitute another section, period, entity scope, currency or unit; do not double count a parent and its children.</t>
        </is>
      </c>
      <c r="K359" s="2" t="inlineStr"/>
      <c r="L359" s="2" t="inlineStr">
        <is>
          <t>negative_or_contra</t>
        </is>
      </c>
      <c r="M359" s="2" t="inlineStr">
        <is>
          <t>direct_exclusive</t>
        </is>
      </c>
      <c r="N359" s="2" t="n">
        <v>90</v>
      </c>
      <c r="O359" s="2" t="inlineStr">
        <is>
          <t>normalized_exact_then_regex</t>
        </is>
      </c>
      <c r="P359" s="3" t="inlineStr">
        <is>
          <t>extract</t>
        </is>
      </c>
      <c r="Q359" s="2" t="inlineStr">
        <is>
          <t>currency_amount</t>
        </is>
      </c>
      <c r="R359" s="2" t="inlineStr">
        <is>
          <t>period_flow</t>
        </is>
      </c>
      <c r="S359" s="2" t="inlineStr">
        <is>
          <t>allowed_with_provenance</t>
        </is>
      </c>
      <c r="T359" s="2" t="b">
        <v>0</v>
      </c>
      <c r="U359" s="2" t="b">
        <v>0</v>
      </c>
      <c r="V359" s="2" t="inlineStr"/>
      <c r="W359" s="2" t="inlineStr"/>
      <c r="X359" s="2" t="inlineStr">
        <is>
          <t>Decompose only from explicit face or note evidence; never fabricate a split.</t>
        </is>
      </c>
      <c r="Y359" s="2" t="inlineStr">
        <is>
          <t>Aggregate only mutually exclusive facts with identical period, scope, currency and unit.</t>
        </is>
      </c>
      <c r="Z359" s="2" t="inlineStr">
        <is>
          <t>Bind only to Cash Flow / cf_oper_indirect.</t>
        </is>
      </c>
      <c r="AA359" s="2" t="inlineStr"/>
      <c r="AB359" s="2" t="b">
        <v>1</v>
      </c>
      <c r="AC359" s="2" t="inlineStr"/>
      <c r="AD359" s="2" t="inlineStr">
        <is>
          <t>Exact field from Cash Flow!A28; value cell B28.</t>
        </is>
      </c>
      <c r="AE359" s="2" t="inlineStr">
        <is>
          <t>Notes may support direct extraction or decomposition with provenance. Formula outputs must be derived only from template dependencies.</t>
        </is>
      </c>
      <c r="AF359" s="2" t="inlineStr"/>
      <c r="AG359" s="2" t="inlineStr">
        <is>
          <t>[]</t>
        </is>
      </c>
      <c r="AH359" s="2" t="inlineStr">
        <is>
          <t>Chg in Other Wkng Capital Items</t>
        </is>
      </c>
      <c r="AI359" s="2" t="inlineStr"/>
      <c r="AJ359" s="2" t="inlineStr">
        <is>
          <t>{"template_sheet": "Cash Flow", "template_row": 28, "template_cell": "B28", "template_value_or_formula": 8, "calculation_type": "reported_input", "dependencies": [], "source_template": "Copy of Output_CSV Template.xlsx"}</t>
        </is>
      </c>
    </row>
    <row r="360">
      <c r="A360" s="2" t="inlineStr">
        <is>
          <t>cf_oper_indirect__chg_in_taxes_payable</t>
        </is>
      </c>
      <c r="B360" s="2" t="inlineStr">
        <is>
          <t>Chg in Taxes Payable</t>
        </is>
      </c>
      <c r="C360" s="2" t="inlineStr">
        <is>
          <t>cf_oper_indirect</t>
        </is>
      </c>
      <c r="D360" s="2" t="inlineStr">
        <is>
          <t>Extract the reported value for 'Chg in Taxes Payable' from the stated section. Do not calculate or replace it from other rows, because the revised template does not designate this field as formula-driven.</t>
        </is>
      </c>
      <c r="E360" s="2" t="inlineStr">
        <is>
          <t>Chg in Taxes Payable</t>
        </is>
      </c>
      <c r="F360" s="2" t="inlineStr">
        <is>
          <t>Chg in Taxes Payable</t>
        </is>
      </c>
      <c r="G360" s="2" t="inlineStr">
        <is>
          <t>^Chg\s+in\s+Taxes\s+Payable$</t>
        </is>
      </c>
      <c r="H360" s="2" t="inlineStr"/>
      <c r="I360" s="2" t="inlineStr">
        <is>
          <t>Amounts or disclosures explicitly reported for Chg in Taxes Payable in Cash Flow / cf_oper_indirect.</t>
        </is>
      </c>
      <c r="J360" s="2" t="inlineStr">
        <is>
          <t>Do not substitute another section, period, entity scope, currency or unit; do not double count a parent and its children.</t>
        </is>
      </c>
      <c r="K360" s="2" t="inlineStr"/>
      <c r="L360" s="2" t="inlineStr">
        <is>
          <t>negative_or_contra</t>
        </is>
      </c>
      <c r="M360" s="2" t="inlineStr">
        <is>
          <t>direct_exclusive</t>
        </is>
      </c>
      <c r="N360" s="2" t="n">
        <v>90</v>
      </c>
      <c r="O360" s="2" t="inlineStr">
        <is>
          <t>normalized_exact_then_regex</t>
        </is>
      </c>
      <c r="P360" s="3" t="inlineStr">
        <is>
          <t>extract</t>
        </is>
      </c>
      <c r="Q360" s="2" t="inlineStr">
        <is>
          <t>currency_amount</t>
        </is>
      </c>
      <c r="R360" s="2" t="inlineStr">
        <is>
          <t>period_flow</t>
        </is>
      </c>
      <c r="S360" s="2" t="inlineStr">
        <is>
          <t>allowed_with_provenance</t>
        </is>
      </c>
      <c r="T360" s="2" t="b">
        <v>0</v>
      </c>
      <c r="U360" s="2" t="b">
        <v>0</v>
      </c>
      <c r="V360" s="2" t="inlineStr"/>
      <c r="W360" s="2" t="inlineStr"/>
      <c r="X360" s="2" t="inlineStr">
        <is>
          <t>Decompose only from explicit face or note evidence; never fabricate a split.</t>
        </is>
      </c>
      <c r="Y360" s="2" t="inlineStr">
        <is>
          <t>Aggregate only mutually exclusive facts with identical period, scope, currency and unit.</t>
        </is>
      </c>
      <c r="Z360" s="2" t="inlineStr">
        <is>
          <t>Bind only to Cash Flow / cf_oper_indirect.</t>
        </is>
      </c>
      <c r="AA360" s="2" t="inlineStr"/>
      <c r="AB360" s="2" t="b">
        <v>1</v>
      </c>
      <c r="AC360" s="2" t="inlineStr"/>
      <c r="AD360" s="2" t="inlineStr">
        <is>
          <t>Exact field from Cash Flow!A29; value cell B29.</t>
        </is>
      </c>
      <c r="AE360" s="2" t="inlineStr">
        <is>
          <t>Notes may support direct extraction or decomposition with provenance. Formula outputs must be derived only from template dependencies.</t>
        </is>
      </c>
      <c r="AF360" s="2" t="inlineStr"/>
      <c r="AG360" s="2" t="inlineStr">
        <is>
          <t>[]</t>
        </is>
      </c>
      <c r="AH360" s="2" t="inlineStr">
        <is>
          <t>Chg in Taxes Payable</t>
        </is>
      </c>
      <c r="AI360" s="2" t="inlineStr"/>
      <c r="AJ360" s="2" t="inlineStr">
        <is>
          <t>{"template_sheet": "Cash Flow", "template_row": 29, "template_cell": "B29", "template_value_or_formula": 25, "calculation_type": "reported_input", "dependencies": [], "source_template": "Copy of Output_CSV Template.xlsx"}</t>
        </is>
      </c>
    </row>
    <row r="361">
      <c r="A361" s="2" t="inlineStr">
        <is>
          <t>cf_oper_indirect__chg_in_deferred_taxes</t>
        </is>
      </c>
      <c r="B361" s="2" t="inlineStr">
        <is>
          <t>Chg in Deferred Taxes</t>
        </is>
      </c>
      <c r="C361" s="2" t="inlineStr">
        <is>
          <t>cf_oper_indirect</t>
        </is>
      </c>
      <c r="D361" s="2" t="inlineStr">
        <is>
          <t>Extract the reported value for 'Chg in Deferred Taxes' from the stated section. Do not calculate or replace it from other rows, because the revised template does not designate this field as formula-driven.</t>
        </is>
      </c>
      <c r="E361" s="2" t="inlineStr">
        <is>
          <t>Chg in Deferred Taxes</t>
        </is>
      </c>
      <c r="F361" s="2" t="inlineStr">
        <is>
          <t>Chg in Deferred Taxes</t>
        </is>
      </c>
      <c r="G361" s="2" t="inlineStr">
        <is>
          <t>^Chg\s+in\s+Deferred\s+Taxes$</t>
        </is>
      </c>
      <c r="H361" s="2" t="inlineStr"/>
      <c r="I361" s="2" t="inlineStr">
        <is>
          <t>Amounts or disclosures explicitly reported for Chg in Deferred Taxes in Cash Flow / cf_oper_indirect.</t>
        </is>
      </c>
      <c r="J361" s="2" t="inlineStr">
        <is>
          <t>Do not substitute another section, period, entity scope, currency or unit; do not double count a parent and its children.</t>
        </is>
      </c>
      <c r="K361" s="2" t="inlineStr"/>
      <c r="L361" s="2" t="inlineStr">
        <is>
          <t>negative_or_contra</t>
        </is>
      </c>
      <c r="M361" s="2" t="inlineStr">
        <is>
          <t>direct_exclusive</t>
        </is>
      </c>
      <c r="N361" s="2" t="n">
        <v>90</v>
      </c>
      <c r="O361" s="2" t="inlineStr">
        <is>
          <t>normalized_exact_then_regex</t>
        </is>
      </c>
      <c r="P361" s="3" t="inlineStr">
        <is>
          <t>extract</t>
        </is>
      </c>
      <c r="Q361" s="2" t="inlineStr">
        <is>
          <t>currency_amount</t>
        </is>
      </c>
      <c r="R361" s="2" t="inlineStr">
        <is>
          <t>period_flow</t>
        </is>
      </c>
      <c r="S361" s="2" t="inlineStr">
        <is>
          <t>allowed_with_provenance</t>
        </is>
      </c>
      <c r="T361" s="2" t="b">
        <v>0</v>
      </c>
      <c r="U361" s="2" t="b">
        <v>0</v>
      </c>
      <c r="V361" s="2" t="inlineStr"/>
      <c r="W361" s="2" t="inlineStr"/>
      <c r="X361" s="2" t="inlineStr">
        <is>
          <t>Decompose only from explicit face or note evidence; never fabricate a split.</t>
        </is>
      </c>
      <c r="Y361" s="2" t="inlineStr">
        <is>
          <t>Aggregate only mutually exclusive facts with identical period, scope, currency and unit.</t>
        </is>
      </c>
      <c r="Z361" s="2" t="inlineStr">
        <is>
          <t>Bind only to Cash Flow / cf_oper_indirect.</t>
        </is>
      </c>
      <c r="AA361" s="2" t="inlineStr"/>
      <c r="AB361" s="2" t="b">
        <v>1</v>
      </c>
      <c r="AC361" s="2" t="inlineStr"/>
      <c r="AD361" s="2" t="inlineStr">
        <is>
          <t>Exact field from Cash Flow!A30; value cell B30.</t>
        </is>
      </c>
      <c r="AE361" s="2" t="inlineStr">
        <is>
          <t>Notes may support direct extraction or decomposition with provenance. Formula outputs must be derived only from template dependencies.</t>
        </is>
      </c>
      <c r="AF361" s="2" t="inlineStr"/>
      <c r="AG361" s="2" t="inlineStr">
        <is>
          <t>[]</t>
        </is>
      </c>
      <c r="AH361" s="2" t="inlineStr">
        <is>
          <t>Chg in Deferred Taxes</t>
        </is>
      </c>
      <c r="AI361" s="2" t="inlineStr"/>
      <c r="AJ361" s="2" t="inlineStr">
        <is>
          <t>{"template_sheet": "Cash Flow", "template_row": 30, "template_cell": "B30", "template_value_or_formula": -42, "calculation_type": "reported_input", "dependencies": [], "source_template": "Copy of Output_CSV Template.xlsx"}</t>
        </is>
      </c>
    </row>
    <row r="362">
      <c r="A362" s="2" t="inlineStr">
        <is>
          <t>cf_oper_indirect__dividends_received_oper</t>
        </is>
      </c>
      <c r="B362" s="2" t="inlineStr">
        <is>
          <t>Dividends Received(Oper)</t>
        </is>
      </c>
      <c r="C362" s="2" t="inlineStr">
        <is>
          <t>cf_oper_indirect</t>
        </is>
      </c>
      <c r="D362" s="2" t="inlineStr">
        <is>
          <t>Extract the reported value for 'Dividends Received(Oper)' from the stated section. Do not calculate or replace it from other rows, because the revised template does not designate this field as formula-driven.</t>
        </is>
      </c>
      <c r="E362" s="2" t="inlineStr">
        <is>
          <t>Dividends Received(Oper)</t>
        </is>
      </c>
      <c r="F362" s="2" t="inlineStr">
        <is>
          <t>Dividends Received(Oper)</t>
        </is>
      </c>
      <c r="G362" s="2" t="inlineStr">
        <is>
          <t>^Dividends\s+Received\(Oper\)$</t>
        </is>
      </c>
      <c r="H362" s="2" t="inlineStr"/>
      <c r="I362" s="2" t="inlineStr">
        <is>
          <t>Amounts or disclosures explicitly reported for Dividends Received(Oper) in Cash Flow / cf_oper_indirect.</t>
        </is>
      </c>
      <c r="J362" s="2" t="inlineStr">
        <is>
          <t>Do not substitute another section, period, entity scope, currency or unit; do not double count a parent and its children.</t>
        </is>
      </c>
      <c r="K362" s="2" t="inlineStr"/>
      <c r="L362" s="2" t="inlineStr">
        <is>
          <t>as_reported</t>
        </is>
      </c>
      <c r="M362" s="2" t="inlineStr">
        <is>
          <t>direct_exclusive</t>
        </is>
      </c>
      <c r="N362" s="2" t="n">
        <v>90</v>
      </c>
      <c r="O362" s="2" t="inlineStr">
        <is>
          <t>normalized_exact_then_regex</t>
        </is>
      </c>
      <c r="P362" s="3" t="inlineStr">
        <is>
          <t>extract</t>
        </is>
      </c>
      <c r="Q362" s="2" t="inlineStr">
        <is>
          <t>currency_amount</t>
        </is>
      </c>
      <c r="R362" s="2" t="inlineStr">
        <is>
          <t>period_flow</t>
        </is>
      </c>
      <c r="S362" s="2" t="inlineStr">
        <is>
          <t>allowed_with_provenance</t>
        </is>
      </c>
      <c r="T362" s="2" t="b">
        <v>0</v>
      </c>
      <c r="U362" s="2" t="b">
        <v>0</v>
      </c>
      <c r="V362" s="2" t="inlineStr"/>
      <c r="W362" s="2" t="inlineStr"/>
      <c r="X362" s="2" t="inlineStr">
        <is>
          <t>Decompose only from explicit face or note evidence; never fabricate a split.</t>
        </is>
      </c>
      <c r="Y362" s="2" t="inlineStr">
        <is>
          <t>Aggregate only mutually exclusive facts with identical period, scope, currency and unit.</t>
        </is>
      </c>
      <c r="Z362" s="2" t="inlineStr">
        <is>
          <t>Bind only to Cash Flow / cf_oper_indirect.</t>
        </is>
      </c>
      <c r="AA362" s="2" t="inlineStr"/>
      <c r="AB362" s="2" t="b">
        <v>1</v>
      </c>
      <c r="AC362" s="2" t="inlineStr"/>
      <c r="AD362" s="2" t="inlineStr">
        <is>
          <t>Exact field from Cash Flow!A31; value cell B31.</t>
        </is>
      </c>
      <c r="AE362" s="2" t="inlineStr">
        <is>
          <t>Notes may support direct extraction or decomposition with provenance. Formula outputs must be derived only from template dependencies.</t>
        </is>
      </c>
      <c r="AF362" s="2" t="inlineStr"/>
      <c r="AG362" s="2" t="inlineStr">
        <is>
          <t>[]</t>
        </is>
      </c>
      <c r="AH362" s="2" t="inlineStr">
        <is>
          <t>Dividends Received(Oper)</t>
        </is>
      </c>
      <c r="AI362" s="2" t="inlineStr"/>
      <c r="AJ362" s="2" t="inlineStr">
        <is>
          <t>{"template_sheet": "Cash Flow", "template_row": 31, "template_cell": "B31", "template_value_or_formula": 16, "calculation_type": "reported_input", "dependencies": [], "source_template": "Copy of Output_CSV Template.xlsx"}</t>
        </is>
      </c>
    </row>
    <row r="363">
      <c r="A363" s="2" t="inlineStr">
        <is>
          <t>cf_oper_indirect__income_taxes_paid_indirect</t>
        </is>
      </c>
      <c r="B363" s="2" t="inlineStr">
        <is>
          <t>Income Taxes Paid(Indirect)</t>
        </is>
      </c>
      <c r="C363" s="2" t="inlineStr">
        <is>
          <t>cf_oper_indirect</t>
        </is>
      </c>
      <c r="D363" s="2" t="inlineStr">
        <is>
          <t>Extract the reported value for 'Income Taxes Paid(Indirect)' from the stated section. Do not calculate or replace it from other rows, because the revised template does not designate this field as formula-driven.</t>
        </is>
      </c>
      <c r="E363" s="2" t="inlineStr">
        <is>
          <t>Income Taxes Paid(Indirect)</t>
        </is>
      </c>
      <c r="F363" s="2" t="inlineStr">
        <is>
          <t>Income Taxes Paid(Indirect)</t>
        </is>
      </c>
      <c r="G363" s="2" t="inlineStr">
        <is>
          <t>^Income\s+Taxes\s+Paid\(Indirect\)$</t>
        </is>
      </c>
      <c r="H363" s="2" t="inlineStr"/>
      <c r="I363" s="2" t="inlineStr">
        <is>
          <t>Amounts or disclosures explicitly reported for Income Taxes Paid(Indirect) in Cash Flow / cf_oper_indirect.</t>
        </is>
      </c>
      <c r="J363" s="2" t="inlineStr">
        <is>
          <t>Do not substitute another section, period, entity scope, currency or unit; do not double count a parent and its children.</t>
        </is>
      </c>
      <c r="K363" s="2" t="inlineStr"/>
      <c r="L363" s="2" t="inlineStr">
        <is>
          <t>negative_or_contra</t>
        </is>
      </c>
      <c r="M363" s="2" t="inlineStr">
        <is>
          <t>direct_exclusive</t>
        </is>
      </c>
      <c r="N363" s="2" t="n">
        <v>90</v>
      </c>
      <c r="O363" s="2" t="inlineStr">
        <is>
          <t>normalized_exact_then_regex</t>
        </is>
      </c>
      <c r="P363" s="3" t="inlineStr">
        <is>
          <t>extract</t>
        </is>
      </c>
      <c r="Q363" s="2" t="inlineStr">
        <is>
          <t>currency_amount</t>
        </is>
      </c>
      <c r="R363" s="2" t="inlineStr">
        <is>
          <t>period_flow</t>
        </is>
      </c>
      <c r="S363" s="2" t="inlineStr">
        <is>
          <t>allowed_with_provenance</t>
        </is>
      </c>
      <c r="T363" s="2" t="b">
        <v>0</v>
      </c>
      <c r="U363" s="2" t="b">
        <v>0</v>
      </c>
      <c r="V363" s="2" t="inlineStr"/>
      <c r="W363" s="2" t="inlineStr"/>
      <c r="X363" s="2" t="inlineStr">
        <is>
          <t>Decompose only from explicit face or note evidence; never fabricate a split.</t>
        </is>
      </c>
      <c r="Y363" s="2" t="inlineStr">
        <is>
          <t>Aggregate only mutually exclusive facts with identical period, scope, currency and unit.</t>
        </is>
      </c>
      <c r="Z363" s="2" t="inlineStr">
        <is>
          <t>Bind only to Cash Flow / cf_oper_indirect.</t>
        </is>
      </c>
      <c r="AA363" s="2" t="inlineStr"/>
      <c r="AB363" s="2" t="b">
        <v>1</v>
      </c>
      <c r="AC363" s="2" t="inlineStr"/>
      <c r="AD363" s="2" t="inlineStr">
        <is>
          <t>Exact field from Cash Flow!A32; value cell B32.</t>
        </is>
      </c>
      <c r="AE363" s="2" t="inlineStr">
        <is>
          <t>Notes may support direct extraction or decomposition with provenance. Formula outputs must be derived only from template dependencies.</t>
        </is>
      </c>
      <c r="AF363" s="2" t="inlineStr"/>
      <c r="AG363" s="2" t="inlineStr">
        <is>
          <t>[]</t>
        </is>
      </c>
      <c r="AH363" s="2" t="inlineStr">
        <is>
          <t>Income Taxes Paid(Indirect)</t>
        </is>
      </c>
      <c r="AI363" s="2" t="inlineStr"/>
      <c r="AJ363" s="2" t="inlineStr">
        <is>
          <t>{"template_sheet": "Cash Flow", "template_row": 32, "template_cell": "B32", "template_value_or_formula": 33, "calculation_type": "reported_input", "dependencies": [], "source_template": "Copy of Output_CSV Template.xlsx"}</t>
        </is>
      </c>
    </row>
    <row r="364">
      <c r="A364" s="2" t="inlineStr">
        <is>
          <t>cf_oper_indirect__interest_paid_oper</t>
        </is>
      </c>
      <c r="B364" s="2" t="inlineStr">
        <is>
          <t>Interest Paid(Oper)</t>
        </is>
      </c>
      <c r="C364" s="2" t="inlineStr">
        <is>
          <t>cf_oper_indirect</t>
        </is>
      </c>
      <c r="D364" s="2" t="inlineStr">
        <is>
          <t>Extract the reported value for 'Interest Paid(Oper)' from the stated section. Do not calculate or replace it from other rows, because the revised template does not designate this field as formula-driven.</t>
        </is>
      </c>
      <c r="E364" s="2" t="inlineStr">
        <is>
          <t>Interest Paid(Oper)</t>
        </is>
      </c>
      <c r="F364" s="2" t="inlineStr">
        <is>
          <t>Interest Paid(Oper)</t>
        </is>
      </c>
      <c r="G364" s="2" t="inlineStr">
        <is>
          <t>^Interest\s+Paid\(Oper\)$</t>
        </is>
      </c>
      <c r="H364" s="2" t="inlineStr"/>
      <c r="I364" s="2" t="inlineStr">
        <is>
          <t>Amounts or disclosures explicitly reported for Interest Paid(Oper) in Cash Flow / cf_oper_indirect.</t>
        </is>
      </c>
      <c r="J364" s="2" t="inlineStr">
        <is>
          <t>Do not substitute another section, period, entity scope, currency or unit; do not double count a parent and its children.</t>
        </is>
      </c>
      <c r="K364" s="2" t="inlineStr"/>
      <c r="L364" s="2" t="inlineStr">
        <is>
          <t>negative_or_contra</t>
        </is>
      </c>
      <c r="M364" s="2" t="inlineStr">
        <is>
          <t>direct_exclusive</t>
        </is>
      </c>
      <c r="N364" s="2" t="n">
        <v>90</v>
      </c>
      <c r="O364" s="2" t="inlineStr">
        <is>
          <t>normalized_exact_then_regex</t>
        </is>
      </c>
      <c r="P364" s="3" t="inlineStr">
        <is>
          <t>extract</t>
        </is>
      </c>
      <c r="Q364" s="2" t="inlineStr">
        <is>
          <t>currency_amount</t>
        </is>
      </c>
      <c r="R364" s="2" t="inlineStr">
        <is>
          <t>period_flow</t>
        </is>
      </c>
      <c r="S364" s="2" t="inlineStr">
        <is>
          <t>allowed_with_provenance</t>
        </is>
      </c>
      <c r="T364" s="2" t="b">
        <v>0</v>
      </c>
      <c r="U364" s="2" t="b">
        <v>0</v>
      </c>
      <c r="V364" s="2" t="inlineStr"/>
      <c r="W364" s="2" t="inlineStr"/>
      <c r="X364" s="2" t="inlineStr">
        <is>
          <t>Decompose only from explicit face or note evidence; never fabricate a split.</t>
        </is>
      </c>
      <c r="Y364" s="2" t="inlineStr">
        <is>
          <t>Aggregate only mutually exclusive facts with identical period, scope, currency and unit.</t>
        </is>
      </c>
      <c r="Z364" s="2" t="inlineStr">
        <is>
          <t>Bind only to Cash Flow / cf_oper_indirect.</t>
        </is>
      </c>
      <c r="AA364" s="2" t="inlineStr"/>
      <c r="AB364" s="2" t="b">
        <v>1</v>
      </c>
      <c r="AC364" s="2" t="inlineStr"/>
      <c r="AD364" s="2" t="inlineStr">
        <is>
          <t>Exact field from Cash Flow!A33; value cell B33.</t>
        </is>
      </c>
      <c r="AE364" s="2" t="inlineStr">
        <is>
          <t>Notes may support direct extraction or decomposition with provenance. Formula outputs must be derived only from template dependencies.</t>
        </is>
      </c>
      <c r="AF364" s="2" t="inlineStr"/>
      <c r="AG364" s="2" t="inlineStr">
        <is>
          <t>[]</t>
        </is>
      </c>
      <c r="AH364" s="2" t="inlineStr">
        <is>
          <t>Interest Paid(Oper)</t>
        </is>
      </c>
      <c r="AI364" s="2" t="inlineStr"/>
      <c r="AJ364" s="2" t="inlineStr">
        <is>
          <t>{"template_sheet": "Cash Flow", "template_row": 33, "template_cell": "B33", "template_value_or_formula": -7, "calculation_type": "reported_input", "dependencies": [], "source_template": "Copy of Output_CSV Template.xlsx"}</t>
        </is>
      </c>
    </row>
    <row r="365">
      <c r="A365" s="2" t="inlineStr">
        <is>
          <t>cf_oper_indirect__dividends_paid_oper</t>
        </is>
      </c>
      <c r="B365" s="2" t="inlineStr">
        <is>
          <t>Dividends Paid(Oper)</t>
        </is>
      </c>
      <c r="C365" s="2" t="inlineStr">
        <is>
          <t>cf_oper_indirect</t>
        </is>
      </c>
      <c r="D365" s="2" t="inlineStr">
        <is>
          <t>Extract the reported value for 'Dividends Paid(Oper)' from the stated section. Do not calculate or replace it from other rows, because the revised template does not designate this field as formula-driven.</t>
        </is>
      </c>
      <c r="E365" s="2" t="inlineStr">
        <is>
          <t>Dividends Paid(Oper)</t>
        </is>
      </c>
      <c r="F365" s="2" t="inlineStr">
        <is>
          <t>Dividends Paid(Oper)</t>
        </is>
      </c>
      <c r="G365" s="2" t="inlineStr">
        <is>
          <t>^Dividends\s+Paid\(Oper\)$</t>
        </is>
      </c>
      <c r="H365" s="2" t="inlineStr"/>
      <c r="I365" s="2" t="inlineStr">
        <is>
          <t>Amounts or disclosures explicitly reported for Dividends Paid(Oper) in Cash Flow / cf_oper_indirect.</t>
        </is>
      </c>
      <c r="J365" s="2" t="inlineStr">
        <is>
          <t>Do not substitute another section, period, entity scope, currency or unit; do not double count a parent and its children.</t>
        </is>
      </c>
      <c r="K365" s="2" t="inlineStr"/>
      <c r="L365" s="2" t="inlineStr">
        <is>
          <t>negative_or_contra</t>
        </is>
      </c>
      <c r="M365" s="2" t="inlineStr">
        <is>
          <t>direct_exclusive</t>
        </is>
      </c>
      <c r="N365" s="2" t="n">
        <v>90</v>
      </c>
      <c r="O365" s="2" t="inlineStr">
        <is>
          <t>normalized_exact_then_regex</t>
        </is>
      </c>
      <c r="P365" s="3" t="inlineStr">
        <is>
          <t>extract</t>
        </is>
      </c>
      <c r="Q365" s="2" t="inlineStr">
        <is>
          <t>currency_amount</t>
        </is>
      </c>
      <c r="R365" s="2" t="inlineStr">
        <is>
          <t>period_flow</t>
        </is>
      </c>
      <c r="S365" s="2" t="inlineStr">
        <is>
          <t>allowed_with_provenance</t>
        </is>
      </c>
      <c r="T365" s="2" t="b">
        <v>0</v>
      </c>
      <c r="U365" s="2" t="b">
        <v>0</v>
      </c>
      <c r="V365" s="2" t="inlineStr"/>
      <c r="W365" s="2" t="inlineStr"/>
      <c r="X365" s="2" t="inlineStr">
        <is>
          <t>Decompose only from explicit face or note evidence; never fabricate a split.</t>
        </is>
      </c>
      <c r="Y365" s="2" t="inlineStr">
        <is>
          <t>Aggregate only mutually exclusive facts with identical period, scope, currency and unit.</t>
        </is>
      </c>
      <c r="Z365" s="2" t="inlineStr">
        <is>
          <t>Bind only to Cash Flow / cf_oper_indirect.</t>
        </is>
      </c>
      <c r="AA365" s="2" t="inlineStr"/>
      <c r="AB365" s="2" t="b">
        <v>1</v>
      </c>
      <c r="AC365" s="2" t="inlineStr"/>
      <c r="AD365" s="2" t="inlineStr">
        <is>
          <t>Exact field from Cash Flow!A34; value cell B34.</t>
        </is>
      </c>
      <c r="AE365" s="2" t="inlineStr">
        <is>
          <t>Notes may support direct extraction or decomposition with provenance. Formula outputs must be derived only from template dependencies.</t>
        </is>
      </c>
      <c r="AF365" s="2" t="inlineStr"/>
      <c r="AG365" s="2" t="inlineStr">
        <is>
          <t>[]</t>
        </is>
      </c>
      <c r="AH365" s="2" t="inlineStr">
        <is>
          <t>Dividends Paid(Oper)</t>
        </is>
      </c>
      <c r="AI365" s="2" t="inlineStr"/>
      <c r="AJ365" s="2" t="inlineStr">
        <is>
          <t>{"template_sheet": "Cash Flow", "template_row": 34, "template_cell": "B34", "template_value_or_formula": 24, "calculation_type": "reported_input", "dependencies": [], "source_template": "Copy of Output_CSV Template.xlsx"}</t>
        </is>
      </c>
    </row>
    <row r="366">
      <c r="A366" s="2" t="inlineStr">
        <is>
          <t>cf_oper_indirect__cash_flow_extraord_items_oper</t>
        </is>
      </c>
      <c r="B366" s="2" t="inlineStr">
        <is>
          <t>Cash Flow Extraord Items(Oper)</t>
        </is>
      </c>
      <c r="C366" s="2" t="inlineStr">
        <is>
          <t>cf_oper_indirect</t>
        </is>
      </c>
      <c r="D366" s="2" t="inlineStr">
        <is>
          <t>Extract the reported value for 'Cash Flow Extraord Items(Oper)' from the stated section. Do not calculate or replace it from other rows, because the revised template does not designate this field as formula-driven.</t>
        </is>
      </c>
      <c r="E366" s="2" t="inlineStr">
        <is>
          <t>Cash Flow Extraord Items(Oper)</t>
        </is>
      </c>
      <c r="F366" s="2" t="inlineStr">
        <is>
          <t>Cash Flow Extraord Items(Oper)</t>
        </is>
      </c>
      <c r="G366" s="2" t="inlineStr">
        <is>
          <t>^Cash\s+Flow\s+Extraord\s+Items\(Oper\)$</t>
        </is>
      </c>
      <c r="H366" s="2" t="inlineStr"/>
      <c r="I366" s="2" t="inlineStr">
        <is>
          <t>Amounts or disclosures explicitly reported for Cash Flow Extraord Items(Oper) in Cash Flow / cf_oper_indirect.</t>
        </is>
      </c>
      <c r="J366" s="2" t="inlineStr">
        <is>
          <t>Do not substitute another section, period, entity scope, currency or unit; do not double count a parent and its children.</t>
        </is>
      </c>
      <c r="K366" s="2" t="inlineStr"/>
      <c r="L366" s="2" t="inlineStr">
        <is>
          <t>as_reported</t>
        </is>
      </c>
      <c r="M366" s="2" t="inlineStr">
        <is>
          <t>direct_exclusive</t>
        </is>
      </c>
      <c r="N366" s="2" t="n">
        <v>90</v>
      </c>
      <c r="O366" s="2" t="inlineStr">
        <is>
          <t>normalized_exact_then_regex</t>
        </is>
      </c>
      <c r="P366" s="3" t="inlineStr">
        <is>
          <t>extract</t>
        </is>
      </c>
      <c r="Q366" s="2" t="inlineStr">
        <is>
          <t>currency_amount</t>
        </is>
      </c>
      <c r="R366" s="2" t="inlineStr">
        <is>
          <t>period_flow</t>
        </is>
      </c>
      <c r="S366" s="2" t="inlineStr">
        <is>
          <t>allowed_with_provenance</t>
        </is>
      </c>
      <c r="T366" s="2" t="b">
        <v>0</v>
      </c>
      <c r="U366" s="2" t="b">
        <v>0</v>
      </c>
      <c r="V366" s="2" t="inlineStr"/>
      <c r="W366" s="2" t="inlineStr"/>
      <c r="X366" s="2" t="inlineStr">
        <is>
          <t>Decompose only from explicit face or note evidence; never fabricate a split.</t>
        </is>
      </c>
      <c r="Y366" s="2" t="inlineStr">
        <is>
          <t>Aggregate only mutually exclusive facts with identical period, scope, currency and unit.</t>
        </is>
      </c>
      <c r="Z366" s="2" t="inlineStr">
        <is>
          <t>Bind only to Cash Flow / cf_oper_indirect.</t>
        </is>
      </c>
      <c r="AA366" s="2" t="inlineStr"/>
      <c r="AB366" s="2" t="b">
        <v>1</v>
      </c>
      <c r="AC366" s="2" t="inlineStr"/>
      <c r="AD366" s="2" t="inlineStr">
        <is>
          <t>Exact field from Cash Flow!A35; value cell B35.</t>
        </is>
      </c>
      <c r="AE366" s="2" t="inlineStr">
        <is>
          <t>Notes may support direct extraction or decomposition with provenance. Formula outputs must be derived only from template dependencies.</t>
        </is>
      </c>
      <c r="AF366" s="2" t="inlineStr"/>
      <c r="AG366" s="2" t="inlineStr">
        <is>
          <t>[]</t>
        </is>
      </c>
      <c r="AH366" s="2" t="inlineStr">
        <is>
          <t>Cash Flow Extraord Items(Oper)</t>
        </is>
      </c>
      <c r="AI366" s="2" t="inlineStr"/>
      <c r="AJ366" s="2" t="inlineStr">
        <is>
          <t>{"template_sheet": "Cash Flow", "template_row": 35, "template_cell": "B35", "template_value_or_formula": 41, "calculation_type": "reported_input", "dependencies": [], "source_template": "Copy of Output_CSV Template.xlsx"}</t>
        </is>
      </c>
    </row>
    <row r="367">
      <c r="A367" s="2" t="inlineStr">
        <is>
          <t>cf_oper_indirect__other_non_cash_adjs_oper</t>
        </is>
      </c>
      <c r="B367" s="2" t="inlineStr">
        <is>
          <t>Other Non-Cash Adjs(Oper)</t>
        </is>
      </c>
      <c r="C367" s="2" t="inlineStr">
        <is>
          <t>cf_oper_indirect</t>
        </is>
      </c>
      <c r="D367" s="2" t="inlineStr">
        <is>
          <t>Extract the reported value for 'Other Non-Cash Adjs(Oper)' from the stated section. Do not calculate or replace it from other rows, because the revised template does not designate this field as formula-driven.</t>
        </is>
      </c>
      <c r="E367" s="2" t="inlineStr">
        <is>
          <t>Other Non-Cash Adjs(Oper)</t>
        </is>
      </c>
      <c r="F367" s="2" t="inlineStr">
        <is>
          <t>Other Non-Cash Adjs(Oper)</t>
        </is>
      </c>
      <c r="G367" s="2" t="inlineStr">
        <is>
          <t>^Other\s+Non[\-–—]?Cash\s+Adjs\(Oper\)$</t>
        </is>
      </c>
      <c r="H367" s="2" t="inlineStr"/>
      <c r="I367" s="2" t="inlineStr">
        <is>
          <t>Amounts or disclosures explicitly reported for Other Non-Cash Adjs(Oper) in Cash Flow / cf_oper_indirect.</t>
        </is>
      </c>
      <c r="J367" s="2" t="inlineStr">
        <is>
          <t>Do not substitute another section, period, entity scope, currency or unit; do not double count a parent and its children.</t>
        </is>
      </c>
      <c r="K367" s="2" t="inlineStr"/>
      <c r="L367" s="2" t="inlineStr">
        <is>
          <t>as_reported</t>
        </is>
      </c>
      <c r="M367" s="2" t="inlineStr">
        <is>
          <t>direct_exclusive</t>
        </is>
      </c>
      <c r="N367" s="2" t="n">
        <v>90</v>
      </c>
      <c r="O367" s="2" t="inlineStr">
        <is>
          <t>normalized_exact_then_regex</t>
        </is>
      </c>
      <c r="P367" s="3" t="inlineStr">
        <is>
          <t>extract</t>
        </is>
      </c>
      <c r="Q367" s="2" t="inlineStr">
        <is>
          <t>currency_amount</t>
        </is>
      </c>
      <c r="R367" s="2" t="inlineStr">
        <is>
          <t>period_flow</t>
        </is>
      </c>
      <c r="S367" s="2" t="inlineStr">
        <is>
          <t>allowed_with_provenance</t>
        </is>
      </c>
      <c r="T367" s="2" t="b">
        <v>0</v>
      </c>
      <c r="U367" s="2" t="b">
        <v>0</v>
      </c>
      <c r="V367" s="2" t="inlineStr"/>
      <c r="W367" s="2" t="inlineStr"/>
      <c r="X367" s="2" t="inlineStr">
        <is>
          <t>Decompose only from explicit face or note evidence; never fabricate a split.</t>
        </is>
      </c>
      <c r="Y367" s="2" t="inlineStr">
        <is>
          <t>Aggregate only mutually exclusive facts with identical period, scope, currency and unit.</t>
        </is>
      </c>
      <c r="Z367" s="2" t="inlineStr">
        <is>
          <t>Bind only to Cash Flow / cf_oper_indirect.</t>
        </is>
      </c>
      <c r="AA367" s="2" t="inlineStr"/>
      <c r="AB367" s="2" t="b">
        <v>1</v>
      </c>
      <c r="AC367" s="2" t="inlineStr"/>
      <c r="AD367" s="2" t="inlineStr">
        <is>
          <t>Exact field from Cash Flow!A36; value cell B36.</t>
        </is>
      </c>
      <c r="AE367" s="2" t="inlineStr">
        <is>
          <t>Notes may support direct extraction or decomposition with provenance. Formula outputs must be derived only from template dependencies.</t>
        </is>
      </c>
      <c r="AF367" s="2" t="inlineStr">
        <is>
          <t>{"mode": "no_balancing_plug", "negative_result": "review"}</t>
        </is>
      </c>
      <c r="AG367" s="2" t="inlineStr">
        <is>
          <t>[]</t>
        </is>
      </c>
      <c r="AH367" s="2" t="inlineStr">
        <is>
          <t>Other Non-Cash Adjs(Oper)</t>
        </is>
      </c>
      <c r="AI367" s="2" t="inlineStr"/>
      <c r="AJ367" s="2" t="inlineStr">
        <is>
          <t>{"template_sheet": "Cash Flow", "template_row": 36, "template_cell": "B36", "template_value_or_formula": -15, "calculation_type": "reported_input", "dependencies": [], "source_template": "Copy of Output_CSV Template.xlsx"}</t>
        </is>
      </c>
    </row>
    <row r="368">
      <c r="A368" s="2" t="inlineStr">
        <is>
          <t>cf_oper_indirect__cash_flows_oper_activ_indirect</t>
        </is>
      </c>
      <c r="B368" s="2" t="inlineStr">
        <is>
          <t>Cash Flows Oper Activ(Indirect)</t>
        </is>
      </c>
      <c r="C368" s="2" t="inlineStr">
        <is>
          <t>cf_oper_indirect</t>
        </is>
      </c>
      <c r="D368" s="2" t="inlineStr">
        <is>
          <t>Calculated target using the exact formula retained in the supplied template: =SUM({cf_oper_indirect__net_profit_loss}:{cf_oper_indirect__other_non_cash_adjs_oper})</t>
        </is>
      </c>
      <c r="E368" s="2" t="inlineStr">
        <is>
          <t>Cash Flows Oper Activ(Indirect)</t>
        </is>
      </c>
      <c r="F368" s="2" t="inlineStr">
        <is>
          <t>Cash Flows Oper Activ(Indirect)</t>
        </is>
      </c>
      <c r="G368" s="2" t="inlineStr">
        <is>
          <t>^Cash\s+Flows\s+Oper\s+Activ\(Indirect\)$</t>
        </is>
      </c>
      <c r="H368" s="2" t="inlineStr"/>
      <c r="I368" s="2" t="inlineStr">
        <is>
          <t>Amounts or disclosures explicitly reported for Cash Flows Oper Activ(Indirect) in Cash Flow / cf_oper_indirect.</t>
        </is>
      </c>
      <c r="J368" s="2" t="inlineStr">
        <is>
          <t>Do not substitute another section, period, entity scope, currency or unit; do not double count a parent and its children.</t>
        </is>
      </c>
      <c r="K368" s="2" t="inlineStr"/>
      <c r="L368" s="2" t="inlineStr">
        <is>
          <t>as_reported</t>
        </is>
      </c>
      <c r="M368" s="2" t="inlineStr">
        <is>
          <t>derived_total</t>
        </is>
      </c>
      <c r="N368" s="2" t="n">
        <v>100</v>
      </c>
      <c r="O368" s="2" t="inlineStr">
        <is>
          <t>disabled</t>
        </is>
      </c>
      <c r="P368" s="4" t="inlineStr">
        <is>
          <t>derive</t>
        </is>
      </c>
      <c r="Q368" s="2" t="inlineStr">
        <is>
          <t>currency_amount</t>
        </is>
      </c>
      <c r="R368" s="2" t="inlineStr">
        <is>
          <t>period_flow</t>
        </is>
      </c>
      <c r="S368" s="2" t="inlineStr">
        <is>
          <t>allowed_with_provenance</t>
        </is>
      </c>
      <c r="T368" s="2" t="b">
        <v>0</v>
      </c>
      <c r="U368" s="2" t="b">
        <v>1</v>
      </c>
      <c r="V368" s="2" t="inlineStr">
        <is>
          <t>cf_oper_indirect__net_profit_loss | cf_oper_indirect__other_non_cash_adjs_oper</t>
        </is>
      </c>
      <c r="W368" s="2">
        <f>SUM({cf_oper_indirect__net_profit_loss}:{cf_oper_indirect__other_non_cash_adjs_oper})</f>
        <v/>
      </c>
      <c r="X368" s="2" t="inlineStr">
        <is>
          <t>Use only dependencies stated in the formula; never fabricate missing components.</t>
        </is>
      </c>
      <c r="Y368" s="2" t="inlineStr">
        <is>
          <t>Calculate only after every dependency is populated and validated.</t>
        </is>
      </c>
      <c r="Z368" s="2" t="inlineStr">
        <is>
          <t>Bind only to Cash Flow / cf_oper_indirect.</t>
        </is>
      </c>
      <c r="AA368" s="2" t="inlineStr"/>
      <c r="AB368" s="2" t="b">
        <v>0</v>
      </c>
      <c r="AC368" s="2" t="inlineStr">
        <is>
          <t>cf_oper_indirect__net_profit_loss | cf_oper_indirect__other_non_cash_adjs_oper</t>
        </is>
      </c>
      <c r="AD368" s="2" t="inlineStr">
        <is>
          <t>Exact field from Cash Flow!A37; value cell B37.</t>
        </is>
      </c>
      <c r="AE368" s="2" t="inlineStr">
        <is>
          <t>Notes may support direct extraction or decomposition with provenance. Formula outputs must be derived only from template dependencies.</t>
        </is>
      </c>
      <c r="AF368" s="2" t="inlineStr"/>
      <c r="AG368" s="2" t="inlineStr">
        <is>
          <t>[]</t>
        </is>
      </c>
      <c r="AH368" s="2" t="inlineStr">
        <is>
          <t>Cash Flows Oper Activ(Indirect)</t>
        </is>
      </c>
      <c r="AI368" s="2" t="inlineStr"/>
      <c r="AJ368" s="2" t="inlineStr">
        <is>
          <t>{"template_sheet": "Cash Flow", "template_row": 37, "template_cell": "B37", "template_value_or_formula": "=SUM(B6:B36)", "calculation_type": "formula", "dependencies": ["cf_oper_indirect__net_profit_loss", "cf_oper_indirect__other_non_cash_adjs_oper"], "source_template": "Copy of Output_CSV Template.xlsx"}</t>
        </is>
      </c>
    </row>
    <row r="369">
      <c r="A369" s="2" t="inlineStr">
        <is>
          <t>cf_oper_direct__cash_receipts_from_customers</t>
        </is>
      </c>
      <c r="B369" s="2" t="inlineStr">
        <is>
          <t>Cash Receipts from Customers</t>
        </is>
      </c>
      <c r="C369" s="2" t="inlineStr">
        <is>
          <t>cf_oper_direct</t>
        </is>
      </c>
      <c r="D369" s="2" t="inlineStr">
        <is>
          <t>Extract the reported value for 'Cash Receipts from Customers' from the stated section. Do not calculate or replace it from other rows, because the revised template does not designate this field as formula-driven.</t>
        </is>
      </c>
      <c r="E369" s="2" t="inlineStr">
        <is>
          <t>Cash Receipts from Customers</t>
        </is>
      </c>
      <c r="F369" s="2" t="inlineStr">
        <is>
          <t>Cash Receipts from Customers</t>
        </is>
      </c>
      <c r="G369" s="2" t="inlineStr">
        <is>
          <t>^Cash\s+Receipts\s+from\s+Customers$</t>
        </is>
      </c>
      <c r="H369" s="2" t="inlineStr"/>
      <c r="I369" s="2" t="inlineStr">
        <is>
          <t>Amounts or disclosures explicitly reported for Cash Receipts from Customers in Cash Flow / cf_oper_direct.</t>
        </is>
      </c>
      <c r="J369" s="2" t="inlineStr">
        <is>
          <t>Do not substitute another section, period, entity scope, currency or unit; do not double count a parent and its children.</t>
        </is>
      </c>
      <c r="K369" s="2" t="inlineStr"/>
      <c r="L369" s="2" t="inlineStr">
        <is>
          <t>as_reported</t>
        </is>
      </c>
      <c r="M369" s="2" t="inlineStr">
        <is>
          <t>direct_exclusive</t>
        </is>
      </c>
      <c r="N369" s="2" t="n">
        <v>90</v>
      </c>
      <c r="O369" s="2" t="inlineStr">
        <is>
          <t>normalized_exact_then_regex</t>
        </is>
      </c>
      <c r="P369" s="3" t="inlineStr">
        <is>
          <t>extract</t>
        </is>
      </c>
      <c r="Q369" s="2" t="inlineStr">
        <is>
          <t>currency_amount</t>
        </is>
      </c>
      <c r="R369" s="2" t="inlineStr">
        <is>
          <t>period_flow</t>
        </is>
      </c>
      <c r="S369" s="2" t="inlineStr">
        <is>
          <t>allowed_with_provenance</t>
        </is>
      </c>
      <c r="T369" s="2" t="b">
        <v>0</v>
      </c>
      <c r="U369" s="2" t="b">
        <v>0</v>
      </c>
      <c r="V369" s="2" t="inlineStr"/>
      <c r="W369" s="2" t="inlineStr"/>
      <c r="X369" s="2" t="inlineStr">
        <is>
          <t>Decompose only from explicit face or note evidence; never fabricate a split.</t>
        </is>
      </c>
      <c r="Y369" s="2" t="inlineStr">
        <is>
          <t>Aggregate only mutually exclusive facts with identical period, scope, currency and unit.</t>
        </is>
      </c>
      <c r="Z369" s="2" t="inlineStr">
        <is>
          <t>Bind only to Cash Flow / cf_oper_direct.</t>
        </is>
      </c>
      <c r="AA369" s="2" t="inlineStr"/>
      <c r="AB369" s="2" t="b">
        <v>1</v>
      </c>
      <c r="AC369" s="2" t="inlineStr"/>
      <c r="AD369" s="2" t="inlineStr">
        <is>
          <t>Exact field from Cash Flow!A39; value cell B39.</t>
        </is>
      </c>
      <c r="AE369" s="2" t="inlineStr">
        <is>
          <t>Notes may support direct extraction or decomposition with provenance. Formula outputs must be derived only from template dependencies.</t>
        </is>
      </c>
      <c r="AF369" s="2" t="inlineStr"/>
      <c r="AG369" s="2" t="inlineStr">
        <is>
          <t>[]</t>
        </is>
      </c>
      <c r="AH369" s="2" t="inlineStr">
        <is>
          <t>Cash Receipts from Customers</t>
        </is>
      </c>
      <c r="AI369" s="2" t="inlineStr"/>
      <c r="AJ369" s="2" t="inlineStr">
        <is>
          <t>{"template_sheet": "Cash Flow", "template_row": 39, "template_cell": "B39", "template_value_or_formula": -23, "calculation_type": "reported_input", "dependencies": [], "source_template": "Copy of Output_CSV Template.xlsx"}</t>
        </is>
      </c>
    </row>
    <row r="370">
      <c r="A370" s="2" t="inlineStr">
        <is>
          <t>cf_oper_direct__cash_paid_to_suppliers</t>
        </is>
      </c>
      <c r="B370" s="2" t="inlineStr">
        <is>
          <t>Cash Paid to Suppliers</t>
        </is>
      </c>
      <c r="C370" s="2" t="inlineStr">
        <is>
          <t>cf_oper_direct</t>
        </is>
      </c>
      <c r="D370" s="2" t="inlineStr">
        <is>
          <t>Extract the reported value for 'Cash Paid to Suppliers' from the stated section. Do not calculate or replace it from other rows, because the revised template does not designate this field as formula-driven.</t>
        </is>
      </c>
      <c r="E370" s="2" t="inlineStr">
        <is>
          <t>Cash Paid to Suppliers</t>
        </is>
      </c>
      <c r="F370" s="2" t="inlineStr">
        <is>
          <t>Cash Paid to Suppliers</t>
        </is>
      </c>
      <c r="G370" s="2" t="inlineStr">
        <is>
          <t>^Cash\s+Paid\s+to\s+Suppliers$</t>
        </is>
      </c>
      <c r="H370" s="2" t="inlineStr"/>
      <c r="I370" s="2" t="inlineStr">
        <is>
          <t>Amounts or disclosures explicitly reported for Cash Paid to Suppliers in Cash Flow / cf_oper_direct.</t>
        </is>
      </c>
      <c r="J370" s="2" t="inlineStr">
        <is>
          <t>Do not substitute another section, period, entity scope, currency or unit; do not double count a parent and its children.</t>
        </is>
      </c>
      <c r="K370" s="2" t="inlineStr"/>
      <c r="L370" s="2" t="inlineStr">
        <is>
          <t>negative_or_contra</t>
        </is>
      </c>
      <c r="M370" s="2" t="inlineStr">
        <is>
          <t>direct_exclusive</t>
        </is>
      </c>
      <c r="N370" s="2" t="n">
        <v>90</v>
      </c>
      <c r="O370" s="2" t="inlineStr">
        <is>
          <t>normalized_exact_then_regex</t>
        </is>
      </c>
      <c r="P370" s="3" t="inlineStr">
        <is>
          <t>extract</t>
        </is>
      </c>
      <c r="Q370" s="2" t="inlineStr">
        <is>
          <t>currency_amount</t>
        </is>
      </c>
      <c r="R370" s="2" t="inlineStr">
        <is>
          <t>period_flow</t>
        </is>
      </c>
      <c r="S370" s="2" t="inlineStr">
        <is>
          <t>allowed_with_provenance</t>
        </is>
      </c>
      <c r="T370" s="2" t="b">
        <v>0</v>
      </c>
      <c r="U370" s="2" t="b">
        <v>0</v>
      </c>
      <c r="V370" s="2" t="inlineStr"/>
      <c r="W370" s="2" t="inlineStr"/>
      <c r="X370" s="2" t="inlineStr">
        <is>
          <t>Decompose only from explicit face or note evidence; never fabricate a split.</t>
        </is>
      </c>
      <c r="Y370" s="2" t="inlineStr">
        <is>
          <t>Aggregate only mutually exclusive facts with identical period, scope, currency and unit.</t>
        </is>
      </c>
      <c r="Z370" s="2" t="inlineStr">
        <is>
          <t>Bind only to Cash Flow / cf_oper_direct.</t>
        </is>
      </c>
      <c r="AA370" s="2" t="inlineStr"/>
      <c r="AB370" s="2" t="b">
        <v>1</v>
      </c>
      <c r="AC370" s="2" t="inlineStr"/>
      <c r="AD370" s="2" t="inlineStr">
        <is>
          <t>Exact field from Cash Flow!A40; value cell B40.</t>
        </is>
      </c>
      <c r="AE370" s="2" t="inlineStr">
        <is>
          <t>Notes may support direct extraction or decomposition with provenance. Formula outputs must be derived only from template dependencies.</t>
        </is>
      </c>
      <c r="AF370" s="2" t="inlineStr"/>
      <c r="AG370" s="2" t="inlineStr">
        <is>
          <t>[]</t>
        </is>
      </c>
      <c r="AH370" s="2" t="inlineStr">
        <is>
          <t>Cash Paid to Suppliers</t>
        </is>
      </c>
      <c r="AI370" s="2" t="inlineStr"/>
      <c r="AJ370" s="2" t="inlineStr">
        <is>
          <t>{"template_sheet": "Cash Flow", "template_row": 40, "template_cell": "B40", "template_value_or_formula": 40, "calculation_type": "reported_input", "dependencies": [], "source_template": "Copy of Output_CSV Template.xlsx"}</t>
        </is>
      </c>
    </row>
    <row r="371">
      <c r="A371" s="2" t="inlineStr">
        <is>
          <t>cf_oper_direct__cash_paid_to_employees</t>
        </is>
      </c>
      <c r="B371" s="2" t="inlineStr">
        <is>
          <t>Cash Paid to Employees</t>
        </is>
      </c>
      <c r="C371" s="2" t="inlineStr">
        <is>
          <t>cf_oper_direct</t>
        </is>
      </c>
      <c r="D371" s="2" t="inlineStr">
        <is>
          <t>Extract the reported value for 'Cash Paid to Employees' from the stated section. Do not calculate or replace it from other rows, because the revised template does not designate this field as formula-driven.</t>
        </is>
      </c>
      <c r="E371" s="2" t="inlineStr">
        <is>
          <t>Cash Paid to Employees</t>
        </is>
      </c>
      <c r="F371" s="2" t="inlineStr">
        <is>
          <t>Cash Paid to Employees</t>
        </is>
      </c>
      <c r="G371" s="2" t="inlineStr">
        <is>
          <t>^Cash\s+Paid\s+to\s+Employees$</t>
        </is>
      </c>
      <c r="H371" s="2" t="inlineStr"/>
      <c r="I371" s="2" t="inlineStr">
        <is>
          <t>Amounts or disclosures explicitly reported for Cash Paid to Employees in Cash Flow / cf_oper_direct.</t>
        </is>
      </c>
      <c r="J371" s="2" t="inlineStr">
        <is>
          <t>Do not substitute another section, period, entity scope, currency or unit; do not double count a parent and its children.</t>
        </is>
      </c>
      <c r="K371" s="2" t="inlineStr"/>
      <c r="L371" s="2" t="inlineStr">
        <is>
          <t>negative_or_contra</t>
        </is>
      </c>
      <c r="M371" s="2" t="inlineStr">
        <is>
          <t>direct_exclusive</t>
        </is>
      </c>
      <c r="N371" s="2" t="n">
        <v>90</v>
      </c>
      <c r="O371" s="2" t="inlineStr">
        <is>
          <t>normalized_exact_then_regex</t>
        </is>
      </c>
      <c r="P371" s="3" t="inlineStr">
        <is>
          <t>extract</t>
        </is>
      </c>
      <c r="Q371" s="2" t="inlineStr">
        <is>
          <t>currency_amount</t>
        </is>
      </c>
      <c r="R371" s="2" t="inlineStr">
        <is>
          <t>period_flow</t>
        </is>
      </c>
      <c r="S371" s="2" t="inlineStr">
        <is>
          <t>allowed_with_provenance</t>
        </is>
      </c>
      <c r="T371" s="2" t="b">
        <v>0</v>
      </c>
      <c r="U371" s="2" t="b">
        <v>0</v>
      </c>
      <c r="V371" s="2" t="inlineStr"/>
      <c r="W371" s="2" t="inlineStr"/>
      <c r="X371" s="2" t="inlineStr">
        <is>
          <t>Decompose only from explicit face or note evidence; never fabricate a split.</t>
        </is>
      </c>
      <c r="Y371" s="2" t="inlineStr">
        <is>
          <t>Aggregate only mutually exclusive facts with identical period, scope, currency and unit.</t>
        </is>
      </c>
      <c r="Z371" s="2" t="inlineStr">
        <is>
          <t>Bind only to Cash Flow / cf_oper_direct.</t>
        </is>
      </c>
      <c r="AA371" s="2" t="inlineStr"/>
      <c r="AB371" s="2" t="b">
        <v>1</v>
      </c>
      <c r="AC371" s="2" t="inlineStr"/>
      <c r="AD371" s="2" t="inlineStr">
        <is>
          <t>Exact field from Cash Flow!A41; value cell B41.</t>
        </is>
      </c>
      <c r="AE371" s="2" t="inlineStr">
        <is>
          <t>Notes may support direct extraction or decomposition with provenance. Formula outputs must be derived only from template dependencies.</t>
        </is>
      </c>
      <c r="AF371" s="2" t="inlineStr"/>
      <c r="AG371" s="2" t="inlineStr">
        <is>
          <t>[]</t>
        </is>
      </c>
      <c r="AH371" s="2" t="inlineStr">
        <is>
          <t>Cash Paid to Employees</t>
        </is>
      </c>
      <c r="AI371" s="2" t="inlineStr"/>
      <c r="AJ371" s="2" t="inlineStr">
        <is>
          <t>{"template_sheet": "Cash Flow", "template_row": 41, "template_cell": "B41", "template_value_or_formula": 14, "calculation_type": "reported_input", "dependencies": [], "source_template": "Copy of Output_CSV Template.xlsx"}</t>
        </is>
      </c>
    </row>
    <row r="372">
      <c r="A372" s="2" t="inlineStr">
        <is>
          <t>cf_oper_direct__income_taxes_paid_direct</t>
        </is>
      </c>
      <c r="B372" s="2" t="inlineStr">
        <is>
          <t>Income Taxes Paid(Direct)</t>
        </is>
      </c>
      <c r="C372" s="2" t="inlineStr">
        <is>
          <t>cf_oper_direct</t>
        </is>
      </c>
      <c r="D372" s="2" t="inlineStr">
        <is>
          <t>Extract the reported value for 'Income Taxes Paid(Direct)' from the stated section. Do not calculate or replace it from other rows, because the revised template does not designate this field as formula-driven.</t>
        </is>
      </c>
      <c r="E372" s="2" t="inlineStr">
        <is>
          <t>Income Taxes Paid(Direct)</t>
        </is>
      </c>
      <c r="F372" s="2" t="inlineStr">
        <is>
          <t>Income Taxes Paid(Direct)</t>
        </is>
      </c>
      <c r="G372" s="2" t="inlineStr">
        <is>
          <t>^Income\s+Taxes\s+Paid\(Direct\)$</t>
        </is>
      </c>
      <c r="H372" s="2" t="inlineStr"/>
      <c r="I372" s="2" t="inlineStr">
        <is>
          <t>Amounts or disclosures explicitly reported for Income Taxes Paid(Direct) in Cash Flow / cf_oper_direct.</t>
        </is>
      </c>
      <c r="J372" s="2" t="inlineStr">
        <is>
          <t>Do not substitute another section, period, entity scope, currency or unit; do not double count a parent and its children.</t>
        </is>
      </c>
      <c r="K372" s="2" t="inlineStr"/>
      <c r="L372" s="2" t="inlineStr">
        <is>
          <t>negative_or_contra</t>
        </is>
      </c>
      <c r="M372" s="2" t="inlineStr">
        <is>
          <t>direct_exclusive</t>
        </is>
      </c>
      <c r="N372" s="2" t="n">
        <v>90</v>
      </c>
      <c r="O372" s="2" t="inlineStr">
        <is>
          <t>normalized_exact_then_regex</t>
        </is>
      </c>
      <c r="P372" s="3" t="inlineStr">
        <is>
          <t>extract</t>
        </is>
      </c>
      <c r="Q372" s="2" t="inlineStr">
        <is>
          <t>currency_amount</t>
        </is>
      </c>
      <c r="R372" s="2" t="inlineStr">
        <is>
          <t>period_flow</t>
        </is>
      </c>
      <c r="S372" s="2" t="inlineStr">
        <is>
          <t>allowed_with_provenance</t>
        </is>
      </c>
      <c r="T372" s="2" t="b">
        <v>0</v>
      </c>
      <c r="U372" s="2" t="b">
        <v>0</v>
      </c>
      <c r="V372" s="2" t="inlineStr"/>
      <c r="W372" s="2" t="inlineStr"/>
      <c r="X372" s="2" t="inlineStr">
        <is>
          <t>Decompose only from explicit face or note evidence; never fabricate a split.</t>
        </is>
      </c>
      <c r="Y372" s="2" t="inlineStr">
        <is>
          <t>Aggregate only mutually exclusive facts with identical period, scope, currency and unit.</t>
        </is>
      </c>
      <c r="Z372" s="2" t="inlineStr">
        <is>
          <t>Bind only to Cash Flow / cf_oper_direct.</t>
        </is>
      </c>
      <c r="AA372" s="2" t="inlineStr"/>
      <c r="AB372" s="2" t="b">
        <v>1</v>
      </c>
      <c r="AC372" s="2" t="inlineStr"/>
      <c r="AD372" s="2" t="inlineStr">
        <is>
          <t>Exact field from Cash Flow!A42; value cell B42.</t>
        </is>
      </c>
      <c r="AE372" s="2" t="inlineStr">
        <is>
          <t>Notes may support direct extraction or decomposition with provenance. Formula outputs must be derived only from template dependencies.</t>
        </is>
      </c>
      <c r="AF372" s="2" t="inlineStr"/>
      <c r="AG372" s="2" t="inlineStr">
        <is>
          <t>[]</t>
        </is>
      </c>
      <c r="AH372" s="2" t="inlineStr">
        <is>
          <t>Income Taxes Paid(Direct)</t>
        </is>
      </c>
      <c r="AI372" s="2" t="inlineStr"/>
      <c r="AJ372" s="2" t="inlineStr">
        <is>
          <t>{"template_sheet": "Cash Flow", "template_row": 42, "template_cell": "B42", "template_value_or_formula": -31, "calculation_type": "reported_input", "dependencies": [], "source_template": "Copy of Output_CSV Template.xlsx"}</t>
        </is>
      </c>
    </row>
    <row r="373">
      <c r="A373" s="2" t="inlineStr">
        <is>
          <t>cf_oper_direct__borrowing_costs_paid</t>
        </is>
      </c>
      <c r="B373" s="2" t="inlineStr">
        <is>
          <t>Borrowing Costs Paid</t>
        </is>
      </c>
      <c r="C373" s="2" t="inlineStr">
        <is>
          <t>cf_oper_direct</t>
        </is>
      </c>
      <c r="D373" s="2" t="inlineStr">
        <is>
          <t>Extract the reported value for 'Borrowing Costs Paid' from the stated section. Do not calculate or replace it from other rows, because the revised template does not designate this field as formula-driven.</t>
        </is>
      </c>
      <c r="E373" s="2" t="inlineStr">
        <is>
          <t>Borrowing Costs Paid</t>
        </is>
      </c>
      <c r="F373" s="2" t="inlineStr">
        <is>
          <t>Borrowing Costs Paid</t>
        </is>
      </c>
      <c r="G373" s="2" t="inlineStr">
        <is>
          <t>^Borrowing\s+Costs\s+Paid$</t>
        </is>
      </c>
      <c r="H373" s="2" t="inlineStr"/>
      <c r="I373" s="2" t="inlineStr">
        <is>
          <t>Amounts or disclosures explicitly reported for Borrowing Costs Paid in Cash Flow / cf_oper_direct.</t>
        </is>
      </c>
      <c r="J373" s="2" t="inlineStr">
        <is>
          <t>Do not substitute another section, period, entity scope, currency or unit; do not double count a parent and its children.</t>
        </is>
      </c>
      <c r="K373" s="2" t="inlineStr"/>
      <c r="L373" s="2" t="inlineStr">
        <is>
          <t>negative_or_contra</t>
        </is>
      </c>
      <c r="M373" s="2" t="inlineStr">
        <is>
          <t>direct_exclusive</t>
        </is>
      </c>
      <c r="N373" s="2" t="n">
        <v>90</v>
      </c>
      <c r="O373" s="2" t="inlineStr">
        <is>
          <t>normalized_exact_then_regex</t>
        </is>
      </c>
      <c r="P373" s="3" t="inlineStr">
        <is>
          <t>extract</t>
        </is>
      </c>
      <c r="Q373" s="2" t="inlineStr">
        <is>
          <t>currency_amount</t>
        </is>
      </c>
      <c r="R373" s="2" t="inlineStr">
        <is>
          <t>period_flow</t>
        </is>
      </c>
      <c r="S373" s="2" t="inlineStr">
        <is>
          <t>allowed_with_provenance</t>
        </is>
      </c>
      <c r="T373" s="2" t="b">
        <v>0</v>
      </c>
      <c r="U373" s="2" t="b">
        <v>0</v>
      </c>
      <c r="V373" s="2" t="inlineStr"/>
      <c r="W373" s="2" t="inlineStr"/>
      <c r="X373" s="2" t="inlineStr">
        <is>
          <t>Decompose only from explicit face or note evidence; never fabricate a split.</t>
        </is>
      </c>
      <c r="Y373" s="2" t="inlineStr">
        <is>
          <t>Aggregate only mutually exclusive facts with identical period, scope, currency and unit.</t>
        </is>
      </c>
      <c r="Z373" s="2" t="inlineStr">
        <is>
          <t>Bind only to Cash Flow / cf_oper_direct.</t>
        </is>
      </c>
      <c r="AA373" s="2" t="inlineStr"/>
      <c r="AB373" s="2" t="b">
        <v>1</v>
      </c>
      <c r="AC373" s="2" t="inlineStr"/>
      <c r="AD373" s="2" t="inlineStr">
        <is>
          <t>Exact field from Cash Flow!A43; value cell B43.</t>
        </is>
      </c>
      <c r="AE373" s="2" t="inlineStr">
        <is>
          <t>Notes may support direct extraction or decomposition with provenance. Formula outputs must be derived only from template dependencies.</t>
        </is>
      </c>
      <c r="AF373" s="2" t="inlineStr"/>
      <c r="AG373" s="2" t="inlineStr">
        <is>
          <t>[]</t>
        </is>
      </c>
      <c r="AH373" s="2" t="inlineStr">
        <is>
          <t>Borrowing Costs Paid</t>
        </is>
      </c>
      <c r="AI373" s="2" t="inlineStr"/>
      <c r="AJ373" s="2" t="inlineStr">
        <is>
          <t>{"template_sheet": "Cash Flow", "template_row": 43, "template_cell": "B43", "template_value_or_formula": 5, "calculation_type": "reported_input", "dependencies": [], "source_template": "Copy of Output_CSV Template.xlsx"}</t>
        </is>
      </c>
    </row>
    <row r="374">
      <c r="A374" s="2" t="inlineStr">
        <is>
          <t>cf_oper_direct__cash_flows_oper_activ_direct</t>
        </is>
      </c>
      <c r="B374" s="2" t="inlineStr">
        <is>
          <t>Cash Flows Oper Activ(Direct)</t>
        </is>
      </c>
      <c r="C374" s="2" t="inlineStr">
        <is>
          <t>cf_oper_direct</t>
        </is>
      </c>
      <c r="D374" s="2" t="inlineStr">
        <is>
          <t>Calculated target using the exact formula retained in the supplied template: =SUM({cf_oper_direct__cash_receipts_from_customers}:{cf_oper_direct__borrowing_costs_paid})</t>
        </is>
      </c>
      <c r="E374" s="2" t="inlineStr">
        <is>
          <t>Cash Flows Oper Activ(Direct)</t>
        </is>
      </c>
      <c r="F374" s="2" t="inlineStr">
        <is>
          <t>Cash Flows Oper Activ(Direct)</t>
        </is>
      </c>
      <c r="G374" s="2" t="inlineStr">
        <is>
          <t>^Cash\s+Flows\s+Oper\s+Activ\(Direct\)$</t>
        </is>
      </c>
      <c r="H374" s="2" t="inlineStr"/>
      <c r="I374" s="2" t="inlineStr">
        <is>
          <t>Amounts or disclosures explicitly reported for Cash Flows Oper Activ(Direct) in Cash Flow / cf_oper_direct.</t>
        </is>
      </c>
      <c r="J374" s="2" t="inlineStr">
        <is>
          <t>Do not substitute another section, period, entity scope, currency or unit; do not double count a parent and its children.</t>
        </is>
      </c>
      <c r="K374" s="2" t="inlineStr"/>
      <c r="L374" s="2" t="inlineStr">
        <is>
          <t>as_reported</t>
        </is>
      </c>
      <c r="M374" s="2" t="inlineStr">
        <is>
          <t>derived_total</t>
        </is>
      </c>
      <c r="N374" s="2" t="n">
        <v>100</v>
      </c>
      <c r="O374" s="2" t="inlineStr">
        <is>
          <t>disabled</t>
        </is>
      </c>
      <c r="P374" s="4" t="inlineStr">
        <is>
          <t>derive</t>
        </is>
      </c>
      <c r="Q374" s="2" t="inlineStr">
        <is>
          <t>currency_amount</t>
        </is>
      </c>
      <c r="R374" s="2" t="inlineStr">
        <is>
          <t>period_flow</t>
        </is>
      </c>
      <c r="S374" s="2" t="inlineStr">
        <is>
          <t>allowed_with_provenance</t>
        </is>
      </c>
      <c r="T374" s="2" t="b">
        <v>0</v>
      </c>
      <c r="U374" s="2" t="b">
        <v>1</v>
      </c>
      <c r="V374" s="2" t="inlineStr">
        <is>
          <t>cf_oper_direct__cash_receipts_from_customers | cf_oper_direct__borrowing_costs_paid</t>
        </is>
      </c>
      <c r="W374" s="2">
        <f>SUM({cf_oper_direct__cash_receipts_from_customers}:{cf_oper_direct__borrowing_costs_paid})</f>
        <v/>
      </c>
      <c r="X374" s="2" t="inlineStr">
        <is>
          <t>Use only dependencies stated in the formula; never fabricate missing components.</t>
        </is>
      </c>
      <c r="Y374" s="2" t="inlineStr">
        <is>
          <t>Calculate only after every dependency is populated and validated.</t>
        </is>
      </c>
      <c r="Z374" s="2" t="inlineStr">
        <is>
          <t>Bind only to Cash Flow / cf_oper_direct.</t>
        </is>
      </c>
      <c r="AA374" s="2" t="inlineStr"/>
      <c r="AB374" s="2" t="b">
        <v>0</v>
      </c>
      <c r="AC374" s="2" t="inlineStr">
        <is>
          <t>cf_oper_direct__cash_receipts_from_customers | cf_oper_direct__borrowing_costs_paid</t>
        </is>
      </c>
      <c r="AD374" s="2" t="inlineStr">
        <is>
          <t>Exact field from Cash Flow!A44; value cell B44.</t>
        </is>
      </c>
      <c r="AE374" s="2" t="inlineStr">
        <is>
          <t>Notes may support direct extraction or decomposition with provenance. Formula outputs must be derived only from template dependencies.</t>
        </is>
      </c>
      <c r="AF374" s="2" t="inlineStr"/>
      <c r="AG374" s="2" t="inlineStr">
        <is>
          <t>[]</t>
        </is>
      </c>
      <c r="AH374" s="2" t="inlineStr">
        <is>
          <t>Cash Flows Oper Activ(Direct)</t>
        </is>
      </c>
      <c r="AI374" s="2" t="inlineStr"/>
      <c r="AJ374" s="2" t="inlineStr">
        <is>
          <t>{"template_sheet": "Cash Flow", "template_row": 44, "template_cell": "B44", "template_value_or_formula": "=SUM(B39:B43)", "calculation_type": "formula", "dependencies": ["cf_oper_direct__cash_receipts_from_customers", "cf_oper_direct__borrowing_costs_paid"], "source_template": "Copy of Output_CSV Template.xlsx"}</t>
        </is>
      </c>
    </row>
    <row r="375">
      <c r="A375" s="2" t="inlineStr">
        <is>
          <t>cf_investing__purchase_intangible_assets</t>
        </is>
      </c>
      <c r="B375" s="2" t="inlineStr">
        <is>
          <t>Purchase Intangible Assets</t>
        </is>
      </c>
      <c r="C375" s="2" t="inlineStr">
        <is>
          <t>cf_investing</t>
        </is>
      </c>
      <c r="D375" s="2" t="inlineStr">
        <is>
          <t>Extract the reported value for 'Purchase Intangible Assets' from the stated section. Do not calculate or replace it from other rows, because the revised template does not designate this field as formula-driven.</t>
        </is>
      </c>
      <c r="E375" s="2" t="inlineStr">
        <is>
          <t>Purchase Intangible Assets</t>
        </is>
      </c>
      <c r="F375" s="2" t="inlineStr">
        <is>
          <t>Purchase Intangible Assets</t>
        </is>
      </c>
      <c r="G375" s="2" t="inlineStr">
        <is>
          <t>^Purchase\s+Intangible\s+Assets$</t>
        </is>
      </c>
      <c r="H375" s="2" t="inlineStr"/>
      <c r="I375" s="2" t="inlineStr">
        <is>
          <t>Amounts or disclosures explicitly reported for Purchase Intangible Assets in Cash Flow / cf_investing.</t>
        </is>
      </c>
      <c r="J375" s="2" t="inlineStr">
        <is>
          <t>Do not substitute another section, period, entity scope, currency or unit; do not double count a parent and its children.</t>
        </is>
      </c>
      <c r="K375" s="2" t="inlineStr"/>
      <c r="L375" s="2" t="inlineStr">
        <is>
          <t>negative_or_contra</t>
        </is>
      </c>
      <c r="M375" s="2" t="inlineStr">
        <is>
          <t>direct_exclusive</t>
        </is>
      </c>
      <c r="N375" s="2" t="n">
        <v>90</v>
      </c>
      <c r="O375" s="2" t="inlineStr">
        <is>
          <t>normalized_exact_then_regex</t>
        </is>
      </c>
      <c r="P375" s="3" t="inlineStr">
        <is>
          <t>extract</t>
        </is>
      </c>
      <c r="Q375" s="2" t="inlineStr">
        <is>
          <t>currency_amount</t>
        </is>
      </c>
      <c r="R375" s="2" t="inlineStr">
        <is>
          <t>period_flow</t>
        </is>
      </c>
      <c r="S375" s="2" t="inlineStr">
        <is>
          <t>allowed_with_provenance</t>
        </is>
      </c>
      <c r="T375" s="2" t="b">
        <v>0</v>
      </c>
      <c r="U375" s="2" t="b">
        <v>0</v>
      </c>
      <c r="V375" s="2" t="inlineStr"/>
      <c r="W375" s="2" t="inlineStr"/>
      <c r="X375" s="2" t="inlineStr">
        <is>
          <t>Decompose only from explicit face or note evidence; never fabricate a split.</t>
        </is>
      </c>
      <c r="Y375" s="2" t="inlineStr">
        <is>
          <t>Aggregate only mutually exclusive facts with identical period, scope, currency and unit.</t>
        </is>
      </c>
      <c r="Z375" s="2" t="inlineStr">
        <is>
          <t>Bind only to Cash Flow / cf_investing.</t>
        </is>
      </c>
      <c r="AA375" s="2" t="inlineStr"/>
      <c r="AB375" s="2" t="b">
        <v>1</v>
      </c>
      <c r="AC375" s="2" t="inlineStr"/>
      <c r="AD375" s="2" t="inlineStr">
        <is>
          <t>Exact field from Cash Flow!A46; value cell B46.</t>
        </is>
      </c>
      <c r="AE375" s="2" t="inlineStr">
        <is>
          <t>Notes may support direct extraction or decomposition with provenance. Formula outputs must be derived only from template dependencies.</t>
        </is>
      </c>
      <c r="AF375" s="2" t="inlineStr"/>
      <c r="AG375" s="2" t="inlineStr">
        <is>
          <t>[]</t>
        </is>
      </c>
      <c r="AH375" s="2" t="inlineStr">
        <is>
          <t>Purchase Intangible Assets</t>
        </is>
      </c>
      <c r="AI375" s="2" t="inlineStr"/>
      <c r="AJ375" s="2" t="inlineStr">
        <is>
          <t>{"template_sheet": "Cash Flow", "template_row": 46, "template_cell": "B46", "template_value_or_formula": 13, "calculation_type": "reported_input", "dependencies": [], "source_template": "Copy of Output_CSV Template.xlsx"}</t>
        </is>
      </c>
    </row>
    <row r="376">
      <c r="A376" s="2" t="inlineStr">
        <is>
          <t>cf_investing__proceeds_sale_intgbl_assets</t>
        </is>
      </c>
      <c r="B376" s="2" t="inlineStr">
        <is>
          <t>Proceeds Sale Intgbl Assets</t>
        </is>
      </c>
      <c r="C376" s="2" t="inlineStr">
        <is>
          <t>cf_investing</t>
        </is>
      </c>
      <c r="D376" s="2" t="inlineStr">
        <is>
          <t>Extract the reported value for 'Proceeds Sale Intgbl Assets' from the stated section. Do not calculate or replace it from other rows, because the revised template does not designate this field as formula-driven.</t>
        </is>
      </c>
      <c r="E376" s="2" t="inlineStr">
        <is>
          <t>Proceeds Sale Intgbl Assets</t>
        </is>
      </c>
      <c r="F376" s="2" t="inlineStr">
        <is>
          <t>Proceeds Sale Intgbl Assets</t>
        </is>
      </c>
      <c r="G376" s="2" t="inlineStr">
        <is>
          <t>^Proceeds\s+Sale\s+Intgbl\s+Assets$</t>
        </is>
      </c>
      <c r="H376" s="2" t="inlineStr"/>
      <c r="I376" s="2" t="inlineStr">
        <is>
          <t>Amounts or disclosures explicitly reported for Proceeds Sale Intgbl Assets in Cash Flow / cf_investing.</t>
        </is>
      </c>
      <c r="J376" s="2" t="inlineStr">
        <is>
          <t>Do not substitute another section, period, entity scope, currency or unit; do not double count a parent and its children.</t>
        </is>
      </c>
      <c r="K376" s="2" t="inlineStr"/>
      <c r="L376" s="2" t="inlineStr">
        <is>
          <t>as_reported</t>
        </is>
      </c>
      <c r="M376" s="2" t="inlineStr">
        <is>
          <t>direct_exclusive</t>
        </is>
      </c>
      <c r="N376" s="2" t="n">
        <v>90</v>
      </c>
      <c r="O376" s="2" t="inlineStr">
        <is>
          <t>normalized_exact_then_regex</t>
        </is>
      </c>
      <c r="P376" s="3" t="inlineStr">
        <is>
          <t>extract</t>
        </is>
      </c>
      <c r="Q376" s="2" t="inlineStr">
        <is>
          <t>currency_amount</t>
        </is>
      </c>
      <c r="R376" s="2" t="inlineStr">
        <is>
          <t>period_flow</t>
        </is>
      </c>
      <c r="S376" s="2" t="inlineStr">
        <is>
          <t>allowed_with_provenance</t>
        </is>
      </c>
      <c r="T376" s="2" t="b">
        <v>0</v>
      </c>
      <c r="U376" s="2" t="b">
        <v>0</v>
      </c>
      <c r="V376" s="2" t="inlineStr"/>
      <c r="W376" s="2" t="inlineStr"/>
      <c r="X376" s="2" t="inlineStr">
        <is>
          <t>Decompose only from explicit face or note evidence; never fabricate a split.</t>
        </is>
      </c>
      <c r="Y376" s="2" t="inlineStr">
        <is>
          <t>Aggregate only mutually exclusive facts with identical period, scope, currency and unit.</t>
        </is>
      </c>
      <c r="Z376" s="2" t="inlineStr">
        <is>
          <t>Bind only to Cash Flow / cf_investing.</t>
        </is>
      </c>
      <c r="AA376" s="2" t="inlineStr"/>
      <c r="AB376" s="2" t="b">
        <v>1</v>
      </c>
      <c r="AC376" s="2" t="inlineStr"/>
      <c r="AD376" s="2" t="inlineStr">
        <is>
          <t>Exact field from Cash Flow!A47; value cell B47.</t>
        </is>
      </c>
      <c r="AE376" s="2" t="inlineStr">
        <is>
          <t>Notes may support direct extraction or decomposition with provenance. Formula outputs must be derived only from template dependencies.</t>
        </is>
      </c>
      <c r="AF376" s="2" t="inlineStr"/>
      <c r="AG376" s="2" t="inlineStr">
        <is>
          <t>[]</t>
        </is>
      </c>
      <c r="AH376" s="2" t="inlineStr">
        <is>
          <t>Proceeds Sale Intgbl Assets</t>
        </is>
      </c>
      <c r="AI376" s="2" t="inlineStr"/>
      <c r="AJ376" s="2" t="inlineStr">
        <is>
          <t>{"template_sheet": "Cash Flow", "template_row": 47, "template_cell": "B47", "template_value_or_formula": 30, "calculation_type": "reported_input", "dependencies": [], "source_template": "Copy of Output_CSV Template.xlsx"}</t>
        </is>
      </c>
    </row>
    <row r="377">
      <c r="A377" s="2" t="inlineStr">
        <is>
          <t>cf_investing__purchase_ppe</t>
        </is>
      </c>
      <c r="B377" s="2" t="inlineStr">
        <is>
          <t>Purchase PPE</t>
        </is>
      </c>
      <c r="C377" s="2" t="inlineStr">
        <is>
          <t>cf_investing</t>
        </is>
      </c>
      <c r="D377" s="2" t="inlineStr">
        <is>
          <t>Extract the reported value for 'Purchase PPE' from the stated section. Do not calculate or replace it from other rows, because the revised template does not designate this field as formula-driven.</t>
        </is>
      </c>
      <c r="E377" s="2" t="inlineStr">
        <is>
          <t>Purchase PPE</t>
        </is>
      </c>
      <c r="F377" s="2" t="inlineStr">
        <is>
          <t>Purchase PPE</t>
        </is>
      </c>
      <c r="G377" s="2" t="inlineStr">
        <is>
          <t>^Purchase\s+PPE$</t>
        </is>
      </c>
      <c r="H377" s="2" t="inlineStr"/>
      <c r="I377" s="2" t="inlineStr">
        <is>
          <t>Amounts or disclosures explicitly reported for Purchase PPE in Cash Flow / cf_investing.</t>
        </is>
      </c>
      <c r="J377" s="2" t="inlineStr">
        <is>
          <t>Do not substitute another section, period, entity scope, currency or unit; do not double count a parent and its children.</t>
        </is>
      </c>
      <c r="K377" s="2" t="inlineStr"/>
      <c r="L377" s="2" t="inlineStr">
        <is>
          <t>negative_or_contra</t>
        </is>
      </c>
      <c r="M377" s="2" t="inlineStr">
        <is>
          <t>direct_exclusive</t>
        </is>
      </c>
      <c r="N377" s="2" t="n">
        <v>90</v>
      </c>
      <c r="O377" s="2" t="inlineStr">
        <is>
          <t>normalized_exact_then_regex</t>
        </is>
      </c>
      <c r="P377" s="3" t="inlineStr">
        <is>
          <t>extract</t>
        </is>
      </c>
      <c r="Q377" s="2" t="inlineStr">
        <is>
          <t>currency_amount</t>
        </is>
      </c>
      <c r="R377" s="2" t="inlineStr">
        <is>
          <t>period_flow</t>
        </is>
      </c>
      <c r="S377" s="2" t="inlineStr">
        <is>
          <t>allowed_with_provenance</t>
        </is>
      </c>
      <c r="T377" s="2" t="b">
        <v>0</v>
      </c>
      <c r="U377" s="2" t="b">
        <v>0</v>
      </c>
      <c r="V377" s="2" t="inlineStr"/>
      <c r="W377" s="2" t="inlineStr"/>
      <c r="X377" s="2" t="inlineStr">
        <is>
          <t>Decompose only from explicit face or note evidence; never fabricate a split.</t>
        </is>
      </c>
      <c r="Y377" s="2" t="inlineStr">
        <is>
          <t>Aggregate only mutually exclusive facts with identical period, scope, currency and unit.</t>
        </is>
      </c>
      <c r="Z377" s="2" t="inlineStr">
        <is>
          <t>Bind only to Cash Flow / cf_investing.</t>
        </is>
      </c>
      <c r="AA377" s="2" t="inlineStr"/>
      <c r="AB377" s="2" t="b">
        <v>1</v>
      </c>
      <c r="AC377" s="2" t="inlineStr"/>
      <c r="AD377" s="2" t="inlineStr">
        <is>
          <t>Exact field from Cash Flow!A48; value cell B48.</t>
        </is>
      </c>
      <c r="AE377" s="2" t="inlineStr">
        <is>
          <t>Notes may support direct extraction or decomposition with provenance. Formula outputs must be derived only from template dependencies.</t>
        </is>
      </c>
      <c r="AF377" s="2" t="inlineStr"/>
      <c r="AG377" s="2" t="inlineStr">
        <is>
          <t>[]</t>
        </is>
      </c>
      <c r="AH377" s="2" t="inlineStr">
        <is>
          <t>Purchase PPE</t>
        </is>
      </c>
      <c r="AI377" s="2" t="inlineStr"/>
      <c r="AJ377" s="2" t="inlineStr">
        <is>
          <t>{"template_sheet": "Cash Flow", "template_row": 48, "template_cell": "B48", "template_value_or_formula": -47, "calculation_type": "reported_input", "dependencies": [], "source_template": "Copy of Output_CSV Template.xlsx"}</t>
        </is>
      </c>
    </row>
    <row r="378">
      <c r="A378" s="2" t="inlineStr">
        <is>
          <t>cf_investing__proceeds_sale_ppe</t>
        </is>
      </c>
      <c r="B378" s="2" t="inlineStr">
        <is>
          <t>Proceeds Sale PPE</t>
        </is>
      </c>
      <c r="C378" s="2" t="inlineStr">
        <is>
          <t>cf_investing</t>
        </is>
      </c>
      <c r="D378" s="2" t="inlineStr">
        <is>
          <t>Extract the reported value for 'Proceeds Sale PPE' from the stated section. Do not calculate or replace it from other rows, because the revised template does not designate this field as formula-driven.</t>
        </is>
      </c>
      <c r="E378" s="2" t="inlineStr">
        <is>
          <t>Proceeds Sale PPE</t>
        </is>
      </c>
      <c r="F378" s="2" t="inlineStr">
        <is>
          <t>Proceeds Sale PPE</t>
        </is>
      </c>
      <c r="G378" s="2" t="inlineStr">
        <is>
          <t>^Proceeds\s+Sale\s+PPE$</t>
        </is>
      </c>
      <c r="H378" s="2" t="inlineStr"/>
      <c r="I378" s="2" t="inlineStr">
        <is>
          <t>Amounts or disclosures explicitly reported for Proceeds Sale PPE in Cash Flow / cf_investing.</t>
        </is>
      </c>
      <c r="J378" s="2" t="inlineStr">
        <is>
          <t>Do not substitute another section, period, entity scope, currency or unit; do not double count a parent and its children.</t>
        </is>
      </c>
      <c r="K378" s="2" t="inlineStr"/>
      <c r="L378" s="2" t="inlineStr">
        <is>
          <t>as_reported</t>
        </is>
      </c>
      <c r="M378" s="2" t="inlineStr">
        <is>
          <t>direct_exclusive</t>
        </is>
      </c>
      <c r="N378" s="2" t="n">
        <v>90</v>
      </c>
      <c r="O378" s="2" t="inlineStr">
        <is>
          <t>normalized_exact_then_regex</t>
        </is>
      </c>
      <c r="P378" s="3" t="inlineStr">
        <is>
          <t>extract</t>
        </is>
      </c>
      <c r="Q378" s="2" t="inlineStr">
        <is>
          <t>currency_amount</t>
        </is>
      </c>
      <c r="R378" s="2" t="inlineStr">
        <is>
          <t>period_flow</t>
        </is>
      </c>
      <c r="S378" s="2" t="inlineStr">
        <is>
          <t>allowed_with_provenance</t>
        </is>
      </c>
      <c r="T378" s="2" t="b">
        <v>0</v>
      </c>
      <c r="U378" s="2" t="b">
        <v>0</v>
      </c>
      <c r="V378" s="2" t="inlineStr"/>
      <c r="W378" s="2" t="inlineStr"/>
      <c r="X378" s="2" t="inlineStr">
        <is>
          <t>Decompose only from explicit face or note evidence; never fabricate a split.</t>
        </is>
      </c>
      <c r="Y378" s="2" t="inlineStr">
        <is>
          <t>Aggregate only mutually exclusive facts with identical period, scope, currency and unit.</t>
        </is>
      </c>
      <c r="Z378" s="2" t="inlineStr">
        <is>
          <t>Bind only to Cash Flow / cf_investing.</t>
        </is>
      </c>
      <c r="AA378" s="2" t="inlineStr"/>
      <c r="AB378" s="2" t="b">
        <v>1</v>
      </c>
      <c r="AC378" s="2" t="inlineStr"/>
      <c r="AD378" s="2" t="inlineStr">
        <is>
          <t>Exact field from Cash Flow!A49; value cell B49.</t>
        </is>
      </c>
      <c r="AE378" s="2" t="inlineStr">
        <is>
          <t>Notes may support direct extraction or decomposition with provenance. Formula outputs must be derived only from template dependencies.</t>
        </is>
      </c>
      <c r="AF378" s="2" t="inlineStr"/>
      <c r="AG378" s="2" t="inlineStr">
        <is>
          <t>[]</t>
        </is>
      </c>
      <c r="AH378" s="2" t="inlineStr">
        <is>
          <t>Proceeds Sale PPE</t>
        </is>
      </c>
      <c r="AI378" s="2" t="inlineStr"/>
      <c r="AJ378" s="2" t="inlineStr">
        <is>
          <t>{"template_sheet": "Cash Flow", "template_row": 49, "template_cell": "B49", "template_value_or_formula": 21, "calculation_type": "reported_input", "dependencies": [], "source_template": "Copy of Output_CSV Template.xlsx"}</t>
        </is>
      </c>
    </row>
    <row r="379">
      <c r="A379" s="2" t="inlineStr">
        <is>
          <t>cf_investing__purchase_investment_property</t>
        </is>
      </c>
      <c r="B379" s="2" t="inlineStr">
        <is>
          <t>Purchase Investment Property</t>
        </is>
      </c>
      <c r="C379" s="2" t="inlineStr">
        <is>
          <t>cf_investing</t>
        </is>
      </c>
      <c r="D379" s="2" t="inlineStr">
        <is>
          <t>Extract the reported value for 'Purchase Investment Property' from the stated section. Do not calculate or replace it from other rows, because the revised template does not designate this field as formula-driven.</t>
        </is>
      </c>
      <c r="E379" s="2" t="inlineStr">
        <is>
          <t>Purchase Investment Property</t>
        </is>
      </c>
      <c r="F379" s="2" t="inlineStr">
        <is>
          <t>Purchase Investment Property</t>
        </is>
      </c>
      <c r="G379" s="2" t="inlineStr">
        <is>
          <t>^Purchase\s+Investment\s+Property$</t>
        </is>
      </c>
      <c r="H379" s="2" t="inlineStr"/>
      <c r="I379" s="2" t="inlineStr">
        <is>
          <t>Amounts or disclosures explicitly reported for Purchase Investment Property in Cash Flow / cf_investing.</t>
        </is>
      </c>
      <c r="J379" s="2" t="inlineStr">
        <is>
          <t>Do not substitute another section, period, entity scope, currency or unit; do not double count a parent and its children.</t>
        </is>
      </c>
      <c r="K379" s="2" t="inlineStr"/>
      <c r="L379" s="2" t="inlineStr">
        <is>
          <t>negative_or_contra</t>
        </is>
      </c>
      <c r="M379" s="2" t="inlineStr">
        <is>
          <t>direct_exclusive</t>
        </is>
      </c>
      <c r="N379" s="2" t="n">
        <v>90</v>
      </c>
      <c r="O379" s="2" t="inlineStr">
        <is>
          <t>normalized_exact_then_regex</t>
        </is>
      </c>
      <c r="P379" s="3" t="inlineStr">
        <is>
          <t>extract</t>
        </is>
      </c>
      <c r="Q379" s="2" t="inlineStr">
        <is>
          <t>currency_amount</t>
        </is>
      </c>
      <c r="R379" s="2" t="inlineStr">
        <is>
          <t>period_flow</t>
        </is>
      </c>
      <c r="S379" s="2" t="inlineStr">
        <is>
          <t>allowed_with_provenance</t>
        </is>
      </c>
      <c r="T379" s="2" t="b">
        <v>0</v>
      </c>
      <c r="U379" s="2" t="b">
        <v>0</v>
      </c>
      <c r="V379" s="2" t="inlineStr"/>
      <c r="W379" s="2" t="inlineStr"/>
      <c r="X379" s="2" t="inlineStr">
        <is>
          <t>Decompose only from explicit face or note evidence; never fabricate a split.</t>
        </is>
      </c>
      <c r="Y379" s="2" t="inlineStr">
        <is>
          <t>Aggregate only mutually exclusive facts with identical period, scope, currency and unit.</t>
        </is>
      </c>
      <c r="Z379" s="2" t="inlineStr">
        <is>
          <t>Bind only to Cash Flow / cf_investing.</t>
        </is>
      </c>
      <c r="AA379" s="2" t="inlineStr"/>
      <c r="AB379" s="2" t="b">
        <v>1</v>
      </c>
      <c r="AC379" s="2" t="inlineStr"/>
      <c r="AD379" s="2" t="inlineStr">
        <is>
          <t>Exact field from Cash Flow!A50; value cell B50.</t>
        </is>
      </c>
      <c r="AE379" s="2" t="inlineStr">
        <is>
          <t>Notes may support direct extraction or decomposition with provenance. Formula outputs must be derived only from template dependencies.</t>
        </is>
      </c>
      <c r="AF379" s="2" t="inlineStr"/>
      <c r="AG379" s="2" t="inlineStr">
        <is>
          <t>[]</t>
        </is>
      </c>
      <c r="AH379" s="2" t="inlineStr">
        <is>
          <t>Purchase Investment Property</t>
        </is>
      </c>
      <c r="AI379" s="2" t="inlineStr"/>
      <c r="AJ379" s="2" t="inlineStr">
        <is>
          <t>{"template_sheet": "Cash Flow", "template_row": 50, "template_cell": "B50", "template_value_or_formula": 38, "calculation_type": "reported_input", "dependencies": [], "source_template": "Copy of Output_CSV Template.xlsx"}</t>
        </is>
      </c>
    </row>
    <row r="380">
      <c r="A380" s="2" t="inlineStr">
        <is>
          <t>cf_investing__proceeds_sale_investment_prop</t>
        </is>
      </c>
      <c r="B380" s="2" t="inlineStr">
        <is>
          <t>Proceeds Sale Investment Prop</t>
        </is>
      </c>
      <c r="C380" s="2" t="inlineStr">
        <is>
          <t>cf_investing</t>
        </is>
      </c>
      <c r="D380" s="2" t="inlineStr">
        <is>
          <t>Extract the reported value for 'Proceeds Sale Investment Prop' from the stated section. Do not calculate or replace it from other rows, because the revised template does not designate this field as formula-driven.</t>
        </is>
      </c>
      <c r="E380" s="2" t="inlineStr">
        <is>
          <t>Proceeds Sale Investment Prop</t>
        </is>
      </c>
      <c r="F380" s="2" t="inlineStr">
        <is>
          <t>Proceeds Sale Investment Prop</t>
        </is>
      </c>
      <c r="G380" s="2" t="inlineStr">
        <is>
          <t>^Proceeds\s+Sale\s+Investment\s+Prop$</t>
        </is>
      </c>
      <c r="H380" s="2" t="inlineStr"/>
      <c r="I380" s="2" t="inlineStr">
        <is>
          <t>Amounts or disclosures explicitly reported for Proceeds Sale Investment Prop in Cash Flow / cf_investing.</t>
        </is>
      </c>
      <c r="J380" s="2" t="inlineStr">
        <is>
          <t>Do not substitute another section, period, entity scope, currency or unit; do not double count a parent and its children.</t>
        </is>
      </c>
      <c r="K380" s="2" t="inlineStr"/>
      <c r="L380" s="2" t="inlineStr">
        <is>
          <t>as_reported</t>
        </is>
      </c>
      <c r="M380" s="2" t="inlineStr">
        <is>
          <t>direct_exclusive</t>
        </is>
      </c>
      <c r="N380" s="2" t="n">
        <v>90</v>
      </c>
      <c r="O380" s="2" t="inlineStr">
        <is>
          <t>normalized_exact_then_regex</t>
        </is>
      </c>
      <c r="P380" s="3" t="inlineStr">
        <is>
          <t>extract</t>
        </is>
      </c>
      <c r="Q380" s="2" t="inlineStr">
        <is>
          <t>currency_amount</t>
        </is>
      </c>
      <c r="R380" s="2" t="inlineStr">
        <is>
          <t>period_flow</t>
        </is>
      </c>
      <c r="S380" s="2" t="inlineStr">
        <is>
          <t>allowed_with_provenance</t>
        </is>
      </c>
      <c r="T380" s="2" t="b">
        <v>0</v>
      </c>
      <c r="U380" s="2" t="b">
        <v>0</v>
      </c>
      <c r="V380" s="2" t="inlineStr"/>
      <c r="W380" s="2" t="inlineStr"/>
      <c r="X380" s="2" t="inlineStr">
        <is>
          <t>Decompose only from explicit face or note evidence; never fabricate a split.</t>
        </is>
      </c>
      <c r="Y380" s="2" t="inlineStr">
        <is>
          <t>Aggregate only mutually exclusive facts with identical period, scope, currency and unit.</t>
        </is>
      </c>
      <c r="Z380" s="2" t="inlineStr">
        <is>
          <t>Bind only to Cash Flow / cf_investing.</t>
        </is>
      </c>
      <c r="AA380" s="2" t="inlineStr"/>
      <c r="AB380" s="2" t="b">
        <v>1</v>
      </c>
      <c r="AC380" s="2" t="inlineStr"/>
      <c r="AD380" s="2" t="inlineStr">
        <is>
          <t>Exact field from Cash Flow!A51; value cell B51.</t>
        </is>
      </c>
      <c r="AE380" s="2" t="inlineStr">
        <is>
          <t>Notes may support direct extraction or decomposition with provenance. Formula outputs must be derived only from template dependencies.</t>
        </is>
      </c>
      <c r="AF380" s="2" t="inlineStr"/>
      <c r="AG380" s="2" t="inlineStr">
        <is>
          <t>[]</t>
        </is>
      </c>
      <c r="AH380" s="2" t="inlineStr">
        <is>
          <t>Proceeds Sale Investment Prop</t>
        </is>
      </c>
      <c r="AI380" s="2" t="inlineStr"/>
      <c r="AJ380" s="2" t="inlineStr">
        <is>
          <t>{"template_sheet": "Cash Flow", "template_row": 51, "template_cell": "B51", "template_value_or_formula": -12, "calculation_type": "reported_input", "dependencies": [], "source_template": "Copy of Output_CSV Template.xlsx"}</t>
        </is>
      </c>
    </row>
    <row r="381">
      <c r="A381" s="2" t="inlineStr">
        <is>
          <t>cf_investing__purchase_financial_assets</t>
        </is>
      </c>
      <c r="B381" s="2" t="inlineStr">
        <is>
          <t>Purchase Financial Assets</t>
        </is>
      </c>
      <c r="C381" s="2" t="inlineStr">
        <is>
          <t>cf_investing</t>
        </is>
      </c>
      <c r="D381" s="2" t="inlineStr">
        <is>
          <t>Extract the reported value for 'Purchase Financial Assets' from the stated section. Do not calculate or replace it from other rows, because the revised template does not designate this field as formula-driven.</t>
        </is>
      </c>
      <c r="E381" s="2" t="inlineStr">
        <is>
          <t>Purchase Financial Assets</t>
        </is>
      </c>
      <c r="F381" s="2" t="inlineStr">
        <is>
          <t>Purchase Financial Assets</t>
        </is>
      </c>
      <c r="G381" s="2" t="inlineStr">
        <is>
          <t>^Purchase\s+Financial\s+Assets$</t>
        </is>
      </c>
      <c r="H381" s="2" t="inlineStr"/>
      <c r="I381" s="2" t="inlineStr">
        <is>
          <t>Amounts or disclosures explicitly reported for Purchase Financial Assets in Cash Flow / cf_investing.</t>
        </is>
      </c>
      <c r="J381" s="2" t="inlineStr">
        <is>
          <t>Do not substitute another section, period, entity scope, currency or unit; do not double count a parent and its children.</t>
        </is>
      </c>
      <c r="K381" s="2" t="inlineStr"/>
      <c r="L381" s="2" t="inlineStr">
        <is>
          <t>negative_or_contra</t>
        </is>
      </c>
      <c r="M381" s="2" t="inlineStr">
        <is>
          <t>direct_exclusive</t>
        </is>
      </c>
      <c r="N381" s="2" t="n">
        <v>90</v>
      </c>
      <c r="O381" s="2" t="inlineStr">
        <is>
          <t>normalized_exact_then_regex</t>
        </is>
      </c>
      <c r="P381" s="3" t="inlineStr">
        <is>
          <t>extract</t>
        </is>
      </c>
      <c r="Q381" s="2" t="inlineStr">
        <is>
          <t>currency_amount</t>
        </is>
      </c>
      <c r="R381" s="2" t="inlineStr">
        <is>
          <t>period_flow</t>
        </is>
      </c>
      <c r="S381" s="2" t="inlineStr">
        <is>
          <t>allowed_with_provenance</t>
        </is>
      </c>
      <c r="T381" s="2" t="b">
        <v>0</v>
      </c>
      <c r="U381" s="2" t="b">
        <v>0</v>
      </c>
      <c r="V381" s="2" t="inlineStr"/>
      <c r="W381" s="2" t="inlineStr"/>
      <c r="X381" s="2" t="inlineStr">
        <is>
          <t>Decompose only from explicit face or note evidence; never fabricate a split.</t>
        </is>
      </c>
      <c r="Y381" s="2" t="inlineStr">
        <is>
          <t>Aggregate only mutually exclusive facts with identical period, scope, currency and unit.</t>
        </is>
      </c>
      <c r="Z381" s="2" t="inlineStr">
        <is>
          <t>Bind only to Cash Flow / cf_investing.</t>
        </is>
      </c>
      <c r="AA381" s="2" t="inlineStr"/>
      <c r="AB381" s="2" t="b">
        <v>1</v>
      </c>
      <c r="AC381" s="2" t="inlineStr"/>
      <c r="AD381" s="2" t="inlineStr">
        <is>
          <t>Exact field from Cash Flow!A52; value cell B52.</t>
        </is>
      </c>
      <c r="AE381" s="2" t="inlineStr">
        <is>
          <t>Notes may support direct extraction or decomposition with provenance. Formula outputs must be derived only from template dependencies.</t>
        </is>
      </c>
      <c r="AF381" s="2" t="inlineStr"/>
      <c r="AG381" s="2" t="inlineStr">
        <is>
          <t>[]</t>
        </is>
      </c>
      <c r="AH381" s="2" t="inlineStr">
        <is>
          <t>Purchase Financial Assets</t>
        </is>
      </c>
      <c r="AI381" s="2" t="inlineStr"/>
      <c r="AJ381" s="2" t="inlineStr">
        <is>
          <t>{"template_sheet": "Cash Flow", "template_row": 52, "template_cell": "B52", "template_value_or_formula": 29, "calculation_type": "reported_input", "dependencies": [], "source_template": "Copy of Output_CSV Template.xlsx"}</t>
        </is>
      </c>
    </row>
    <row r="382">
      <c r="A382" s="2" t="inlineStr">
        <is>
          <t>cf_investing__proceeds_sale_fncl_assets</t>
        </is>
      </c>
      <c r="B382" s="2" t="inlineStr">
        <is>
          <t>Proceeds Sale Fncl Assets</t>
        </is>
      </c>
      <c r="C382" s="2" t="inlineStr">
        <is>
          <t>cf_investing</t>
        </is>
      </c>
      <c r="D382" s="2" t="inlineStr">
        <is>
          <t>Extract the reported value for 'Proceeds Sale Fncl Assets' from the stated section. Do not calculate or replace it from other rows, because the revised template does not designate this field as formula-driven.</t>
        </is>
      </c>
      <c r="E382" s="2" t="inlineStr">
        <is>
          <t>Proceeds Sale Fncl Assets</t>
        </is>
      </c>
      <c r="F382" s="2" t="inlineStr">
        <is>
          <t>Proceeds Sale Fncl Assets</t>
        </is>
      </c>
      <c r="G382" s="2" t="inlineStr">
        <is>
          <t>^Proceeds\s+Sale\s+Fncl\s+Assets$</t>
        </is>
      </c>
      <c r="H382" s="2" t="inlineStr"/>
      <c r="I382" s="2" t="inlineStr">
        <is>
          <t>Amounts or disclosures explicitly reported for Proceeds Sale Fncl Assets in Cash Flow / cf_investing.</t>
        </is>
      </c>
      <c r="J382" s="2" t="inlineStr">
        <is>
          <t>Do not substitute another section, period, entity scope, currency or unit; do not double count a parent and its children.</t>
        </is>
      </c>
      <c r="K382" s="2" t="inlineStr"/>
      <c r="L382" s="2" t="inlineStr">
        <is>
          <t>as_reported</t>
        </is>
      </c>
      <c r="M382" s="2" t="inlineStr">
        <is>
          <t>direct_exclusive</t>
        </is>
      </c>
      <c r="N382" s="2" t="n">
        <v>90</v>
      </c>
      <c r="O382" s="2" t="inlineStr">
        <is>
          <t>normalized_exact_then_regex</t>
        </is>
      </c>
      <c r="P382" s="3" t="inlineStr">
        <is>
          <t>extract</t>
        </is>
      </c>
      <c r="Q382" s="2" t="inlineStr">
        <is>
          <t>currency_amount</t>
        </is>
      </c>
      <c r="R382" s="2" t="inlineStr">
        <is>
          <t>period_flow</t>
        </is>
      </c>
      <c r="S382" s="2" t="inlineStr">
        <is>
          <t>allowed_with_provenance</t>
        </is>
      </c>
      <c r="T382" s="2" t="b">
        <v>0</v>
      </c>
      <c r="U382" s="2" t="b">
        <v>0</v>
      </c>
      <c r="V382" s="2" t="inlineStr"/>
      <c r="W382" s="2" t="inlineStr"/>
      <c r="X382" s="2" t="inlineStr">
        <is>
          <t>Decompose only from explicit face or note evidence; never fabricate a split.</t>
        </is>
      </c>
      <c r="Y382" s="2" t="inlineStr">
        <is>
          <t>Aggregate only mutually exclusive facts with identical period, scope, currency and unit.</t>
        </is>
      </c>
      <c r="Z382" s="2" t="inlineStr">
        <is>
          <t>Bind only to Cash Flow / cf_investing.</t>
        </is>
      </c>
      <c r="AA382" s="2" t="inlineStr"/>
      <c r="AB382" s="2" t="b">
        <v>1</v>
      </c>
      <c r="AC382" s="2" t="inlineStr"/>
      <c r="AD382" s="2" t="inlineStr">
        <is>
          <t>Exact field from Cash Flow!A53; value cell B53.</t>
        </is>
      </c>
      <c r="AE382" s="2" t="inlineStr">
        <is>
          <t>Notes may support direct extraction or decomposition with provenance. Formula outputs must be derived only from template dependencies.</t>
        </is>
      </c>
      <c r="AF382" s="2" t="inlineStr"/>
      <c r="AG382" s="2" t="inlineStr">
        <is>
          <t>[]</t>
        </is>
      </c>
      <c r="AH382" s="2" t="inlineStr">
        <is>
          <t>Proceeds Sale Fncl Assets</t>
        </is>
      </c>
      <c r="AI382" s="2" t="inlineStr"/>
      <c r="AJ382" s="2" t="inlineStr">
        <is>
          <t>{"template_sheet": "Cash Flow", "template_row": 53, "template_cell": "B53", "template_value_or_formula": 46, "calculation_type": "reported_input", "dependencies": [], "source_template": "Copy of Output_CSV Template.xlsx"}</t>
        </is>
      </c>
    </row>
    <row r="383">
      <c r="A383" s="2" t="inlineStr">
        <is>
          <t>cf_investing__purchase_other_assets</t>
        </is>
      </c>
      <c r="B383" s="2" t="inlineStr">
        <is>
          <t>Purchase Other Assets</t>
        </is>
      </c>
      <c r="C383" s="2" t="inlineStr">
        <is>
          <t>cf_investing</t>
        </is>
      </c>
      <c r="D383" s="2" t="inlineStr">
        <is>
          <t>Extract the reported value for 'Purchase Other Assets' from the stated section. Do not calculate or replace it from other rows, because the revised template does not designate this field as formula-driven.</t>
        </is>
      </c>
      <c r="E383" s="2" t="inlineStr">
        <is>
          <t>Purchase Other Assets</t>
        </is>
      </c>
      <c r="F383" s="2" t="inlineStr">
        <is>
          <t>Purchase Other Assets</t>
        </is>
      </c>
      <c r="G383" s="2" t="inlineStr">
        <is>
          <t>^Purchase\s+Other\s+Assets$</t>
        </is>
      </c>
      <c r="H383" s="2" t="inlineStr"/>
      <c r="I383" s="2" t="inlineStr">
        <is>
          <t>Amounts or disclosures explicitly reported for Purchase Other Assets in Cash Flow / cf_investing.</t>
        </is>
      </c>
      <c r="J383" s="2" t="inlineStr">
        <is>
          <t>Do not substitute another section, period, entity scope, currency or unit; do not double count a parent and its children.</t>
        </is>
      </c>
      <c r="K383" s="2" t="inlineStr"/>
      <c r="L383" s="2" t="inlineStr">
        <is>
          <t>negative_or_contra</t>
        </is>
      </c>
      <c r="M383" s="2" t="inlineStr">
        <is>
          <t>direct_exclusive</t>
        </is>
      </c>
      <c r="N383" s="2" t="n">
        <v>90</v>
      </c>
      <c r="O383" s="2" t="inlineStr">
        <is>
          <t>normalized_exact_then_regex</t>
        </is>
      </c>
      <c r="P383" s="3" t="inlineStr">
        <is>
          <t>extract</t>
        </is>
      </c>
      <c r="Q383" s="2" t="inlineStr">
        <is>
          <t>currency_amount</t>
        </is>
      </c>
      <c r="R383" s="2" t="inlineStr">
        <is>
          <t>period_flow</t>
        </is>
      </c>
      <c r="S383" s="2" t="inlineStr">
        <is>
          <t>allowed_with_provenance</t>
        </is>
      </c>
      <c r="T383" s="2" t="b">
        <v>0</v>
      </c>
      <c r="U383" s="2" t="b">
        <v>0</v>
      </c>
      <c r="V383" s="2" t="inlineStr"/>
      <c r="W383" s="2" t="inlineStr"/>
      <c r="X383" s="2" t="inlineStr">
        <is>
          <t>Decompose only from explicit face or note evidence; never fabricate a split.</t>
        </is>
      </c>
      <c r="Y383" s="2" t="inlineStr">
        <is>
          <t>Aggregate only mutually exclusive facts with identical period, scope, currency and unit.</t>
        </is>
      </c>
      <c r="Z383" s="2" t="inlineStr">
        <is>
          <t>Bind only to Cash Flow / cf_investing.</t>
        </is>
      </c>
      <c r="AA383" s="2" t="inlineStr"/>
      <c r="AB383" s="2" t="b">
        <v>1</v>
      </c>
      <c r="AC383" s="2" t="inlineStr"/>
      <c r="AD383" s="2" t="inlineStr">
        <is>
          <t>Exact field from Cash Flow!A54; value cell B54.</t>
        </is>
      </c>
      <c r="AE383" s="2" t="inlineStr">
        <is>
          <t>Notes may support direct extraction or decomposition with provenance. Formula outputs must be derived only from template dependencies.</t>
        </is>
      </c>
      <c r="AF383" s="2" t="inlineStr"/>
      <c r="AG383" s="2" t="inlineStr">
        <is>
          <t>[]</t>
        </is>
      </c>
      <c r="AH383" s="2" t="inlineStr">
        <is>
          <t>Purchase Other Assets</t>
        </is>
      </c>
      <c r="AI383" s="2" t="inlineStr"/>
      <c r="AJ383" s="2" t="inlineStr">
        <is>
          <t>{"template_sheet": "Cash Flow", "template_row": 54, "template_cell": "B54", "template_value_or_formula": -20, "calculation_type": "reported_input", "dependencies": [], "source_template": "Copy of Output_CSV Template.xlsx"}</t>
        </is>
      </c>
    </row>
    <row r="384">
      <c r="A384" s="2" t="inlineStr">
        <is>
          <t>cf_investing__proceeds_sale_other_assets</t>
        </is>
      </c>
      <c r="B384" s="2" t="inlineStr">
        <is>
          <t>Proceeds Sale Other Assets</t>
        </is>
      </c>
      <c r="C384" s="2" t="inlineStr">
        <is>
          <t>cf_investing</t>
        </is>
      </c>
      <c r="D384" s="2" t="inlineStr">
        <is>
          <t>Extract the reported value for 'Proceeds Sale Other Assets' from the stated section. Do not calculate or replace it from other rows, because the revised template does not designate this field as formula-driven.</t>
        </is>
      </c>
      <c r="E384" s="2" t="inlineStr">
        <is>
          <t>Proceeds Sale Other Assets</t>
        </is>
      </c>
      <c r="F384" s="2" t="inlineStr">
        <is>
          <t>Proceeds Sale Other Assets</t>
        </is>
      </c>
      <c r="G384" s="2" t="inlineStr">
        <is>
          <t>^Proceeds\s+Sale\s+Other\s+Assets$</t>
        </is>
      </c>
      <c r="H384" s="2" t="inlineStr"/>
      <c r="I384" s="2" t="inlineStr">
        <is>
          <t>Amounts or disclosures explicitly reported for Proceeds Sale Other Assets in Cash Flow / cf_investing.</t>
        </is>
      </c>
      <c r="J384" s="2" t="inlineStr">
        <is>
          <t>Do not substitute another section, period, entity scope, currency or unit; do not double count a parent and its children.</t>
        </is>
      </c>
      <c r="K384" s="2" t="inlineStr"/>
      <c r="L384" s="2" t="inlineStr">
        <is>
          <t>as_reported</t>
        </is>
      </c>
      <c r="M384" s="2" t="inlineStr">
        <is>
          <t>direct_exclusive</t>
        </is>
      </c>
      <c r="N384" s="2" t="n">
        <v>90</v>
      </c>
      <c r="O384" s="2" t="inlineStr">
        <is>
          <t>normalized_exact_then_regex</t>
        </is>
      </c>
      <c r="P384" s="3" t="inlineStr">
        <is>
          <t>extract</t>
        </is>
      </c>
      <c r="Q384" s="2" t="inlineStr">
        <is>
          <t>currency_amount</t>
        </is>
      </c>
      <c r="R384" s="2" t="inlineStr">
        <is>
          <t>period_flow</t>
        </is>
      </c>
      <c r="S384" s="2" t="inlineStr">
        <is>
          <t>allowed_with_provenance</t>
        </is>
      </c>
      <c r="T384" s="2" t="b">
        <v>0</v>
      </c>
      <c r="U384" s="2" t="b">
        <v>0</v>
      </c>
      <c r="V384" s="2" t="inlineStr"/>
      <c r="W384" s="2" t="inlineStr"/>
      <c r="X384" s="2" t="inlineStr">
        <is>
          <t>Decompose only from explicit face or note evidence; never fabricate a split.</t>
        </is>
      </c>
      <c r="Y384" s="2" t="inlineStr">
        <is>
          <t>Aggregate only mutually exclusive facts with identical period, scope, currency and unit.</t>
        </is>
      </c>
      <c r="Z384" s="2" t="inlineStr">
        <is>
          <t>Bind only to Cash Flow / cf_investing.</t>
        </is>
      </c>
      <c r="AA384" s="2" t="inlineStr"/>
      <c r="AB384" s="2" t="b">
        <v>1</v>
      </c>
      <c r="AC384" s="2" t="inlineStr"/>
      <c r="AD384" s="2" t="inlineStr">
        <is>
          <t>Exact field from Cash Flow!A55; value cell B55.</t>
        </is>
      </c>
      <c r="AE384" s="2" t="inlineStr">
        <is>
          <t>Notes may support direct extraction or decomposition with provenance. Formula outputs must be derived only from template dependencies.</t>
        </is>
      </c>
      <c r="AF384" s="2" t="inlineStr"/>
      <c r="AG384" s="2" t="inlineStr">
        <is>
          <t>[]</t>
        </is>
      </c>
      <c r="AH384" s="2" t="inlineStr">
        <is>
          <t>Proceeds Sale Other Assets</t>
        </is>
      </c>
      <c r="AI384" s="2" t="inlineStr"/>
      <c r="AJ384" s="2" t="inlineStr">
        <is>
          <t>{"template_sheet": "Cash Flow", "template_row": 55, "template_cell": "B55", "template_value_or_formula": 37, "calculation_type": "reported_input", "dependencies": [], "source_template": "Copy of Output_CSV Template.xlsx"}</t>
        </is>
      </c>
    </row>
    <row r="385">
      <c r="A385" s="2" t="inlineStr">
        <is>
          <t>cf_investing__investment_assoc_and_affiliates</t>
        </is>
      </c>
      <c r="B385" s="2" t="inlineStr">
        <is>
          <t>Investment Assoc &amp; Affiliates</t>
        </is>
      </c>
      <c r="C385" s="2" t="inlineStr">
        <is>
          <t>cf_investing</t>
        </is>
      </c>
      <c r="D385" s="2" t="inlineStr">
        <is>
          <t>Extract the reported value for 'Investment Assoc &amp; Affiliates' from the stated section. Do not calculate or replace it from other rows, because the revised template does not designate this field as formula-driven.</t>
        </is>
      </c>
      <c r="E385" s="2" t="inlineStr">
        <is>
          <t>Investment Assoc &amp; Affiliates</t>
        </is>
      </c>
      <c r="F385" s="2" t="inlineStr">
        <is>
          <t>Investment Assoc &amp; Affiliates</t>
        </is>
      </c>
      <c r="G385" s="2" t="inlineStr">
        <is>
          <t>^Investment\s+Assoc\s+\&amp;\s+Affiliates$</t>
        </is>
      </c>
      <c r="H385" s="2" t="inlineStr"/>
      <c r="I385" s="2" t="inlineStr">
        <is>
          <t>Amounts or disclosures explicitly reported for Investment Assoc &amp; Affiliates in Cash Flow / cf_investing.</t>
        </is>
      </c>
      <c r="J385" s="2" t="inlineStr">
        <is>
          <t>Do not substitute another section, period, entity scope, currency or unit; do not double count a parent and its children.</t>
        </is>
      </c>
      <c r="K385" s="2" t="inlineStr"/>
      <c r="L385" s="2" t="inlineStr">
        <is>
          <t>as_reported</t>
        </is>
      </c>
      <c r="M385" s="2" t="inlineStr">
        <is>
          <t>direct_exclusive</t>
        </is>
      </c>
      <c r="N385" s="2" t="n">
        <v>90</v>
      </c>
      <c r="O385" s="2" t="inlineStr">
        <is>
          <t>normalized_exact_then_regex</t>
        </is>
      </c>
      <c r="P385" s="3" t="inlineStr">
        <is>
          <t>extract</t>
        </is>
      </c>
      <c r="Q385" s="2" t="inlineStr">
        <is>
          <t>currency_amount</t>
        </is>
      </c>
      <c r="R385" s="2" t="inlineStr">
        <is>
          <t>period_flow</t>
        </is>
      </c>
      <c r="S385" s="2" t="inlineStr">
        <is>
          <t>allowed_with_provenance</t>
        </is>
      </c>
      <c r="T385" s="2" t="b">
        <v>0</v>
      </c>
      <c r="U385" s="2" t="b">
        <v>0</v>
      </c>
      <c r="V385" s="2" t="inlineStr"/>
      <c r="W385" s="2" t="inlineStr"/>
      <c r="X385" s="2" t="inlineStr">
        <is>
          <t>Decompose only from explicit face or note evidence; never fabricate a split.</t>
        </is>
      </c>
      <c r="Y385" s="2" t="inlineStr">
        <is>
          <t>Aggregate only mutually exclusive facts with identical period, scope, currency and unit.</t>
        </is>
      </c>
      <c r="Z385" s="2" t="inlineStr">
        <is>
          <t>Bind only to Cash Flow / cf_investing.</t>
        </is>
      </c>
      <c r="AA385" s="2" t="inlineStr"/>
      <c r="AB385" s="2" t="b">
        <v>1</v>
      </c>
      <c r="AC385" s="2" t="inlineStr"/>
      <c r="AD385" s="2" t="inlineStr">
        <is>
          <t>Exact field from Cash Flow!A56; value cell B56.</t>
        </is>
      </c>
      <c r="AE385" s="2" t="inlineStr">
        <is>
          <t>Notes may support direct extraction or decomposition with provenance. Formula outputs must be derived only from template dependencies.</t>
        </is>
      </c>
      <c r="AF385" s="2" t="inlineStr"/>
      <c r="AG385" s="2" t="inlineStr">
        <is>
          <t>[]</t>
        </is>
      </c>
      <c r="AH385" s="2" t="inlineStr">
        <is>
          <t>Investment Assoc &amp; Affiliates</t>
        </is>
      </c>
      <c r="AI385" s="2" t="inlineStr"/>
      <c r="AJ385" s="2" t="inlineStr">
        <is>
          <t>{"template_sheet": "Cash Flow", "template_row": 56, "template_cell": "B56", "template_value_or_formula": 11, "calculation_type": "reported_input", "dependencies": [], "source_template": "Copy of Output_CSV Template.xlsx"}</t>
        </is>
      </c>
    </row>
    <row r="386">
      <c r="A386" s="2" t="inlineStr">
        <is>
          <t>cf_investing__sale_assoc_and_affiliates</t>
        </is>
      </c>
      <c r="B386" s="2" t="inlineStr">
        <is>
          <t>Sale Assoc &amp; Affiliates</t>
        </is>
      </c>
      <c r="C386" s="2" t="inlineStr">
        <is>
          <t>cf_investing</t>
        </is>
      </c>
      <c r="D386" s="2" t="inlineStr">
        <is>
          <t>Extract the reported value for 'Sale Assoc &amp; Affiliates' from the stated section. Do not calculate or replace it from other rows, because the revised template does not designate this field as formula-driven.</t>
        </is>
      </c>
      <c r="E386" s="2" t="inlineStr">
        <is>
          <t>Sale Assoc &amp; Affiliates</t>
        </is>
      </c>
      <c r="F386" s="2" t="inlineStr">
        <is>
          <t>Sale Assoc &amp; Affiliates</t>
        </is>
      </c>
      <c r="G386" s="2" t="inlineStr">
        <is>
          <t>^Sale\s+Assoc\s+\&amp;\s+Affiliates$</t>
        </is>
      </c>
      <c r="H386" s="2" t="inlineStr"/>
      <c r="I386" s="2" t="inlineStr">
        <is>
          <t>Amounts or disclosures explicitly reported for Sale Assoc &amp; Affiliates in Cash Flow / cf_investing.</t>
        </is>
      </c>
      <c r="J386" s="2" t="inlineStr">
        <is>
          <t>Do not substitute another section, period, entity scope, currency or unit; do not double count a parent and its children.</t>
        </is>
      </c>
      <c r="K386" s="2" t="inlineStr"/>
      <c r="L386" s="2" t="inlineStr">
        <is>
          <t>as_reported</t>
        </is>
      </c>
      <c r="M386" s="2" t="inlineStr">
        <is>
          <t>direct_exclusive</t>
        </is>
      </c>
      <c r="N386" s="2" t="n">
        <v>90</v>
      </c>
      <c r="O386" s="2" t="inlineStr">
        <is>
          <t>normalized_exact_then_regex</t>
        </is>
      </c>
      <c r="P386" s="3" t="inlineStr">
        <is>
          <t>extract</t>
        </is>
      </c>
      <c r="Q386" s="2" t="inlineStr">
        <is>
          <t>currency_amount</t>
        </is>
      </c>
      <c r="R386" s="2" t="inlineStr">
        <is>
          <t>period_flow</t>
        </is>
      </c>
      <c r="S386" s="2" t="inlineStr">
        <is>
          <t>allowed_with_provenance</t>
        </is>
      </c>
      <c r="T386" s="2" t="b">
        <v>0</v>
      </c>
      <c r="U386" s="2" t="b">
        <v>0</v>
      </c>
      <c r="V386" s="2" t="inlineStr"/>
      <c r="W386" s="2" t="inlineStr"/>
      <c r="X386" s="2" t="inlineStr">
        <is>
          <t>Decompose only from explicit face or note evidence; never fabricate a split.</t>
        </is>
      </c>
      <c r="Y386" s="2" t="inlineStr">
        <is>
          <t>Aggregate only mutually exclusive facts with identical period, scope, currency and unit.</t>
        </is>
      </c>
      <c r="Z386" s="2" t="inlineStr">
        <is>
          <t>Bind only to Cash Flow / cf_investing.</t>
        </is>
      </c>
      <c r="AA386" s="2" t="inlineStr"/>
      <c r="AB386" s="2" t="b">
        <v>1</v>
      </c>
      <c r="AC386" s="2" t="inlineStr"/>
      <c r="AD386" s="2" t="inlineStr">
        <is>
          <t>Exact field from Cash Flow!A57; value cell B57.</t>
        </is>
      </c>
      <c r="AE386" s="2" t="inlineStr">
        <is>
          <t>Notes may support direct extraction or decomposition with provenance. Formula outputs must be derived only from template dependencies.</t>
        </is>
      </c>
      <c r="AF386" s="2" t="inlineStr"/>
      <c r="AG386" s="2" t="inlineStr">
        <is>
          <t>[]</t>
        </is>
      </c>
      <c r="AH386" s="2" t="inlineStr">
        <is>
          <t>Sale Assoc &amp; Affiliates</t>
        </is>
      </c>
      <c r="AI386" s="2" t="inlineStr"/>
      <c r="AJ386" s="2" t="inlineStr">
        <is>
          <t>{"template_sheet": "Cash Flow", "template_row": 57, "template_cell": "B57", "template_value_or_formula": -28, "calculation_type": "reported_input", "dependencies": [], "source_template": "Copy of Output_CSV Template.xlsx"}</t>
        </is>
      </c>
    </row>
    <row r="387">
      <c r="A387" s="2" t="inlineStr">
        <is>
          <t>cf_investing__acq_of_sub_net_of_cash_acqrd</t>
        </is>
      </c>
      <c r="B387" s="2" t="inlineStr">
        <is>
          <t>Acq of Sub(Net of Cash Acqrd)</t>
        </is>
      </c>
      <c r="C387" s="2" t="inlineStr">
        <is>
          <t>cf_investing</t>
        </is>
      </c>
      <c r="D387" s="2" t="inlineStr">
        <is>
          <t>Extract the reported value for 'Acq of Sub(Net of Cash Acqrd)' from the stated section. Do not calculate or replace it from other rows, because the revised template does not designate this field as formula-driven.</t>
        </is>
      </c>
      <c r="E387" s="2" t="inlineStr">
        <is>
          <t>Acq of Sub(Net of Cash Acqrd)</t>
        </is>
      </c>
      <c r="F387" s="2" t="inlineStr">
        <is>
          <t>Acq of Sub(Net of Cash Acqrd)</t>
        </is>
      </c>
      <c r="G387" s="2" t="inlineStr">
        <is>
          <t>^Acq\s+of\s+Sub\(Net\s+of\s+Cash\s+Acqrd\)$</t>
        </is>
      </c>
      <c r="H387" s="2" t="inlineStr"/>
      <c r="I387" s="2" t="inlineStr">
        <is>
          <t>Amounts or disclosures explicitly reported for Acq of Sub(Net of Cash Acqrd) in Cash Flow / cf_investing.</t>
        </is>
      </c>
      <c r="J387" s="2" t="inlineStr">
        <is>
          <t>Do not substitute another section, period, entity scope, currency or unit; do not double count a parent and its children.</t>
        </is>
      </c>
      <c r="K387" s="2" t="inlineStr"/>
      <c r="L387" s="2" t="inlineStr">
        <is>
          <t>as_reported</t>
        </is>
      </c>
      <c r="M387" s="2" t="inlineStr">
        <is>
          <t>direct_exclusive</t>
        </is>
      </c>
      <c r="N387" s="2" t="n">
        <v>90</v>
      </c>
      <c r="O387" s="2" t="inlineStr">
        <is>
          <t>normalized_exact_then_regex</t>
        </is>
      </c>
      <c r="P387" s="3" t="inlineStr">
        <is>
          <t>extract</t>
        </is>
      </c>
      <c r="Q387" s="2" t="inlineStr">
        <is>
          <t>currency_amount</t>
        </is>
      </c>
      <c r="R387" s="2" t="inlineStr">
        <is>
          <t>period_flow</t>
        </is>
      </c>
      <c r="S387" s="2" t="inlineStr">
        <is>
          <t>allowed_with_provenance</t>
        </is>
      </c>
      <c r="T387" s="2" t="b">
        <v>0</v>
      </c>
      <c r="U387" s="2" t="b">
        <v>0</v>
      </c>
      <c r="V387" s="2" t="inlineStr"/>
      <c r="W387" s="2" t="inlineStr"/>
      <c r="X387" s="2" t="inlineStr">
        <is>
          <t>Decompose only from explicit face or note evidence; never fabricate a split.</t>
        </is>
      </c>
      <c r="Y387" s="2" t="inlineStr">
        <is>
          <t>Aggregate only mutually exclusive facts with identical period, scope, currency and unit.</t>
        </is>
      </c>
      <c r="Z387" s="2" t="inlineStr">
        <is>
          <t>Bind only to Cash Flow / cf_investing.</t>
        </is>
      </c>
      <c r="AA387" s="2" t="inlineStr"/>
      <c r="AB387" s="2" t="b">
        <v>1</v>
      </c>
      <c r="AC387" s="2" t="inlineStr"/>
      <c r="AD387" s="2" t="inlineStr">
        <is>
          <t>Exact field from Cash Flow!A58; value cell B58.</t>
        </is>
      </c>
      <c r="AE387" s="2" t="inlineStr">
        <is>
          <t>Notes may support direct extraction or decomposition with provenance. Formula outputs must be derived only from template dependencies.</t>
        </is>
      </c>
      <c r="AF387" s="2" t="inlineStr"/>
      <c r="AG387" s="2" t="inlineStr">
        <is>
          <t>[]</t>
        </is>
      </c>
      <c r="AH387" s="2" t="inlineStr">
        <is>
          <t>Acq of Sub(Net of Cash Acqrd)</t>
        </is>
      </c>
      <c r="AI387" s="2" t="inlineStr"/>
      <c r="AJ387" s="2" t="inlineStr">
        <is>
          <t>{"template_sheet": "Cash Flow", "template_row": 58, "template_cell": "B58", "template_value_or_formula": 45, "calculation_type": "reported_input", "dependencies": [], "source_template": "Copy of Output_CSV Template.xlsx"}</t>
        </is>
      </c>
    </row>
    <row r="388">
      <c r="A388" s="2" t="inlineStr">
        <is>
          <t>cf_investing__proceeds_sale_of_subsidiary</t>
        </is>
      </c>
      <c r="B388" s="2" t="inlineStr">
        <is>
          <t>Proceeds Sale of Subsidiary</t>
        </is>
      </c>
      <c r="C388" s="2" t="inlineStr">
        <is>
          <t>cf_investing</t>
        </is>
      </c>
      <c r="D388" s="2" t="inlineStr">
        <is>
          <t>Extract the reported value for 'Proceeds Sale of Subsidiary' from the stated section. Do not calculate or replace it from other rows, because the revised template does not designate this field as formula-driven.</t>
        </is>
      </c>
      <c r="E388" s="2" t="inlineStr">
        <is>
          <t>Proceeds Sale of Subsidiary</t>
        </is>
      </c>
      <c r="F388" s="2" t="inlineStr">
        <is>
          <t>Proceeds Sale of Subsidiary</t>
        </is>
      </c>
      <c r="G388" s="2" t="inlineStr">
        <is>
          <t>^Proceeds\s+Sale\s+of\s+Subsidiary$</t>
        </is>
      </c>
      <c r="H388" s="2" t="inlineStr"/>
      <c r="I388" s="2" t="inlineStr">
        <is>
          <t>Amounts or disclosures explicitly reported for Proceeds Sale of Subsidiary in Cash Flow / cf_investing.</t>
        </is>
      </c>
      <c r="J388" s="2" t="inlineStr">
        <is>
          <t>Do not substitute another section, period, entity scope, currency or unit; do not double count a parent and its children.</t>
        </is>
      </c>
      <c r="K388" s="2" t="inlineStr"/>
      <c r="L388" s="2" t="inlineStr">
        <is>
          <t>as_reported</t>
        </is>
      </c>
      <c r="M388" s="2" t="inlineStr">
        <is>
          <t>direct_exclusive</t>
        </is>
      </c>
      <c r="N388" s="2" t="n">
        <v>90</v>
      </c>
      <c r="O388" s="2" t="inlineStr">
        <is>
          <t>normalized_exact_then_regex</t>
        </is>
      </c>
      <c r="P388" s="3" t="inlineStr">
        <is>
          <t>extract</t>
        </is>
      </c>
      <c r="Q388" s="2" t="inlineStr">
        <is>
          <t>currency_amount</t>
        </is>
      </c>
      <c r="R388" s="2" t="inlineStr">
        <is>
          <t>period_flow</t>
        </is>
      </c>
      <c r="S388" s="2" t="inlineStr">
        <is>
          <t>allowed_with_provenance</t>
        </is>
      </c>
      <c r="T388" s="2" t="b">
        <v>0</v>
      </c>
      <c r="U388" s="2" t="b">
        <v>0</v>
      </c>
      <c r="V388" s="2" t="inlineStr"/>
      <c r="W388" s="2" t="inlineStr"/>
      <c r="X388" s="2" t="inlineStr">
        <is>
          <t>Decompose only from explicit face or note evidence; never fabricate a split.</t>
        </is>
      </c>
      <c r="Y388" s="2" t="inlineStr">
        <is>
          <t>Aggregate only mutually exclusive facts with identical period, scope, currency and unit.</t>
        </is>
      </c>
      <c r="Z388" s="2" t="inlineStr">
        <is>
          <t>Bind only to Cash Flow / cf_investing.</t>
        </is>
      </c>
      <c r="AA388" s="2" t="inlineStr"/>
      <c r="AB388" s="2" t="b">
        <v>1</v>
      </c>
      <c r="AC388" s="2" t="inlineStr"/>
      <c r="AD388" s="2" t="inlineStr">
        <is>
          <t>Exact field from Cash Flow!A59; value cell B59.</t>
        </is>
      </c>
      <c r="AE388" s="2" t="inlineStr">
        <is>
          <t>Notes may support direct extraction or decomposition with provenance. Formula outputs must be derived only from template dependencies.</t>
        </is>
      </c>
      <c r="AF388" s="2" t="inlineStr"/>
      <c r="AG388" s="2" t="inlineStr">
        <is>
          <t>[]</t>
        </is>
      </c>
      <c r="AH388" s="2" t="inlineStr">
        <is>
          <t>Proceeds Sale of Subsidiary</t>
        </is>
      </c>
      <c r="AI388" s="2" t="inlineStr"/>
      <c r="AJ388" s="2" t="inlineStr">
        <is>
          <t>{"template_sheet": "Cash Flow", "template_row": 59, "template_cell": "B59", "template_value_or_formula": 19, "calculation_type": "reported_input", "dependencies": [], "source_template": "Copy of Output_CSV Template.xlsx"}</t>
        </is>
      </c>
    </row>
    <row r="389">
      <c r="A389" s="2" t="inlineStr">
        <is>
          <t>cf_investing__payment_fin_lease_liab</t>
        </is>
      </c>
      <c r="B389" s="2" t="inlineStr">
        <is>
          <t>Payment Fin Lease Liab</t>
        </is>
      </c>
      <c r="C389" s="2" t="inlineStr">
        <is>
          <t>cf_investing</t>
        </is>
      </c>
      <c r="D389" s="2" t="inlineStr">
        <is>
          <t>Extract the reported value for 'Payment Fin Lease Liab' from the stated section. Do not calculate or replace it from other rows, because the revised template does not designate this field as formula-driven.</t>
        </is>
      </c>
      <c r="E389" s="2" t="inlineStr">
        <is>
          <t>Payment Fin Lease Liab</t>
        </is>
      </c>
      <c r="F389" s="2" t="inlineStr">
        <is>
          <t>Payment Fin Lease Liab</t>
        </is>
      </c>
      <c r="G389" s="2" t="inlineStr">
        <is>
          <t>^Payment\s+Fin\s+Lease\s+Liab$</t>
        </is>
      </c>
      <c r="H389" s="2" t="inlineStr"/>
      <c r="I389" s="2" t="inlineStr">
        <is>
          <t>Amounts or disclosures explicitly reported for Payment Fin Lease Liab in Cash Flow / cf_investing.</t>
        </is>
      </c>
      <c r="J389" s="2" t="inlineStr">
        <is>
          <t>Do not substitute another section, period, entity scope, currency or unit; do not double count a parent and its children.</t>
        </is>
      </c>
      <c r="K389" s="2" t="inlineStr"/>
      <c r="L389" s="2" t="inlineStr">
        <is>
          <t>as_reported</t>
        </is>
      </c>
      <c r="M389" s="2" t="inlineStr">
        <is>
          <t>direct_exclusive</t>
        </is>
      </c>
      <c r="N389" s="2" t="n">
        <v>90</v>
      </c>
      <c r="O389" s="2" t="inlineStr">
        <is>
          <t>normalized_exact_then_regex</t>
        </is>
      </c>
      <c r="P389" s="3" t="inlineStr">
        <is>
          <t>extract</t>
        </is>
      </c>
      <c r="Q389" s="2" t="inlineStr">
        <is>
          <t>currency_amount</t>
        </is>
      </c>
      <c r="R389" s="2" t="inlineStr">
        <is>
          <t>period_flow</t>
        </is>
      </c>
      <c r="S389" s="2" t="inlineStr">
        <is>
          <t>allowed_with_provenance</t>
        </is>
      </c>
      <c r="T389" s="2" t="b">
        <v>0</v>
      </c>
      <c r="U389" s="2" t="b">
        <v>0</v>
      </c>
      <c r="V389" s="2" t="inlineStr"/>
      <c r="W389" s="2" t="inlineStr"/>
      <c r="X389" s="2" t="inlineStr">
        <is>
          <t>Decompose only from explicit face or note evidence; never fabricate a split.</t>
        </is>
      </c>
      <c r="Y389" s="2" t="inlineStr">
        <is>
          <t>Aggregate only mutually exclusive facts with identical period, scope, currency and unit.</t>
        </is>
      </c>
      <c r="Z389" s="2" t="inlineStr">
        <is>
          <t>Bind only to Cash Flow / cf_investing.</t>
        </is>
      </c>
      <c r="AA389" s="2" t="inlineStr"/>
      <c r="AB389" s="2" t="b">
        <v>1</v>
      </c>
      <c r="AC389" s="2" t="inlineStr"/>
      <c r="AD389" s="2" t="inlineStr">
        <is>
          <t>Exact field from Cash Flow!A60; value cell B60.</t>
        </is>
      </c>
      <c r="AE389" s="2" t="inlineStr">
        <is>
          <t>Notes may support direct extraction or decomposition with provenance. Formula outputs must be derived only from template dependencies.</t>
        </is>
      </c>
      <c r="AF389" s="2" t="inlineStr"/>
      <c r="AG389" s="2" t="inlineStr">
        <is>
          <t>[]</t>
        </is>
      </c>
      <c r="AH389" s="2" t="inlineStr">
        <is>
          <t>Payment Fin Lease Liab</t>
        </is>
      </c>
      <c r="AI389" s="2" t="inlineStr"/>
      <c r="AJ389" s="2" t="inlineStr">
        <is>
          <t>{"template_sheet": "Cash Flow", "template_row": 60, "template_cell": "B60", "template_value_or_formula": -36, "calculation_type": "reported_input", "dependencies": [], "source_template": "Copy of Output_CSV Template.xlsx"}</t>
        </is>
      </c>
    </row>
    <row r="390">
      <c r="A390" s="2" t="inlineStr">
        <is>
          <t>cf_investing__interest_income_rcvd_invest</t>
        </is>
      </c>
      <c r="B390" s="2" t="inlineStr">
        <is>
          <t>Interest Income Rcvd(Invest)</t>
        </is>
      </c>
      <c r="C390" s="2" t="inlineStr">
        <is>
          <t>cf_investing</t>
        </is>
      </c>
      <c r="D390" s="2" t="inlineStr">
        <is>
          <t>Extract the reported value for 'Interest Income Rcvd(Invest)' from the stated section. Do not calculate or replace it from other rows, because the revised template does not designate this field as formula-driven.</t>
        </is>
      </c>
      <c r="E390" s="2" t="inlineStr">
        <is>
          <t>Interest Income Rcvd(Invest)</t>
        </is>
      </c>
      <c r="F390" s="2" t="inlineStr">
        <is>
          <t>Interest Income Rcvd(Invest)</t>
        </is>
      </c>
      <c r="G390" s="2" t="inlineStr">
        <is>
          <t>^Interest\s+Income\s+Rcvd\(Invest\)$</t>
        </is>
      </c>
      <c r="H390" s="2" t="inlineStr"/>
      <c r="I390" s="2" t="inlineStr">
        <is>
          <t>Amounts or disclosures explicitly reported for Interest Income Rcvd(Invest) in Cash Flow / cf_investing.</t>
        </is>
      </c>
      <c r="J390" s="2" t="inlineStr">
        <is>
          <t>Do not substitute another section, period, entity scope, currency or unit; do not double count a parent and its children.</t>
        </is>
      </c>
      <c r="K390" s="2" t="inlineStr"/>
      <c r="L390" s="2" t="inlineStr">
        <is>
          <t>as_reported</t>
        </is>
      </c>
      <c r="M390" s="2" t="inlineStr">
        <is>
          <t>direct_exclusive</t>
        </is>
      </c>
      <c r="N390" s="2" t="n">
        <v>90</v>
      </c>
      <c r="O390" s="2" t="inlineStr">
        <is>
          <t>normalized_exact_then_regex</t>
        </is>
      </c>
      <c r="P390" s="3" t="inlineStr">
        <is>
          <t>extract</t>
        </is>
      </c>
      <c r="Q390" s="2" t="inlineStr">
        <is>
          <t>currency_amount</t>
        </is>
      </c>
      <c r="R390" s="2" t="inlineStr">
        <is>
          <t>period_flow</t>
        </is>
      </c>
      <c r="S390" s="2" t="inlineStr">
        <is>
          <t>allowed_with_provenance</t>
        </is>
      </c>
      <c r="T390" s="2" t="b">
        <v>0</v>
      </c>
      <c r="U390" s="2" t="b">
        <v>0</v>
      </c>
      <c r="V390" s="2" t="inlineStr"/>
      <c r="W390" s="2" t="inlineStr"/>
      <c r="X390" s="2" t="inlineStr">
        <is>
          <t>Decompose only from explicit face or note evidence; never fabricate a split.</t>
        </is>
      </c>
      <c r="Y390" s="2" t="inlineStr">
        <is>
          <t>Aggregate only mutually exclusive facts with identical period, scope, currency and unit.</t>
        </is>
      </c>
      <c r="Z390" s="2" t="inlineStr">
        <is>
          <t>Bind only to Cash Flow / cf_investing.</t>
        </is>
      </c>
      <c r="AA390" s="2" t="inlineStr"/>
      <c r="AB390" s="2" t="b">
        <v>1</v>
      </c>
      <c r="AC390" s="2" t="inlineStr"/>
      <c r="AD390" s="2" t="inlineStr">
        <is>
          <t>Exact field from Cash Flow!A61; value cell B61.</t>
        </is>
      </c>
      <c r="AE390" s="2" t="inlineStr">
        <is>
          <t>Notes may support direct extraction or decomposition with provenance. Formula outputs must be derived only from template dependencies.</t>
        </is>
      </c>
      <c r="AF390" s="2" t="inlineStr"/>
      <c r="AG390" s="2" t="inlineStr">
        <is>
          <t>[]</t>
        </is>
      </c>
      <c r="AH390" s="2" t="inlineStr">
        <is>
          <t>Interest Income Rcvd(Invest)</t>
        </is>
      </c>
      <c r="AI390" s="2" t="inlineStr"/>
      <c r="AJ390" s="2" t="inlineStr">
        <is>
          <t>{"template_sheet": "Cash Flow", "template_row": 61, "template_cell": "B61", "template_value_or_formula": 10, "calculation_type": "reported_input", "dependencies": [], "source_template": "Copy of Output_CSV Template.xlsx"}</t>
        </is>
      </c>
    </row>
    <row r="391">
      <c r="A391" s="2" t="inlineStr">
        <is>
          <t>cf_investing__dividends_received_invest</t>
        </is>
      </c>
      <c r="B391" s="2" t="inlineStr">
        <is>
          <t>Dividends Received(Invest)</t>
        </is>
      </c>
      <c r="C391" s="2" t="inlineStr">
        <is>
          <t>cf_investing</t>
        </is>
      </c>
      <c r="D391" s="2" t="inlineStr">
        <is>
          <t>Extract the reported value for 'Dividends Received(Invest)' from the stated section. Do not calculate or replace it from other rows, because the revised template does not designate this field as formula-driven.</t>
        </is>
      </c>
      <c r="E391" s="2" t="inlineStr">
        <is>
          <t>Dividends Received(Invest)</t>
        </is>
      </c>
      <c r="F391" s="2" t="inlineStr">
        <is>
          <t>Dividends Received(Invest)</t>
        </is>
      </c>
      <c r="G391" s="2" t="inlineStr">
        <is>
          <t>^Dividends\s+Received\(Invest\)$</t>
        </is>
      </c>
      <c r="H391" s="2" t="inlineStr"/>
      <c r="I391" s="2" t="inlineStr">
        <is>
          <t>Amounts or disclosures explicitly reported for Dividends Received(Invest) in Cash Flow / cf_investing.</t>
        </is>
      </c>
      <c r="J391" s="2" t="inlineStr">
        <is>
          <t>Do not substitute another section, period, entity scope, currency or unit; do not double count a parent and its children.</t>
        </is>
      </c>
      <c r="K391" s="2" t="inlineStr"/>
      <c r="L391" s="2" t="inlineStr">
        <is>
          <t>as_reported</t>
        </is>
      </c>
      <c r="M391" s="2" t="inlineStr">
        <is>
          <t>direct_exclusive</t>
        </is>
      </c>
      <c r="N391" s="2" t="n">
        <v>90</v>
      </c>
      <c r="O391" s="2" t="inlineStr">
        <is>
          <t>normalized_exact_then_regex</t>
        </is>
      </c>
      <c r="P391" s="3" t="inlineStr">
        <is>
          <t>extract</t>
        </is>
      </c>
      <c r="Q391" s="2" t="inlineStr">
        <is>
          <t>currency_amount</t>
        </is>
      </c>
      <c r="R391" s="2" t="inlineStr">
        <is>
          <t>period_flow</t>
        </is>
      </c>
      <c r="S391" s="2" t="inlineStr">
        <is>
          <t>allowed_with_provenance</t>
        </is>
      </c>
      <c r="T391" s="2" t="b">
        <v>0</v>
      </c>
      <c r="U391" s="2" t="b">
        <v>0</v>
      </c>
      <c r="V391" s="2" t="inlineStr"/>
      <c r="W391" s="2" t="inlineStr"/>
      <c r="X391" s="2" t="inlineStr">
        <is>
          <t>Decompose only from explicit face or note evidence; never fabricate a split.</t>
        </is>
      </c>
      <c r="Y391" s="2" t="inlineStr">
        <is>
          <t>Aggregate only mutually exclusive facts with identical period, scope, currency and unit.</t>
        </is>
      </c>
      <c r="Z391" s="2" t="inlineStr">
        <is>
          <t>Bind only to Cash Flow / cf_investing.</t>
        </is>
      </c>
      <c r="AA391" s="2" t="inlineStr"/>
      <c r="AB391" s="2" t="b">
        <v>1</v>
      </c>
      <c r="AC391" s="2" t="inlineStr"/>
      <c r="AD391" s="2" t="inlineStr">
        <is>
          <t>Exact field from Cash Flow!A62; value cell B62.</t>
        </is>
      </c>
      <c r="AE391" s="2" t="inlineStr">
        <is>
          <t>Notes may support direct extraction or decomposition with provenance. Formula outputs must be derived only from template dependencies.</t>
        </is>
      </c>
      <c r="AF391" s="2" t="inlineStr"/>
      <c r="AG391" s="2" t="inlineStr">
        <is>
          <t>[]</t>
        </is>
      </c>
      <c r="AH391" s="2" t="inlineStr">
        <is>
          <t>Dividends Received(Invest)</t>
        </is>
      </c>
      <c r="AI391" s="2" t="inlineStr"/>
      <c r="AJ391" s="2" t="inlineStr">
        <is>
          <t>{"template_sheet": "Cash Flow", "template_row": 62, "template_cell": "B62", "template_value_or_formula": 27, "calculation_type": "reported_input", "dependencies": [], "source_template": "Copy of Output_CSV Template.xlsx"}</t>
        </is>
      </c>
    </row>
    <row r="392">
      <c r="A392" s="2" t="inlineStr">
        <is>
          <t>cf_investing__cash_flow_extraord_items_invest</t>
        </is>
      </c>
      <c r="B392" s="2" t="inlineStr">
        <is>
          <t>Cash Flow Extraord Items(Invest)</t>
        </is>
      </c>
      <c r="C392" s="2" t="inlineStr">
        <is>
          <t>cf_investing</t>
        </is>
      </c>
      <c r="D392" s="2" t="inlineStr">
        <is>
          <t>Extract the reported value for 'Cash Flow Extraord Items(Invest)' from the stated section. Do not calculate or replace it from other rows, because the revised template does not designate this field as formula-driven.</t>
        </is>
      </c>
      <c r="E392" s="2" t="inlineStr">
        <is>
          <t>Cash Flow Extraord Items(Invest)</t>
        </is>
      </c>
      <c r="F392" s="2" t="inlineStr">
        <is>
          <t>Cash Flow Extraord Items(Invest)</t>
        </is>
      </c>
      <c r="G392" s="2" t="inlineStr">
        <is>
          <t>^Cash\s+Flow\s+Extraord\s+Items\(Invest\)$</t>
        </is>
      </c>
      <c r="H392" s="2" t="inlineStr"/>
      <c r="I392" s="2" t="inlineStr">
        <is>
          <t>Amounts or disclosures explicitly reported for Cash Flow Extraord Items(Invest) in Cash Flow / cf_investing.</t>
        </is>
      </c>
      <c r="J392" s="2" t="inlineStr">
        <is>
          <t>Do not substitute another section, period, entity scope, currency or unit; do not double count a parent and its children.</t>
        </is>
      </c>
      <c r="K392" s="2" t="inlineStr"/>
      <c r="L392" s="2" t="inlineStr">
        <is>
          <t>as_reported</t>
        </is>
      </c>
      <c r="M392" s="2" t="inlineStr">
        <is>
          <t>direct_exclusive</t>
        </is>
      </c>
      <c r="N392" s="2" t="n">
        <v>90</v>
      </c>
      <c r="O392" s="2" t="inlineStr">
        <is>
          <t>normalized_exact_then_regex</t>
        </is>
      </c>
      <c r="P392" s="3" t="inlineStr">
        <is>
          <t>extract</t>
        </is>
      </c>
      <c r="Q392" s="2" t="inlineStr">
        <is>
          <t>currency_amount</t>
        </is>
      </c>
      <c r="R392" s="2" t="inlineStr">
        <is>
          <t>period_flow</t>
        </is>
      </c>
      <c r="S392" s="2" t="inlineStr">
        <is>
          <t>allowed_with_provenance</t>
        </is>
      </c>
      <c r="T392" s="2" t="b">
        <v>0</v>
      </c>
      <c r="U392" s="2" t="b">
        <v>0</v>
      </c>
      <c r="V392" s="2" t="inlineStr"/>
      <c r="W392" s="2" t="inlineStr"/>
      <c r="X392" s="2" t="inlineStr">
        <is>
          <t>Decompose only from explicit face or note evidence; never fabricate a split.</t>
        </is>
      </c>
      <c r="Y392" s="2" t="inlineStr">
        <is>
          <t>Aggregate only mutually exclusive facts with identical period, scope, currency and unit.</t>
        </is>
      </c>
      <c r="Z392" s="2" t="inlineStr">
        <is>
          <t>Bind only to Cash Flow / cf_investing.</t>
        </is>
      </c>
      <c r="AA392" s="2" t="inlineStr"/>
      <c r="AB392" s="2" t="b">
        <v>1</v>
      </c>
      <c r="AC392" s="2" t="inlineStr"/>
      <c r="AD392" s="2" t="inlineStr">
        <is>
          <t>Exact field from Cash Flow!A63; value cell B63.</t>
        </is>
      </c>
      <c r="AE392" s="2" t="inlineStr">
        <is>
          <t>Notes may support direct extraction or decomposition with provenance. Formula outputs must be derived only from template dependencies.</t>
        </is>
      </c>
      <c r="AF392" s="2" t="inlineStr"/>
      <c r="AG392" s="2" t="inlineStr">
        <is>
          <t>[]</t>
        </is>
      </c>
      <c r="AH392" s="2" t="inlineStr">
        <is>
          <t>Cash Flow Extraord Items(Invest)</t>
        </is>
      </c>
      <c r="AI392" s="2" t="inlineStr"/>
      <c r="AJ392" s="2" t="inlineStr">
        <is>
          <t>{"template_sheet": "Cash Flow", "template_row": 63, "template_cell": "B63", "template_value_or_formula": -44, "calculation_type": "reported_input", "dependencies": [], "source_template": "Copy of Output_CSV Template.xlsx"}</t>
        </is>
      </c>
    </row>
    <row r="393">
      <c r="A393" s="2" t="inlineStr">
        <is>
          <t>cf_investing__cash_flow_hedging_invest</t>
        </is>
      </c>
      <c r="B393" s="2" t="inlineStr">
        <is>
          <t>Cash Flow Hedging(Invest)</t>
        </is>
      </c>
      <c r="C393" s="2" t="inlineStr">
        <is>
          <t>cf_investing</t>
        </is>
      </c>
      <c r="D393" s="2" t="inlineStr">
        <is>
          <t>Extract the reported value for 'Cash Flow Hedging(Invest)' from the stated section. Do not calculate or replace it from other rows, because the revised template does not designate this field as formula-driven.</t>
        </is>
      </c>
      <c r="E393" s="2" t="inlineStr">
        <is>
          <t>Cash Flow Hedging(Invest)</t>
        </is>
      </c>
      <c r="F393" s="2" t="inlineStr">
        <is>
          <t>Cash Flow Hedging(Invest)</t>
        </is>
      </c>
      <c r="G393" s="2" t="inlineStr">
        <is>
          <t>^Cash\s+Flow\s+Hedging\(Invest\)$</t>
        </is>
      </c>
      <c r="H393" s="2" t="inlineStr"/>
      <c r="I393" s="2" t="inlineStr">
        <is>
          <t>Amounts or disclosures explicitly reported for Cash Flow Hedging(Invest) in Cash Flow / cf_investing.</t>
        </is>
      </c>
      <c r="J393" s="2" t="inlineStr">
        <is>
          <t>Do not substitute another section, period, entity scope, currency or unit; do not double count a parent and its children.</t>
        </is>
      </c>
      <c r="K393" s="2" t="inlineStr"/>
      <c r="L393" s="2" t="inlineStr">
        <is>
          <t>as_reported</t>
        </is>
      </c>
      <c r="M393" s="2" t="inlineStr">
        <is>
          <t>direct_exclusive</t>
        </is>
      </c>
      <c r="N393" s="2" t="n">
        <v>90</v>
      </c>
      <c r="O393" s="2" t="inlineStr">
        <is>
          <t>normalized_exact_then_regex</t>
        </is>
      </c>
      <c r="P393" s="3" t="inlineStr">
        <is>
          <t>extract</t>
        </is>
      </c>
      <c r="Q393" s="2" t="inlineStr">
        <is>
          <t>currency_amount</t>
        </is>
      </c>
      <c r="R393" s="2" t="inlineStr">
        <is>
          <t>period_flow</t>
        </is>
      </c>
      <c r="S393" s="2" t="inlineStr">
        <is>
          <t>allowed_with_provenance</t>
        </is>
      </c>
      <c r="T393" s="2" t="b">
        <v>0</v>
      </c>
      <c r="U393" s="2" t="b">
        <v>0</v>
      </c>
      <c r="V393" s="2" t="inlineStr"/>
      <c r="W393" s="2" t="inlineStr"/>
      <c r="X393" s="2" t="inlineStr">
        <is>
          <t>Decompose only from explicit face or note evidence; never fabricate a split.</t>
        </is>
      </c>
      <c r="Y393" s="2" t="inlineStr">
        <is>
          <t>Aggregate only mutually exclusive facts with identical period, scope, currency and unit.</t>
        </is>
      </c>
      <c r="Z393" s="2" t="inlineStr">
        <is>
          <t>Bind only to Cash Flow / cf_investing.</t>
        </is>
      </c>
      <c r="AA393" s="2" t="inlineStr"/>
      <c r="AB393" s="2" t="b">
        <v>1</v>
      </c>
      <c r="AC393" s="2" t="inlineStr"/>
      <c r="AD393" s="2" t="inlineStr">
        <is>
          <t>Exact field from Cash Flow!A64; value cell B64.</t>
        </is>
      </c>
      <c r="AE393" s="2" t="inlineStr">
        <is>
          <t>Notes may support direct extraction or decomposition with provenance. Formula outputs must be derived only from template dependencies.</t>
        </is>
      </c>
      <c r="AF393" s="2" t="inlineStr"/>
      <c r="AG393" s="2" t="inlineStr">
        <is>
          <t>[]</t>
        </is>
      </c>
      <c r="AH393" s="2" t="inlineStr">
        <is>
          <t>Cash Flow Hedging(Invest)</t>
        </is>
      </c>
      <c r="AI393" s="2" t="inlineStr"/>
      <c r="AJ393" s="2" t="inlineStr">
        <is>
          <t>{"template_sheet": "Cash Flow", "template_row": 64, "template_cell": "B64", "template_value_or_formula": 18, "calculation_type": "reported_input", "dependencies": [], "source_template": "Copy of Output_CSV Template.xlsx"}</t>
        </is>
      </c>
    </row>
    <row r="394">
      <c r="A394" s="2" t="inlineStr">
        <is>
          <t>cf_investing__other_invest_cash_flows</t>
        </is>
      </c>
      <c r="B394" s="2" t="inlineStr">
        <is>
          <t>Other Invest Cash Flows</t>
        </is>
      </c>
      <c r="C394" s="2" t="inlineStr">
        <is>
          <t>cf_investing</t>
        </is>
      </c>
      <c r="D394" s="2" t="inlineStr">
        <is>
          <t>Extract the reported value for 'Other Invest Cash Flows' from the stated section. Do not calculate or replace it from other rows, because the revised template does not designate this field as formula-driven.</t>
        </is>
      </c>
      <c r="E394" s="2" t="inlineStr">
        <is>
          <t>Other Invest Cash Flows</t>
        </is>
      </c>
      <c r="F394" s="2" t="inlineStr">
        <is>
          <t>Other Invest Cash Flows</t>
        </is>
      </c>
      <c r="G394" s="2" t="inlineStr">
        <is>
          <t>^Other\s+Invest\s+Cash\s+Flows$</t>
        </is>
      </c>
      <c r="H394" s="2" t="inlineStr"/>
      <c r="I394" s="2" t="inlineStr">
        <is>
          <t>Amounts or disclosures explicitly reported for Other Invest Cash Flows in Cash Flow / cf_investing.</t>
        </is>
      </c>
      <c r="J394" s="2" t="inlineStr">
        <is>
          <t>Do not substitute another section, period, entity scope, currency or unit; do not double count a parent and its children.</t>
        </is>
      </c>
      <c r="K394" s="2" t="inlineStr"/>
      <c r="L394" s="2" t="inlineStr">
        <is>
          <t>as_reported</t>
        </is>
      </c>
      <c r="M394" s="2" t="inlineStr">
        <is>
          <t>direct_exclusive</t>
        </is>
      </c>
      <c r="N394" s="2" t="n">
        <v>90</v>
      </c>
      <c r="O394" s="2" t="inlineStr">
        <is>
          <t>normalized_exact_then_regex</t>
        </is>
      </c>
      <c r="P394" s="3" t="inlineStr">
        <is>
          <t>extract</t>
        </is>
      </c>
      <c r="Q394" s="2" t="inlineStr">
        <is>
          <t>currency_amount</t>
        </is>
      </c>
      <c r="R394" s="2" t="inlineStr">
        <is>
          <t>period_flow</t>
        </is>
      </c>
      <c r="S394" s="2" t="inlineStr">
        <is>
          <t>allowed_with_provenance</t>
        </is>
      </c>
      <c r="T394" s="2" t="b">
        <v>0</v>
      </c>
      <c r="U394" s="2" t="b">
        <v>0</v>
      </c>
      <c r="V394" s="2" t="inlineStr"/>
      <c r="W394" s="2" t="inlineStr"/>
      <c r="X394" s="2" t="inlineStr">
        <is>
          <t>Decompose only from explicit face or note evidence; never fabricate a split.</t>
        </is>
      </c>
      <c r="Y394" s="2" t="inlineStr">
        <is>
          <t>Aggregate only mutually exclusive facts with identical period, scope, currency and unit.</t>
        </is>
      </c>
      <c r="Z394" s="2" t="inlineStr">
        <is>
          <t>Bind only to Cash Flow / cf_investing.</t>
        </is>
      </c>
      <c r="AA394" s="2" t="inlineStr"/>
      <c r="AB394" s="2" t="b">
        <v>1</v>
      </c>
      <c r="AC394" s="2" t="inlineStr"/>
      <c r="AD394" s="2" t="inlineStr">
        <is>
          <t>Exact field from Cash Flow!A65; value cell B65.</t>
        </is>
      </c>
      <c r="AE394" s="2" t="inlineStr">
        <is>
          <t>Notes may support direct extraction or decomposition with provenance. Formula outputs must be derived only from template dependencies.</t>
        </is>
      </c>
      <c r="AF394" s="2" t="inlineStr">
        <is>
          <t>{"mode": "no_balancing_plug", "negative_result": "review"}</t>
        </is>
      </c>
      <c r="AG394" s="2" t="inlineStr">
        <is>
          <t>[]</t>
        </is>
      </c>
      <c r="AH394" s="2" t="inlineStr">
        <is>
          <t>Other Invest Cash Flows</t>
        </is>
      </c>
      <c r="AI394" s="2" t="inlineStr"/>
      <c r="AJ394" s="2" t="inlineStr">
        <is>
          <t>{"template_sheet": "Cash Flow", "template_row": 65, "template_cell": "B65", "template_value_or_formula": 35, "calculation_type": "reported_input", "dependencies": [], "source_template": "Copy of Output_CSV Template.xlsx"}</t>
        </is>
      </c>
    </row>
    <row r="395">
      <c r="A395" s="2" t="inlineStr">
        <is>
          <t>cf_investing__cash_flows_from_invest_activities</t>
        </is>
      </c>
      <c r="B395" s="2" t="inlineStr">
        <is>
          <t>Cash Flows from Invest Activities</t>
        </is>
      </c>
      <c r="C395" s="2" t="inlineStr">
        <is>
          <t>cf_investing</t>
        </is>
      </c>
      <c r="D395" s="2" t="inlineStr">
        <is>
          <t>Calculated target using the exact formula retained in the supplied template: =SUM({cf_investing__purchase_intangible_assets}:{cf_investing__other_invest_cash_flows})</t>
        </is>
      </c>
      <c r="E395" s="2" t="inlineStr">
        <is>
          <t>Cash Flows from Invest Activities</t>
        </is>
      </c>
      <c r="F395" s="2" t="inlineStr">
        <is>
          <t>Cash Flows from Invest Activities</t>
        </is>
      </c>
      <c r="G395" s="2" t="inlineStr">
        <is>
          <t>^Cash\s+Flows\s+from\s+Invest\s+Activities$</t>
        </is>
      </c>
      <c r="H395" s="2" t="inlineStr"/>
      <c r="I395" s="2" t="inlineStr">
        <is>
          <t>Amounts or disclosures explicitly reported for Cash Flows from Invest Activities in Cash Flow / cf_investing.</t>
        </is>
      </c>
      <c r="J395" s="2" t="inlineStr">
        <is>
          <t>Do not substitute another section, period, entity scope, currency or unit; do not double count a parent and its children.</t>
        </is>
      </c>
      <c r="K395" s="2" t="inlineStr"/>
      <c r="L395" s="2" t="inlineStr">
        <is>
          <t>as_reported</t>
        </is>
      </c>
      <c r="M395" s="2" t="inlineStr">
        <is>
          <t>derived_total</t>
        </is>
      </c>
      <c r="N395" s="2" t="n">
        <v>100</v>
      </c>
      <c r="O395" s="2" t="inlineStr">
        <is>
          <t>disabled</t>
        </is>
      </c>
      <c r="P395" s="4" t="inlineStr">
        <is>
          <t>derive</t>
        </is>
      </c>
      <c r="Q395" s="2" t="inlineStr">
        <is>
          <t>currency_amount</t>
        </is>
      </c>
      <c r="R395" s="2" t="inlineStr">
        <is>
          <t>period_flow</t>
        </is>
      </c>
      <c r="S395" s="2" t="inlineStr">
        <is>
          <t>allowed_with_provenance</t>
        </is>
      </c>
      <c r="T395" s="2" t="b">
        <v>0</v>
      </c>
      <c r="U395" s="2" t="b">
        <v>1</v>
      </c>
      <c r="V395" s="2" t="inlineStr">
        <is>
          <t>cf_investing__purchase_intangible_assets | cf_investing__other_invest_cash_flows</t>
        </is>
      </c>
      <c r="W395" s="2">
        <f>SUM({cf_investing__purchase_intangible_assets}:{cf_investing__other_invest_cash_flows})</f>
        <v/>
      </c>
      <c r="X395" s="2" t="inlineStr">
        <is>
          <t>Use only dependencies stated in the formula; never fabricate missing components.</t>
        </is>
      </c>
      <c r="Y395" s="2" t="inlineStr">
        <is>
          <t>Calculate only after every dependency is populated and validated.</t>
        </is>
      </c>
      <c r="Z395" s="2" t="inlineStr">
        <is>
          <t>Bind only to Cash Flow / cf_investing.</t>
        </is>
      </c>
      <c r="AA395" s="2" t="inlineStr"/>
      <c r="AB395" s="2" t="b">
        <v>0</v>
      </c>
      <c r="AC395" s="2" t="inlineStr">
        <is>
          <t>cf_investing__purchase_intangible_assets | cf_investing__other_invest_cash_flows</t>
        </is>
      </c>
      <c r="AD395" s="2" t="inlineStr">
        <is>
          <t>Exact field from Cash Flow!A66; value cell B66.</t>
        </is>
      </c>
      <c r="AE395" s="2" t="inlineStr">
        <is>
          <t>Notes may support direct extraction or decomposition with provenance. Formula outputs must be derived only from template dependencies.</t>
        </is>
      </c>
      <c r="AF395" s="2" t="inlineStr"/>
      <c r="AG395" s="2" t="inlineStr">
        <is>
          <t>[]</t>
        </is>
      </c>
      <c r="AH395" s="2" t="inlineStr">
        <is>
          <t>Cash Flows from Invest Activities</t>
        </is>
      </c>
      <c r="AI395" s="2" t="inlineStr"/>
      <c r="AJ395" s="2" t="inlineStr">
        <is>
          <t>{"template_sheet": "Cash Flow", "template_row": 66, "template_cell": "B66", "template_value_or_formula": "=SUM(B46:B65)", "calculation_type": "formula", "dependencies": ["cf_investing__purchase_intangible_assets", "cf_investing__other_invest_cash_flows"], "source_template": "Copy of Output_CSV Template.xlsx"}</t>
        </is>
      </c>
    </row>
    <row r="396">
      <c r="A396" s="2" t="inlineStr">
        <is>
          <t>cf_financing__net_proceeds_issuance_of_capital</t>
        </is>
      </c>
      <c r="B396" s="2" t="inlineStr">
        <is>
          <t>Net Proceeds Issuance of Capital</t>
        </is>
      </c>
      <c r="C396" s="2" t="inlineStr">
        <is>
          <t>cf_financing</t>
        </is>
      </c>
      <c r="D396" s="2" t="inlineStr">
        <is>
          <t>Extract the reported value for 'Net Proceeds Issuance of Capital' from the stated section. Do not calculate or replace it from other rows, because the revised template does not designate this field as formula-driven.</t>
        </is>
      </c>
      <c r="E396" s="2" t="inlineStr">
        <is>
          <t>Net Proceeds Issuance of Capital</t>
        </is>
      </c>
      <c r="F396" s="2" t="inlineStr">
        <is>
          <t>Net Proceeds Issuance of Capital</t>
        </is>
      </c>
      <c r="G396" s="2" t="inlineStr">
        <is>
          <t>^Net\s+Proceeds\s+Issuance\s+of\s+Capital$</t>
        </is>
      </c>
      <c r="H396" s="2" t="inlineStr"/>
      <c r="I396" s="2" t="inlineStr">
        <is>
          <t>Amounts or disclosures explicitly reported for Net Proceeds Issuance of Capital in Cash Flow / cf_financing.</t>
        </is>
      </c>
      <c r="J396" s="2" t="inlineStr">
        <is>
          <t>Do not substitute another section, period, entity scope, currency or unit; do not double count a parent and its children.</t>
        </is>
      </c>
      <c r="K396" s="2" t="inlineStr"/>
      <c r="L396" s="2" t="inlineStr">
        <is>
          <t>as_reported</t>
        </is>
      </c>
      <c r="M396" s="2" t="inlineStr">
        <is>
          <t>direct_exclusive</t>
        </is>
      </c>
      <c r="N396" s="2" t="n">
        <v>90</v>
      </c>
      <c r="O396" s="2" t="inlineStr">
        <is>
          <t>normalized_exact_then_regex</t>
        </is>
      </c>
      <c r="P396" s="3" t="inlineStr">
        <is>
          <t>extract</t>
        </is>
      </c>
      <c r="Q396" s="2" t="inlineStr">
        <is>
          <t>currency_amount</t>
        </is>
      </c>
      <c r="R396" s="2" t="inlineStr">
        <is>
          <t>period_flow</t>
        </is>
      </c>
      <c r="S396" s="2" t="inlineStr">
        <is>
          <t>allowed_with_provenance</t>
        </is>
      </c>
      <c r="T396" s="2" t="b">
        <v>0</v>
      </c>
      <c r="U396" s="2" t="b">
        <v>0</v>
      </c>
      <c r="V396" s="2" t="inlineStr"/>
      <c r="W396" s="2" t="inlineStr"/>
      <c r="X396" s="2" t="inlineStr">
        <is>
          <t>Decompose only from explicit face or note evidence; never fabricate a split.</t>
        </is>
      </c>
      <c r="Y396" s="2" t="inlineStr">
        <is>
          <t>Aggregate only mutually exclusive facts with identical period, scope, currency and unit.</t>
        </is>
      </c>
      <c r="Z396" s="2" t="inlineStr">
        <is>
          <t>Bind only to Cash Flow / cf_financing.</t>
        </is>
      </c>
      <c r="AA396" s="2" t="inlineStr"/>
      <c r="AB396" s="2" t="b">
        <v>1</v>
      </c>
      <c r="AC396" s="2" t="inlineStr"/>
      <c r="AD396" s="2" t="inlineStr">
        <is>
          <t>Exact field from Cash Flow!A68; value cell B68.</t>
        </is>
      </c>
      <c r="AE396" s="2" t="inlineStr">
        <is>
          <t>Notes may support direct extraction or decomposition with provenance. Formula outputs must be derived only from template dependencies.</t>
        </is>
      </c>
      <c r="AF396" s="2" t="inlineStr"/>
      <c r="AG396" s="2" t="inlineStr">
        <is>
          <t>[]</t>
        </is>
      </c>
      <c r="AH396" s="2" t="inlineStr">
        <is>
          <t>Net Proceeds Issuance of Capital</t>
        </is>
      </c>
      <c r="AI396" s="2" t="inlineStr"/>
      <c r="AJ396" s="2" t="inlineStr">
        <is>
          <t>{"template_sheet": "Cash Flow", "template_row": 68, "template_cell": "B68", "template_value_or_formula": 43, "calculation_type": "reported_input", "dependencies": [], "source_template": "Copy of Output_CSV Template.xlsx"}</t>
        </is>
      </c>
    </row>
    <row r="397">
      <c r="A397" s="2" t="inlineStr">
        <is>
          <t>cf_financing__purchase_sale_treasury_stock</t>
        </is>
      </c>
      <c r="B397" s="2" t="inlineStr">
        <is>
          <t>Purchase(Sale) Treasury Stock</t>
        </is>
      </c>
      <c r="C397" s="2" t="inlineStr">
        <is>
          <t>cf_financing</t>
        </is>
      </c>
      <c r="D397" s="2" t="inlineStr">
        <is>
          <t>Extract the reported value for 'Purchase(Sale) Treasury Stock' from the stated section. Do not calculate or replace it from other rows, because the revised template does not designate this field as formula-driven.</t>
        </is>
      </c>
      <c r="E397" s="2" t="inlineStr">
        <is>
          <t>Purchase(Sale) Treasury Stock</t>
        </is>
      </c>
      <c r="F397" s="2" t="inlineStr">
        <is>
          <t>Purchase(Sale) Treasury Stock</t>
        </is>
      </c>
      <c r="G397" s="2" t="inlineStr">
        <is>
          <t>^Purchase\(Sale\)\s+Treasury\s+Stock$</t>
        </is>
      </c>
      <c r="H397" s="2" t="inlineStr"/>
      <c r="I397" s="2" t="inlineStr">
        <is>
          <t>Amounts or disclosures explicitly reported for Purchase(Sale) Treasury Stock in Cash Flow / cf_financing.</t>
        </is>
      </c>
      <c r="J397" s="2" t="inlineStr">
        <is>
          <t>Do not substitute another section, period, entity scope, currency or unit; do not double count a parent and its children.</t>
        </is>
      </c>
      <c r="K397" s="2" t="inlineStr"/>
      <c r="L397" s="2" t="inlineStr">
        <is>
          <t>negative_or_contra</t>
        </is>
      </c>
      <c r="M397" s="2" t="inlineStr">
        <is>
          <t>direct_exclusive</t>
        </is>
      </c>
      <c r="N397" s="2" t="n">
        <v>90</v>
      </c>
      <c r="O397" s="2" t="inlineStr">
        <is>
          <t>normalized_exact_then_regex</t>
        </is>
      </c>
      <c r="P397" s="3" t="inlineStr">
        <is>
          <t>extract</t>
        </is>
      </c>
      <c r="Q397" s="2" t="inlineStr">
        <is>
          <t>currency_amount</t>
        </is>
      </c>
      <c r="R397" s="2" t="inlineStr">
        <is>
          <t>period_flow</t>
        </is>
      </c>
      <c r="S397" s="2" t="inlineStr">
        <is>
          <t>allowed_with_provenance</t>
        </is>
      </c>
      <c r="T397" s="2" t="b">
        <v>0</v>
      </c>
      <c r="U397" s="2" t="b">
        <v>0</v>
      </c>
      <c r="V397" s="2" t="inlineStr"/>
      <c r="W397" s="2" t="inlineStr"/>
      <c r="X397" s="2" t="inlineStr">
        <is>
          <t>Decompose only from explicit face or note evidence; never fabricate a split.</t>
        </is>
      </c>
      <c r="Y397" s="2" t="inlineStr">
        <is>
          <t>Aggregate only mutually exclusive facts with identical period, scope, currency and unit.</t>
        </is>
      </c>
      <c r="Z397" s="2" t="inlineStr">
        <is>
          <t>Bind only to Cash Flow / cf_financing.</t>
        </is>
      </c>
      <c r="AA397" s="2" t="inlineStr"/>
      <c r="AB397" s="2" t="b">
        <v>1</v>
      </c>
      <c r="AC397" s="2" t="inlineStr"/>
      <c r="AD397" s="2" t="inlineStr">
        <is>
          <t>Exact field from Cash Flow!A69; value cell B69.</t>
        </is>
      </c>
      <c r="AE397" s="2" t="inlineStr">
        <is>
          <t>Notes may support direct extraction or decomposition with provenance. Formula outputs must be derived only from template dependencies.</t>
        </is>
      </c>
      <c r="AF397" s="2" t="inlineStr"/>
      <c r="AG397" s="2" t="inlineStr">
        <is>
          <t>[]</t>
        </is>
      </c>
      <c r="AH397" s="2" t="inlineStr">
        <is>
          <t>Purchase(Sale) Treasury Stock</t>
        </is>
      </c>
      <c r="AI397" s="2" t="inlineStr"/>
      <c r="AJ397" s="2" t="inlineStr">
        <is>
          <t>{"template_sheet": "Cash Flow", "template_row": 69, "template_cell": "B69", "template_value_or_formula": -17, "calculation_type": "reported_input", "dependencies": [], "source_template": "Copy of Output_CSV Template.xlsx"}</t>
        </is>
      </c>
    </row>
    <row r="398">
      <c r="A398" s="2" t="inlineStr">
        <is>
          <t>cf_financing__proceeds_non_cur_borrowings</t>
        </is>
      </c>
      <c r="B398" s="2" t="inlineStr">
        <is>
          <t>Proceeds Non-Cur Borrowings</t>
        </is>
      </c>
      <c r="C398" s="2" t="inlineStr">
        <is>
          <t>cf_financing</t>
        </is>
      </c>
      <c r="D398" s="2" t="inlineStr">
        <is>
          <t>Extract the reported value for 'Proceeds Non-Cur Borrowings' from the stated section. Do not calculate or replace it from other rows, because the revised template does not designate this field as formula-driven.</t>
        </is>
      </c>
      <c r="E398" s="2" t="inlineStr">
        <is>
          <t>Proceeds Non-Cur Borrowings</t>
        </is>
      </c>
      <c r="F398" s="2" t="inlineStr">
        <is>
          <t>Proceeds Non-Cur Borrowings</t>
        </is>
      </c>
      <c r="G398" s="2" t="inlineStr">
        <is>
          <t>^Proceeds\s+Non[\-–—]?Cur\s+Borrowings$</t>
        </is>
      </c>
      <c r="H398" s="2" t="inlineStr"/>
      <c r="I398" s="2" t="inlineStr">
        <is>
          <t>Amounts or disclosures explicitly reported for Proceeds Non-Cur Borrowings in Cash Flow / cf_financing.</t>
        </is>
      </c>
      <c r="J398" s="2" t="inlineStr">
        <is>
          <t>Do not substitute another section, period, entity scope, currency or unit; do not double count a parent and its children.</t>
        </is>
      </c>
      <c r="K398" s="2" t="inlineStr"/>
      <c r="L398" s="2" t="inlineStr">
        <is>
          <t>as_reported</t>
        </is>
      </c>
      <c r="M398" s="2" t="inlineStr">
        <is>
          <t>direct_exclusive</t>
        </is>
      </c>
      <c r="N398" s="2" t="n">
        <v>90</v>
      </c>
      <c r="O398" s="2" t="inlineStr">
        <is>
          <t>normalized_exact_then_regex</t>
        </is>
      </c>
      <c r="P398" s="3" t="inlineStr">
        <is>
          <t>extract</t>
        </is>
      </c>
      <c r="Q398" s="2" t="inlineStr">
        <is>
          <t>currency_amount</t>
        </is>
      </c>
      <c r="R398" s="2" t="inlineStr">
        <is>
          <t>period_flow</t>
        </is>
      </c>
      <c r="S398" s="2" t="inlineStr">
        <is>
          <t>allowed_with_provenance</t>
        </is>
      </c>
      <c r="T398" s="2" t="b">
        <v>0</v>
      </c>
      <c r="U398" s="2" t="b">
        <v>0</v>
      </c>
      <c r="V398" s="2" t="inlineStr"/>
      <c r="W398" s="2" t="inlineStr"/>
      <c r="X398" s="2" t="inlineStr">
        <is>
          <t>Decompose only from explicit face or note evidence; never fabricate a split.</t>
        </is>
      </c>
      <c r="Y398" s="2" t="inlineStr">
        <is>
          <t>Aggregate only mutually exclusive facts with identical period, scope, currency and unit.</t>
        </is>
      </c>
      <c r="Z398" s="2" t="inlineStr">
        <is>
          <t>Bind only to Cash Flow / cf_financing.</t>
        </is>
      </c>
      <c r="AA398" s="2" t="inlineStr"/>
      <c r="AB398" s="2" t="b">
        <v>1</v>
      </c>
      <c r="AC398" s="2" t="inlineStr"/>
      <c r="AD398" s="2" t="inlineStr">
        <is>
          <t>Exact field from Cash Flow!A70; value cell B70.</t>
        </is>
      </c>
      <c r="AE398" s="2" t="inlineStr">
        <is>
          <t>Notes may support direct extraction or decomposition with provenance. Formula outputs must be derived only from template dependencies.</t>
        </is>
      </c>
      <c r="AF398" s="2" t="inlineStr"/>
      <c r="AG398" s="2" t="inlineStr">
        <is>
          <t>[]</t>
        </is>
      </c>
      <c r="AH398" s="2" t="inlineStr">
        <is>
          <t>Proceeds Non-Cur Borrowings</t>
        </is>
      </c>
      <c r="AI398" s="2" t="inlineStr"/>
      <c r="AJ398" s="2" t="inlineStr">
        <is>
          <t>{"template_sheet": "Cash Flow", "template_row": 70, "template_cell": "B70", "template_value_or_formula": 34, "calculation_type": "reported_input", "dependencies": [], "source_template": "Copy of Output_CSV Template.xlsx"}</t>
        </is>
      </c>
    </row>
    <row r="399">
      <c r="A399" s="2" t="inlineStr">
        <is>
          <t>cf_financing__issue_costs_non_cur_borrowings</t>
        </is>
      </c>
      <c r="B399" s="2" t="inlineStr">
        <is>
          <t>Issue Costs Non-Cur Borrowings</t>
        </is>
      </c>
      <c r="C399" s="2" t="inlineStr">
        <is>
          <t>cf_financing</t>
        </is>
      </c>
      <c r="D399" s="2" t="inlineStr">
        <is>
          <t>Extract the reported value for 'Issue Costs Non-Cur Borrowings' from the stated section. Do not calculate or replace it from other rows, because the revised template does not designate this field as formula-driven.</t>
        </is>
      </c>
      <c r="E399" s="2" t="inlineStr">
        <is>
          <t>Issue Costs Non-Cur Borrowings</t>
        </is>
      </c>
      <c r="F399" s="2" t="inlineStr">
        <is>
          <t>Issue Costs Non-Cur Borrowings</t>
        </is>
      </c>
      <c r="G399" s="2" t="inlineStr">
        <is>
          <t>^Issue\s+Costs\s+Non[\-–—]?Cur\s+Borrowings$</t>
        </is>
      </c>
      <c r="H399" s="2" t="inlineStr"/>
      <c r="I399" s="2" t="inlineStr">
        <is>
          <t>Amounts or disclosures explicitly reported for Issue Costs Non-Cur Borrowings in Cash Flow / cf_financing.</t>
        </is>
      </c>
      <c r="J399" s="2" t="inlineStr">
        <is>
          <t>Do not substitute another section, period, entity scope, currency or unit; do not double count a parent and its children.</t>
        </is>
      </c>
      <c r="K399" s="2" t="inlineStr"/>
      <c r="L399" s="2" t="inlineStr">
        <is>
          <t>as_reported</t>
        </is>
      </c>
      <c r="M399" s="2" t="inlineStr">
        <is>
          <t>direct_exclusive</t>
        </is>
      </c>
      <c r="N399" s="2" t="n">
        <v>90</v>
      </c>
      <c r="O399" s="2" t="inlineStr">
        <is>
          <t>normalized_exact_then_regex</t>
        </is>
      </c>
      <c r="P399" s="3" t="inlineStr">
        <is>
          <t>extract</t>
        </is>
      </c>
      <c r="Q399" s="2" t="inlineStr">
        <is>
          <t>currency_amount</t>
        </is>
      </c>
      <c r="R399" s="2" t="inlineStr">
        <is>
          <t>period_flow</t>
        </is>
      </c>
      <c r="S399" s="2" t="inlineStr">
        <is>
          <t>allowed_with_provenance</t>
        </is>
      </c>
      <c r="T399" s="2" t="b">
        <v>0</v>
      </c>
      <c r="U399" s="2" t="b">
        <v>0</v>
      </c>
      <c r="V399" s="2" t="inlineStr"/>
      <c r="W399" s="2" t="inlineStr"/>
      <c r="X399" s="2" t="inlineStr">
        <is>
          <t>Decompose only from explicit face or note evidence; never fabricate a split.</t>
        </is>
      </c>
      <c r="Y399" s="2" t="inlineStr">
        <is>
          <t>Aggregate only mutually exclusive facts with identical period, scope, currency and unit.</t>
        </is>
      </c>
      <c r="Z399" s="2" t="inlineStr">
        <is>
          <t>Bind only to Cash Flow / cf_financing.</t>
        </is>
      </c>
      <c r="AA399" s="2" t="inlineStr"/>
      <c r="AB399" s="2" t="b">
        <v>1</v>
      </c>
      <c r="AC399" s="2" t="inlineStr"/>
      <c r="AD399" s="2" t="inlineStr">
        <is>
          <t>Exact field from Cash Flow!A71; value cell B71.</t>
        </is>
      </c>
      <c r="AE399" s="2" t="inlineStr">
        <is>
          <t>Notes may support direct extraction or decomposition with provenance. Formula outputs must be derived only from template dependencies.</t>
        </is>
      </c>
      <c r="AF399" s="2" t="inlineStr"/>
      <c r="AG399" s="2" t="inlineStr">
        <is>
          <t>[]</t>
        </is>
      </c>
      <c r="AH399" s="2" t="inlineStr">
        <is>
          <t>Issue Costs Non-Cur Borrowings</t>
        </is>
      </c>
      <c r="AI399" s="2" t="inlineStr"/>
      <c r="AJ399" s="2" t="inlineStr">
        <is>
          <t>{"template_sheet": "Cash Flow", "template_row": 71, "template_cell": "B71", "template_value_or_formula": 8, "calculation_type": "reported_input", "dependencies": [], "source_template": "Copy of Output_CSV Template.xlsx"}</t>
        </is>
      </c>
    </row>
    <row r="400">
      <c r="A400" s="2" t="inlineStr">
        <is>
          <t>cf_financing__repayments_non_cur_borrowings</t>
        </is>
      </c>
      <c r="B400" s="2" t="inlineStr">
        <is>
          <t>Repayments Non-Cur Borrowings</t>
        </is>
      </c>
      <c r="C400" s="2" t="inlineStr">
        <is>
          <t>cf_financing</t>
        </is>
      </c>
      <c r="D400" s="2" t="inlineStr">
        <is>
          <t>Extract the reported value for 'Repayments Non-Cur Borrowings' from the stated section. Do not calculate or replace it from other rows, because the revised template does not designate this field as formula-driven.</t>
        </is>
      </c>
      <c r="E400" s="2" t="inlineStr">
        <is>
          <t>Repayments Non-Cur Borrowings</t>
        </is>
      </c>
      <c r="F400" s="2" t="inlineStr">
        <is>
          <t>Repayments Non-Cur Borrowings</t>
        </is>
      </c>
      <c r="G400" s="2" t="inlineStr">
        <is>
          <t>^Repayments\s+Non[\-–—]?Cur\s+Borrowings$</t>
        </is>
      </c>
      <c r="H400" s="2" t="inlineStr"/>
      <c r="I400" s="2" t="inlineStr">
        <is>
          <t>Amounts or disclosures explicitly reported for Repayments Non-Cur Borrowings in Cash Flow / cf_financing.</t>
        </is>
      </c>
      <c r="J400" s="2" t="inlineStr">
        <is>
          <t>Do not substitute another section, period, entity scope, currency or unit; do not double count a parent and its children.</t>
        </is>
      </c>
      <c r="K400" s="2" t="inlineStr"/>
      <c r="L400" s="2" t="inlineStr">
        <is>
          <t>negative_or_contra</t>
        </is>
      </c>
      <c r="M400" s="2" t="inlineStr">
        <is>
          <t>direct_exclusive</t>
        </is>
      </c>
      <c r="N400" s="2" t="n">
        <v>90</v>
      </c>
      <c r="O400" s="2" t="inlineStr">
        <is>
          <t>normalized_exact_then_regex</t>
        </is>
      </c>
      <c r="P400" s="3" t="inlineStr">
        <is>
          <t>extract</t>
        </is>
      </c>
      <c r="Q400" s="2" t="inlineStr">
        <is>
          <t>currency_amount</t>
        </is>
      </c>
      <c r="R400" s="2" t="inlineStr">
        <is>
          <t>period_flow</t>
        </is>
      </c>
      <c r="S400" s="2" t="inlineStr">
        <is>
          <t>allowed_with_provenance</t>
        </is>
      </c>
      <c r="T400" s="2" t="b">
        <v>0</v>
      </c>
      <c r="U400" s="2" t="b">
        <v>0</v>
      </c>
      <c r="V400" s="2" t="inlineStr"/>
      <c r="W400" s="2" t="inlineStr"/>
      <c r="X400" s="2" t="inlineStr">
        <is>
          <t>Decompose only from explicit face or note evidence; never fabricate a split.</t>
        </is>
      </c>
      <c r="Y400" s="2" t="inlineStr">
        <is>
          <t>Aggregate only mutually exclusive facts with identical period, scope, currency and unit.</t>
        </is>
      </c>
      <c r="Z400" s="2" t="inlineStr">
        <is>
          <t>Bind only to Cash Flow / cf_financing.</t>
        </is>
      </c>
      <c r="AA400" s="2" t="inlineStr"/>
      <c r="AB400" s="2" t="b">
        <v>1</v>
      </c>
      <c r="AC400" s="2" t="inlineStr"/>
      <c r="AD400" s="2" t="inlineStr">
        <is>
          <t>Exact field from Cash Flow!A72; value cell B72.</t>
        </is>
      </c>
      <c r="AE400" s="2" t="inlineStr">
        <is>
          <t>Notes may support direct extraction or decomposition with provenance. Formula outputs must be derived only from template dependencies.</t>
        </is>
      </c>
      <c r="AF400" s="2" t="inlineStr"/>
      <c r="AG400" s="2" t="inlineStr">
        <is>
          <t>[]</t>
        </is>
      </c>
      <c r="AH400" s="2" t="inlineStr">
        <is>
          <t>Repayments Non-Cur Borrowings</t>
        </is>
      </c>
      <c r="AI400" s="2" t="inlineStr"/>
      <c r="AJ400" s="2" t="inlineStr">
        <is>
          <t>{"template_sheet": "Cash Flow", "template_row": 72, "template_cell": "B72", "template_value_or_formula": -25, "calculation_type": "reported_input", "dependencies": [], "source_template": "Copy of Output_CSV Template.xlsx"}</t>
        </is>
      </c>
    </row>
    <row r="401">
      <c r="A401" s="2" t="inlineStr">
        <is>
          <t>cf_financing__chg_in_current_borrowings</t>
        </is>
      </c>
      <c r="B401" s="2" t="inlineStr">
        <is>
          <t>Chg in Current Borrowings</t>
        </is>
      </c>
      <c r="C401" s="2" t="inlineStr">
        <is>
          <t>cf_financing</t>
        </is>
      </c>
      <c r="D401" s="2" t="inlineStr">
        <is>
          <t>Extract the reported value for 'Chg in Current Borrowings' from the stated section. Do not calculate or replace it from other rows, because the revised template does not designate this field as formula-driven.</t>
        </is>
      </c>
      <c r="E401" s="2" t="inlineStr">
        <is>
          <t>Chg in Current Borrowings</t>
        </is>
      </c>
      <c r="F401" s="2" t="inlineStr">
        <is>
          <t>Chg in Current Borrowings</t>
        </is>
      </c>
      <c r="G401" s="2" t="inlineStr">
        <is>
          <t>^Chg\s+in\s+Current\s+Borrowings$</t>
        </is>
      </c>
      <c r="H401" s="2" t="inlineStr"/>
      <c r="I401" s="2" t="inlineStr">
        <is>
          <t>Amounts or disclosures explicitly reported for Chg in Current Borrowings in Cash Flow / cf_financing.</t>
        </is>
      </c>
      <c r="J401" s="2" t="inlineStr">
        <is>
          <t>Do not substitute another section, period, entity scope, currency or unit; do not double count a parent and its children.</t>
        </is>
      </c>
      <c r="K401" s="2" t="inlineStr"/>
      <c r="L401" s="2" t="inlineStr">
        <is>
          <t>negative_or_contra</t>
        </is>
      </c>
      <c r="M401" s="2" t="inlineStr">
        <is>
          <t>direct_exclusive</t>
        </is>
      </c>
      <c r="N401" s="2" t="n">
        <v>90</v>
      </c>
      <c r="O401" s="2" t="inlineStr">
        <is>
          <t>normalized_exact_then_regex</t>
        </is>
      </c>
      <c r="P401" s="3" t="inlineStr">
        <is>
          <t>extract</t>
        </is>
      </c>
      <c r="Q401" s="2" t="inlineStr">
        <is>
          <t>currency_amount</t>
        </is>
      </c>
      <c r="R401" s="2" t="inlineStr">
        <is>
          <t>period_flow</t>
        </is>
      </c>
      <c r="S401" s="2" t="inlineStr">
        <is>
          <t>allowed_with_provenance</t>
        </is>
      </c>
      <c r="T401" s="2" t="b">
        <v>0</v>
      </c>
      <c r="U401" s="2" t="b">
        <v>0</v>
      </c>
      <c r="V401" s="2" t="inlineStr"/>
      <c r="W401" s="2" t="inlineStr"/>
      <c r="X401" s="2" t="inlineStr">
        <is>
          <t>Decompose only from explicit face or note evidence; never fabricate a split.</t>
        </is>
      </c>
      <c r="Y401" s="2" t="inlineStr">
        <is>
          <t>Aggregate only mutually exclusive facts with identical period, scope, currency and unit.</t>
        </is>
      </c>
      <c r="Z401" s="2" t="inlineStr">
        <is>
          <t>Bind only to Cash Flow / cf_financing.</t>
        </is>
      </c>
      <c r="AA401" s="2" t="inlineStr"/>
      <c r="AB401" s="2" t="b">
        <v>1</v>
      </c>
      <c r="AC401" s="2" t="inlineStr"/>
      <c r="AD401" s="2" t="inlineStr">
        <is>
          <t>Exact field from Cash Flow!A73; value cell B73.</t>
        </is>
      </c>
      <c r="AE401" s="2" t="inlineStr">
        <is>
          <t>Notes may support direct extraction or decomposition with provenance. Formula outputs must be derived only from template dependencies.</t>
        </is>
      </c>
      <c r="AF401" s="2" t="inlineStr"/>
      <c r="AG401" s="2" t="inlineStr">
        <is>
          <t>[]</t>
        </is>
      </c>
      <c r="AH401" s="2" t="inlineStr">
        <is>
          <t>Chg in Current Borrowings</t>
        </is>
      </c>
      <c r="AI401" s="2" t="inlineStr"/>
      <c r="AJ401" s="2" t="inlineStr">
        <is>
          <t>{"template_sheet": "Cash Flow", "template_row": 73, "template_cell": "B73", "template_value_or_formula": 42, "calculation_type": "reported_input", "dependencies": [], "source_template": "Copy of Output_CSV Template.xlsx"}</t>
        </is>
      </c>
    </row>
    <row r="402">
      <c r="A402" s="2" t="inlineStr">
        <is>
          <t>cf_financing__interest_paid_fin</t>
        </is>
      </c>
      <c r="B402" s="2" t="inlineStr">
        <is>
          <t>Interest Paid(Fin)</t>
        </is>
      </c>
      <c r="C402" s="2" t="inlineStr">
        <is>
          <t>cf_financing</t>
        </is>
      </c>
      <c r="D402" s="2" t="inlineStr">
        <is>
          <t>Extract the reported value for 'Interest Paid(Fin)' from the stated section. Do not calculate or replace it from other rows, because the revised template does not designate this field as formula-driven.</t>
        </is>
      </c>
      <c r="E402" s="2" t="inlineStr">
        <is>
          <t>Interest Paid(Fin)</t>
        </is>
      </c>
      <c r="F402" s="2" t="inlineStr">
        <is>
          <t>Interest Paid(Fin)</t>
        </is>
      </c>
      <c r="G402" s="2" t="inlineStr">
        <is>
          <t>^Interest\s+Paid\(Fin\)$</t>
        </is>
      </c>
      <c r="H402" s="2" t="inlineStr"/>
      <c r="I402" s="2" t="inlineStr">
        <is>
          <t>Amounts or disclosures explicitly reported for Interest Paid(Fin) in Cash Flow / cf_financing.</t>
        </is>
      </c>
      <c r="J402" s="2" t="inlineStr">
        <is>
          <t>Do not substitute another section, period, entity scope, currency or unit; do not double count a parent and its children.</t>
        </is>
      </c>
      <c r="K402" s="2" t="inlineStr"/>
      <c r="L402" s="2" t="inlineStr">
        <is>
          <t>negative_or_contra</t>
        </is>
      </c>
      <c r="M402" s="2" t="inlineStr">
        <is>
          <t>direct_exclusive</t>
        </is>
      </c>
      <c r="N402" s="2" t="n">
        <v>90</v>
      </c>
      <c r="O402" s="2" t="inlineStr">
        <is>
          <t>normalized_exact_then_regex</t>
        </is>
      </c>
      <c r="P402" s="3" t="inlineStr">
        <is>
          <t>extract</t>
        </is>
      </c>
      <c r="Q402" s="2" t="inlineStr">
        <is>
          <t>currency_amount</t>
        </is>
      </c>
      <c r="R402" s="2" t="inlineStr">
        <is>
          <t>period_flow</t>
        </is>
      </c>
      <c r="S402" s="2" t="inlineStr">
        <is>
          <t>allowed_with_provenance</t>
        </is>
      </c>
      <c r="T402" s="2" t="b">
        <v>0</v>
      </c>
      <c r="U402" s="2" t="b">
        <v>0</v>
      </c>
      <c r="V402" s="2" t="inlineStr"/>
      <c r="W402" s="2" t="inlineStr"/>
      <c r="X402" s="2" t="inlineStr">
        <is>
          <t>Decompose only from explicit face or note evidence; never fabricate a split.</t>
        </is>
      </c>
      <c r="Y402" s="2" t="inlineStr">
        <is>
          <t>Aggregate only mutually exclusive facts with identical period, scope, currency and unit.</t>
        </is>
      </c>
      <c r="Z402" s="2" t="inlineStr">
        <is>
          <t>Bind only to Cash Flow / cf_financing.</t>
        </is>
      </c>
      <c r="AA402" s="2" t="inlineStr"/>
      <c r="AB402" s="2" t="b">
        <v>1</v>
      </c>
      <c r="AC402" s="2" t="inlineStr"/>
      <c r="AD402" s="2" t="inlineStr">
        <is>
          <t>Exact field from Cash Flow!A74; value cell B74.</t>
        </is>
      </c>
      <c r="AE402" s="2" t="inlineStr">
        <is>
          <t>Notes may support direct extraction or decomposition with provenance. Formula outputs must be derived only from template dependencies.</t>
        </is>
      </c>
      <c r="AF402" s="2" t="inlineStr"/>
      <c r="AG402" s="2" t="inlineStr">
        <is>
          <t>[]</t>
        </is>
      </c>
      <c r="AH402" s="2" t="inlineStr">
        <is>
          <t>Interest Paid(Fin)</t>
        </is>
      </c>
      <c r="AI402" s="2" t="inlineStr"/>
      <c r="AJ402" s="2" t="inlineStr">
        <is>
          <t>{"template_sheet": "Cash Flow", "template_row": 74, "template_cell": "B74", "template_value_or_formula": 16, "calculation_type": "reported_input", "dependencies": [], "source_template": "Copy of Output_CSV Template.xlsx"}</t>
        </is>
      </c>
    </row>
    <row r="403">
      <c r="A403" s="2" t="inlineStr">
        <is>
          <t>cf_financing__translation_adj_relating_to_cash</t>
        </is>
      </c>
      <c r="B403" s="2" t="inlineStr">
        <is>
          <t>Translation Adj Relating to Cash</t>
        </is>
      </c>
      <c r="C403" s="2" t="inlineStr">
        <is>
          <t>cf_financing</t>
        </is>
      </c>
      <c r="D403" s="2" t="inlineStr">
        <is>
          <t>Extract the reported value for 'Translation Adj Relating to Cash' from the stated section. Do not calculate or replace it from other rows, because the revised template does not designate this field as formula-driven.</t>
        </is>
      </c>
      <c r="E403" s="2" t="inlineStr">
        <is>
          <t>Translation Adj Relating to Cash</t>
        </is>
      </c>
      <c r="F403" s="2" t="inlineStr">
        <is>
          <t>Translation Adj Relating to Cash</t>
        </is>
      </c>
      <c r="G403" s="2" t="inlineStr">
        <is>
          <t>^Translation\s+Adj\s+Relating\s+to\s+Cash$</t>
        </is>
      </c>
      <c r="H403" s="2" t="inlineStr"/>
      <c r="I403" s="2" t="inlineStr">
        <is>
          <t>Amounts or disclosures explicitly reported for Translation Adj Relating to Cash in Cash Flow / cf_financing.</t>
        </is>
      </c>
      <c r="J403" s="2" t="inlineStr">
        <is>
          <t>Do not substitute another section, period, entity scope, currency or unit; do not double count a parent and its children.</t>
        </is>
      </c>
      <c r="K403" s="2" t="inlineStr"/>
      <c r="L403" s="2" t="inlineStr">
        <is>
          <t>as_reported</t>
        </is>
      </c>
      <c r="M403" s="2" t="inlineStr">
        <is>
          <t>direct_exclusive</t>
        </is>
      </c>
      <c r="N403" s="2" t="n">
        <v>90</v>
      </c>
      <c r="O403" s="2" t="inlineStr">
        <is>
          <t>normalized_exact_then_regex</t>
        </is>
      </c>
      <c r="P403" s="3" t="inlineStr">
        <is>
          <t>extract</t>
        </is>
      </c>
      <c r="Q403" s="2" t="inlineStr">
        <is>
          <t>currency_amount</t>
        </is>
      </c>
      <c r="R403" s="2" t="inlineStr">
        <is>
          <t>period_flow</t>
        </is>
      </c>
      <c r="S403" s="2" t="inlineStr">
        <is>
          <t>allowed_with_provenance</t>
        </is>
      </c>
      <c r="T403" s="2" t="b">
        <v>0</v>
      </c>
      <c r="U403" s="2" t="b">
        <v>0</v>
      </c>
      <c r="V403" s="2" t="inlineStr"/>
      <c r="W403" s="2" t="inlineStr"/>
      <c r="X403" s="2" t="inlineStr">
        <is>
          <t>Decompose only from explicit face or note evidence; never fabricate a split.</t>
        </is>
      </c>
      <c r="Y403" s="2" t="inlineStr">
        <is>
          <t>Aggregate only mutually exclusive facts with identical period, scope, currency and unit.</t>
        </is>
      </c>
      <c r="Z403" s="2" t="inlineStr">
        <is>
          <t>Bind only to Cash Flow / cf_financing.</t>
        </is>
      </c>
      <c r="AA403" s="2" t="inlineStr"/>
      <c r="AB403" s="2" t="b">
        <v>1</v>
      </c>
      <c r="AC403" s="2" t="inlineStr"/>
      <c r="AD403" s="2" t="inlineStr">
        <is>
          <t>Exact field from Cash Flow!A75; value cell B75.</t>
        </is>
      </c>
      <c r="AE403" s="2" t="inlineStr">
        <is>
          <t>Notes may support direct extraction or decomposition with provenance. Formula outputs must be derived only from template dependencies.</t>
        </is>
      </c>
      <c r="AF403" s="2" t="inlineStr"/>
      <c r="AG403" s="2" t="inlineStr">
        <is>
          <t>[]</t>
        </is>
      </c>
      <c r="AH403" s="2" t="inlineStr">
        <is>
          <t>Translation Adj Relating to Cash</t>
        </is>
      </c>
      <c r="AI403" s="2" t="inlineStr"/>
      <c r="AJ403" s="2" t="inlineStr">
        <is>
          <t>{"template_sheet": "Cash Flow", "template_row": 75, "template_cell": "B75", "template_value_or_formula": -33, "calculation_type": "reported_input", "dependencies": [], "source_template": "Copy of Output_CSV Template.xlsx"}</t>
        </is>
      </c>
    </row>
    <row r="404">
      <c r="A404" s="2" t="inlineStr">
        <is>
          <t>cf_financing__cash_flow_extraord_items_fin</t>
        </is>
      </c>
      <c r="B404" s="2" t="inlineStr">
        <is>
          <t>Cash Flow Extraord Items(Fin)</t>
        </is>
      </c>
      <c r="C404" s="2" t="inlineStr">
        <is>
          <t>cf_financing</t>
        </is>
      </c>
      <c r="D404" s="2" t="inlineStr">
        <is>
          <t>Extract the reported value for 'Cash Flow Extraord Items(Fin)' from the stated section. Do not calculate or replace it from other rows, because the revised template does not designate this field as formula-driven.</t>
        </is>
      </c>
      <c r="E404" s="2" t="inlineStr">
        <is>
          <t>Cash Flow Extraord Items(Fin)</t>
        </is>
      </c>
      <c r="F404" s="2" t="inlineStr">
        <is>
          <t>Cash Flow Extraord Items(Fin)</t>
        </is>
      </c>
      <c r="G404" s="2" t="inlineStr">
        <is>
          <t>^Cash\s+Flow\s+Extraord\s+Items\(Fin\)$</t>
        </is>
      </c>
      <c r="H404" s="2" t="inlineStr"/>
      <c r="I404" s="2" t="inlineStr">
        <is>
          <t>Amounts or disclosures explicitly reported for Cash Flow Extraord Items(Fin) in Cash Flow / cf_financing.</t>
        </is>
      </c>
      <c r="J404" s="2" t="inlineStr">
        <is>
          <t>Do not substitute another section, period, entity scope, currency or unit; do not double count a parent and its children.</t>
        </is>
      </c>
      <c r="K404" s="2" t="inlineStr"/>
      <c r="L404" s="2" t="inlineStr">
        <is>
          <t>as_reported</t>
        </is>
      </c>
      <c r="M404" s="2" t="inlineStr">
        <is>
          <t>direct_exclusive</t>
        </is>
      </c>
      <c r="N404" s="2" t="n">
        <v>90</v>
      </c>
      <c r="O404" s="2" t="inlineStr">
        <is>
          <t>normalized_exact_then_regex</t>
        </is>
      </c>
      <c r="P404" s="3" t="inlineStr">
        <is>
          <t>extract</t>
        </is>
      </c>
      <c r="Q404" s="2" t="inlineStr">
        <is>
          <t>currency_amount</t>
        </is>
      </c>
      <c r="R404" s="2" t="inlineStr">
        <is>
          <t>period_flow</t>
        </is>
      </c>
      <c r="S404" s="2" t="inlineStr">
        <is>
          <t>allowed_with_provenance</t>
        </is>
      </c>
      <c r="T404" s="2" t="b">
        <v>0</v>
      </c>
      <c r="U404" s="2" t="b">
        <v>0</v>
      </c>
      <c r="V404" s="2" t="inlineStr"/>
      <c r="W404" s="2" t="inlineStr"/>
      <c r="X404" s="2" t="inlineStr">
        <is>
          <t>Decompose only from explicit face or note evidence; never fabricate a split.</t>
        </is>
      </c>
      <c r="Y404" s="2" t="inlineStr">
        <is>
          <t>Aggregate only mutually exclusive facts with identical period, scope, currency and unit.</t>
        </is>
      </c>
      <c r="Z404" s="2" t="inlineStr">
        <is>
          <t>Bind only to Cash Flow / cf_financing.</t>
        </is>
      </c>
      <c r="AA404" s="2" t="inlineStr"/>
      <c r="AB404" s="2" t="b">
        <v>1</v>
      </c>
      <c r="AC404" s="2" t="inlineStr"/>
      <c r="AD404" s="2" t="inlineStr">
        <is>
          <t>Exact field from Cash Flow!A76; value cell B76.</t>
        </is>
      </c>
      <c r="AE404" s="2" t="inlineStr">
        <is>
          <t>Notes may support direct extraction or decomposition with provenance. Formula outputs must be derived only from template dependencies.</t>
        </is>
      </c>
      <c r="AF404" s="2" t="inlineStr"/>
      <c r="AG404" s="2" t="inlineStr">
        <is>
          <t>[]</t>
        </is>
      </c>
      <c r="AH404" s="2" t="inlineStr">
        <is>
          <t>Cash Flow Extraord Items(Fin)</t>
        </is>
      </c>
      <c r="AI404" s="2" t="inlineStr"/>
      <c r="AJ404" s="2" t="inlineStr">
        <is>
          <t>{"template_sheet": "Cash Flow", "template_row": 76, "template_cell": "B76", "template_value_or_formula": 7, "calculation_type": "reported_input", "dependencies": [], "source_template": "Copy of Output_CSV Template.xlsx"}</t>
        </is>
      </c>
    </row>
    <row r="405">
      <c r="A405" s="2" t="inlineStr">
        <is>
          <t>cf_financing__cash_flow_from_hedging_fin</t>
        </is>
      </c>
      <c r="B405" s="2" t="inlineStr">
        <is>
          <t>Cash Flow from Hedging(Fin)</t>
        </is>
      </c>
      <c r="C405" s="2" t="inlineStr">
        <is>
          <t>cf_financing</t>
        </is>
      </c>
      <c r="D405" s="2" t="inlineStr">
        <is>
          <t>Extract the reported value for 'Cash Flow from Hedging(Fin)' from the stated section. Do not calculate or replace it from other rows, because the revised template does not designate this field as formula-driven.</t>
        </is>
      </c>
      <c r="E405" s="2" t="inlineStr">
        <is>
          <t>Cash Flow from Hedging(Fin)</t>
        </is>
      </c>
      <c r="F405" s="2" t="inlineStr">
        <is>
          <t>Cash Flow from Hedging(Fin)</t>
        </is>
      </c>
      <c r="G405" s="2" t="inlineStr">
        <is>
          <t>^Cash\s+Flow\s+from\s+Hedging\(Fin\)$</t>
        </is>
      </c>
      <c r="H405" s="2" t="inlineStr"/>
      <c r="I405" s="2" t="inlineStr">
        <is>
          <t>Amounts or disclosures explicitly reported for Cash Flow from Hedging(Fin) in Cash Flow / cf_financing.</t>
        </is>
      </c>
      <c r="J405" s="2" t="inlineStr">
        <is>
          <t>Do not substitute another section, period, entity scope, currency or unit; do not double count a parent and its children.</t>
        </is>
      </c>
      <c r="K405" s="2" t="inlineStr"/>
      <c r="L405" s="2" t="inlineStr">
        <is>
          <t>as_reported</t>
        </is>
      </c>
      <c r="M405" s="2" t="inlineStr">
        <is>
          <t>direct_exclusive</t>
        </is>
      </c>
      <c r="N405" s="2" t="n">
        <v>90</v>
      </c>
      <c r="O405" s="2" t="inlineStr">
        <is>
          <t>normalized_exact_then_regex</t>
        </is>
      </c>
      <c r="P405" s="3" t="inlineStr">
        <is>
          <t>extract</t>
        </is>
      </c>
      <c r="Q405" s="2" t="inlineStr">
        <is>
          <t>currency_amount</t>
        </is>
      </c>
      <c r="R405" s="2" t="inlineStr">
        <is>
          <t>period_flow</t>
        </is>
      </c>
      <c r="S405" s="2" t="inlineStr">
        <is>
          <t>allowed_with_provenance</t>
        </is>
      </c>
      <c r="T405" s="2" t="b">
        <v>0</v>
      </c>
      <c r="U405" s="2" t="b">
        <v>0</v>
      </c>
      <c r="V405" s="2" t="inlineStr"/>
      <c r="W405" s="2" t="inlineStr"/>
      <c r="X405" s="2" t="inlineStr">
        <is>
          <t>Decompose only from explicit face or note evidence; never fabricate a split.</t>
        </is>
      </c>
      <c r="Y405" s="2" t="inlineStr">
        <is>
          <t>Aggregate only mutually exclusive facts with identical period, scope, currency and unit.</t>
        </is>
      </c>
      <c r="Z405" s="2" t="inlineStr">
        <is>
          <t>Bind only to Cash Flow / cf_financing.</t>
        </is>
      </c>
      <c r="AA405" s="2" t="inlineStr"/>
      <c r="AB405" s="2" t="b">
        <v>1</v>
      </c>
      <c r="AC405" s="2" t="inlineStr"/>
      <c r="AD405" s="2" t="inlineStr">
        <is>
          <t>Exact field from Cash Flow!A77; value cell B77.</t>
        </is>
      </c>
      <c r="AE405" s="2" t="inlineStr">
        <is>
          <t>Notes may support direct extraction or decomposition with provenance. Formula outputs must be derived only from template dependencies.</t>
        </is>
      </c>
      <c r="AF405" s="2" t="inlineStr"/>
      <c r="AG405" s="2" t="inlineStr">
        <is>
          <t>[]</t>
        </is>
      </c>
      <c r="AH405" s="2" t="inlineStr">
        <is>
          <t>Cash Flow from Hedging(Fin)</t>
        </is>
      </c>
      <c r="AI405" s="2" t="inlineStr"/>
      <c r="AJ405" s="2" t="inlineStr">
        <is>
          <t>{"template_sheet": "Cash Flow", "template_row": 77, "template_cell": "B77", "template_value_or_formula": 24, "calculation_type": "reported_input", "dependencies": [], "source_template": "Copy of Output_CSV Template.xlsx"}</t>
        </is>
      </c>
    </row>
    <row r="406">
      <c r="A406" s="2" t="inlineStr">
        <is>
          <t>cf_financing__dividends_paid_fin</t>
        </is>
      </c>
      <c r="B406" s="2" t="inlineStr">
        <is>
          <t>Dividends Paid(Fin)</t>
        </is>
      </c>
      <c r="C406" s="2" t="inlineStr">
        <is>
          <t>cf_financing</t>
        </is>
      </c>
      <c r="D406" s="2" t="inlineStr">
        <is>
          <t>Extract the reported value for 'Dividends Paid(Fin)' from the stated section. Do not calculate or replace it from other rows, because the revised template does not designate this field as formula-driven.</t>
        </is>
      </c>
      <c r="E406" s="2" t="inlineStr">
        <is>
          <t>Dividends Paid(Fin)</t>
        </is>
      </c>
      <c r="F406" s="2" t="inlineStr">
        <is>
          <t>Dividends Paid(Fin)</t>
        </is>
      </c>
      <c r="G406" s="2" t="inlineStr">
        <is>
          <t>^Dividends\s+Paid\(Fin\)$</t>
        </is>
      </c>
      <c r="H406" s="2" t="inlineStr"/>
      <c r="I406" s="2" t="inlineStr">
        <is>
          <t>Amounts or disclosures explicitly reported for Dividends Paid(Fin) in Cash Flow / cf_financing.</t>
        </is>
      </c>
      <c r="J406" s="2" t="inlineStr">
        <is>
          <t>Do not substitute another section, period, entity scope, currency or unit; do not double count a parent and its children.</t>
        </is>
      </c>
      <c r="K406" s="2" t="inlineStr"/>
      <c r="L406" s="2" t="inlineStr">
        <is>
          <t>negative_or_contra</t>
        </is>
      </c>
      <c r="M406" s="2" t="inlineStr">
        <is>
          <t>direct_exclusive</t>
        </is>
      </c>
      <c r="N406" s="2" t="n">
        <v>90</v>
      </c>
      <c r="O406" s="2" t="inlineStr">
        <is>
          <t>normalized_exact_then_regex</t>
        </is>
      </c>
      <c r="P406" s="3" t="inlineStr">
        <is>
          <t>extract</t>
        </is>
      </c>
      <c r="Q406" s="2" t="inlineStr">
        <is>
          <t>currency_amount</t>
        </is>
      </c>
      <c r="R406" s="2" t="inlineStr">
        <is>
          <t>period_flow</t>
        </is>
      </c>
      <c r="S406" s="2" t="inlineStr">
        <is>
          <t>allowed_with_provenance</t>
        </is>
      </c>
      <c r="T406" s="2" t="b">
        <v>0</v>
      </c>
      <c r="U406" s="2" t="b">
        <v>0</v>
      </c>
      <c r="V406" s="2" t="inlineStr"/>
      <c r="W406" s="2" t="inlineStr"/>
      <c r="X406" s="2" t="inlineStr">
        <is>
          <t>Decompose only from explicit face or note evidence; never fabricate a split.</t>
        </is>
      </c>
      <c r="Y406" s="2" t="inlineStr">
        <is>
          <t>Aggregate only mutually exclusive facts with identical period, scope, currency and unit.</t>
        </is>
      </c>
      <c r="Z406" s="2" t="inlineStr">
        <is>
          <t>Bind only to Cash Flow / cf_financing.</t>
        </is>
      </c>
      <c r="AA406" s="2" t="inlineStr"/>
      <c r="AB406" s="2" t="b">
        <v>1</v>
      </c>
      <c r="AC406" s="2" t="inlineStr"/>
      <c r="AD406" s="2" t="inlineStr">
        <is>
          <t>Exact field from Cash Flow!A78; value cell B78.</t>
        </is>
      </c>
      <c r="AE406" s="2" t="inlineStr">
        <is>
          <t>Notes may support direct extraction or decomposition with provenance. Formula outputs must be derived only from template dependencies.</t>
        </is>
      </c>
      <c r="AF406" s="2" t="inlineStr"/>
      <c r="AG406" s="2" t="inlineStr">
        <is>
          <t>[]</t>
        </is>
      </c>
      <c r="AH406" s="2" t="inlineStr">
        <is>
          <t>Dividends Paid(Fin)</t>
        </is>
      </c>
      <c r="AI406" s="2" t="inlineStr"/>
      <c r="AJ406" s="2" t="inlineStr">
        <is>
          <t>{"template_sheet": "Cash Flow", "template_row": 78, "template_cell": "B78", "template_value_or_formula": -41, "calculation_type": "reported_input", "dependencies": [], "source_template": "Copy of Output_CSV Template.xlsx"}</t>
        </is>
      </c>
    </row>
    <row r="407">
      <c r="A407" s="2" t="inlineStr">
        <is>
          <t>cf_financing__dvds_paid_minority_sholders</t>
        </is>
      </c>
      <c r="B407" s="2" t="inlineStr">
        <is>
          <t>Dvds Paid(Minority S'holders)</t>
        </is>
      </c>
      <c r="C407" s="2" t="inlineStr">
        <is>
          <t>cf_financing</t>
        </is>
      </c>
      <c r="D407" s="2" t="inlineStr">
        <is>
          <t>Extract the reported value for 'Dvds Paid(Minority S'holders)' from the stated section. Do not calculate or replace it from other rows, because the revised template does not designate this field as formula-driven.</t>
        </is>
      </c>
      <c r="E407" s="2" t="inlineStr">
        <is>
          <t>Dvds Paid(Minority S'holders)</t>
        </is>
      </c>
      <c r="F407" s="2" t="inlineStr">
        <is>
          <t>Dvds Paid(Minority S'holders)</t>
        </is>
      </c>
      <c r="G407" s="2" t="inlineStr">
        <is>
          <t>^Dvds\s+Paid\(Minority\s+S'holders\)$</t>
        </is>
      </c>
      <c r="H407" s="2" t="inlineStr"/>
      <c r="I407" s="2" t="inlineStr">
        <is>
          <t>Amounts or disclosures explicitly reported for Dvds Paid(Minority S'holders) in Cash Flow / cf_financing.</t>
        </is>
      </c>
      <c r="J407" s="2" t="inlineStr">
        <is>
          <t>Do not substitute another section, period, entity scope, currency or unit; do not double count a parent and its children.</t>
        </is>
      </c>
      <c r="K407" s="2" t="inlineStr"/>
      <c r="L407" s="2" t="inlineStr">
        <is>
          <t>negative_or_contra</t>
        </is>
      </c>
      <c r="M407" s="2" t="inlineStr">
        <is>
          <t>direct_exclusive</t>
        </is>
      </c>
      <c r="N407" s="2" t="n">
        <v>90</v>
      </c>
      <c r="O407" s="2" t="inlineStr">
        <is>
          <t>normalized_exact_then_regex</t>
        </is>
      </c>
      <c r="P407" s="3" t="inlineStr">
        <is>
          <t>extract</t>
        </is>
      </c>
      <c r="Q407" s="2" t="inlineStr">
        <is>
          <t>currency_amount</t>
        </is>
      </c>
      <c r="R407" s="2" t="inlineStr">
        <is>
          <t>period_flow</t>
        </is>
      </c>
      <c r="S407" s="2" t="inlineStr">
        <is>
          <t>allowed_with_provenance</t>
        </is>
      </c>
      <c r="T407" s="2" t="b">
        <v>0</v>
      </c>
      <c r="U407" s="2" t="b">
        <v>0</v>
      </c>
      <c r="V407" s="2" t="inlineStr"/>
      <c r="W407" s="2" t="inlineStr"/>
      <c r="X407" s="2" t="inlineStr">
        <is>
          <t>Decompose only from explicit face or note evidence; never fabricate a split.</t>
        </is>
      </c>
      <c r="Y407" s="2" t="inlineStr">
        <is>
          <t>Aggregate only mutually exclusive facts with identical period, scope, currency and unit.</t>
        </is>
      </c>
      <c r="Z407" s="2" t="inlineStr">
        <is>
          <t>Bind only to Cash Flow / cf_financing.</t>
        </is>
      </c>
      <c r="AA407" s="2" t="inlineStr"/>
      <c r="AB407" s="2" t="b">
        <v>1</v>
      </c>
      <c r="AC407" s="2" t="inlineStr"/>
      <c r="AD407" s="2" t="inlineStr">
        <is>
          <t>Exact field from Cash Flow!A79; value cell B79.</t>
        </is>
      </c>
      <c r="AE407" s="2" t="inlineStr">
        <is>
          <t>Notes may support direct extraction or decomposition with provenance. Formula outputs must be derived only from template dependencies.</t>
        </is>
      </c>
      <c r="AF407" s="2" t="inlineStr"/>
      <c r="AG407" s="2" t="inlineStr">
        <is>
          <t>[]</t>
        </is>
      </c>
      <c r="AH407" s="2" t="inlineStr">
        <is>
          <t>Dvds Paid(Minority S'holders)</t>
        </is>
      </c>
      <c r="AI407" s="2" t="inlineStr"/>
      <c r="AJ407" s="2" t="inlineStr">
        <is>
          <t>{"template_sheet": "Cash Flow", "template_row": 79, "template_cell": "B79", "template_value_or_formula": 15, "calculation_type": "reported_input", "dependencies": [], "source_template": "Copy of Output_CSV Template.xlsx"}</t>
        </is>
      </c>
    </row>
    <row r="408">
      <c r="A408" s="2" t="inlineStr">
        <is>
          <t>cf_financing__other_financing_cash_flows</t>
        </is>
      </c>
      <c r="B408" s="2" t="inlineStr">
        <is>
          <t>Other Financing Cash Flows</t>
        </is>
      </c>
      <c r="C408" s="2" t="inlineStr">
        <is>
          <t>cf_financing</t>
        </is>
      </c>
      <c r="D408" s="2" t="inlineStr">
        <is>
          <t>Extract the reported value for 'Other Financing Cash Flows' from the stated section. Do not calculate or replace it from other rows, because the revised template does not designate this field as formula-driven.</t>
        </is>
      </c>
      <c r="E408" s="2" t="inlineStr">
        <is>
          <t>Other Financing Cash Flows</t>
        </is>
      </c>
      <c r="F408" s="2" t="inlineStr">
        <is>
          <t>Other Financing Cash Flows</t>
        </is>
      </c>
      <c r="G408" s="2" t="inlineStr">
        <is>
          <t>^Other\s+Financing\s+Cash\s+Flows$</t>
        </is>
      </c>
      <c r="H408" s="2" t="inlineStr"/>
      <c r="I408" s="2" t="inlineStr">
        <is>
          <t>Amounts or disclosures explicitly reported for Other Financing Cash Flows in Cash Flow / cf_financing.</t>
        </is>
      </c>
      <c r="J408" s="2" t="inlineStr">
        <is>
          <t>Do not substitute another section, period, entity scope, currency or unit; do not double count a parent and its children.</t>
        </is>
      </c>
      <c r="K408" s="2" t="inlineStr"/>
      <c r="L408" s="2" t="inlineStr">
        <is>
          <t>as_reported</t>
        </is>
      </c>
      <c r="M408" s="2" t="inlineStr">
        <is>
          <t>direct_exclusive</t>
        </is>
      </c>
      <c r="N408" s="2" t="n">
        <v>90</v>
      </c>
      <c r="O408" s="2" t="inlineStr">
        <is>
          <t>normalized_exact_then_regex</t>
        </is>
      </c>
      <c r="P408" s="3" t="inlineStr">
        <is>
          <t>extract</t>
        </is>
      </c>
      <c r="Q408" s="2" t="inlineStr">
        <is>
          <t>currency_amount</t>
        </is>
      </c>
      <c r="R408" s="2" t="inlineStr">
        <is>
          <t>period_flow</t>
        </is>
      </c>
      <c r="S408" s="2" t="inlineStr">
        <is>
          <t>allowed_with_provenance</t>
        </is>
      </c>
      <c r="T408" s="2" t="b">
        <v>0</v>
      </c>
      <c r="U408" s="2" t="b">
        <v>0</v>
      </c>
      <c r="V408" s="2" t="inlineStr"/>
      <c r="W408" s="2" t="inlineStr"/>
      <c r="X408" s="2" t="inlineStr">
        <is>
          <t>Decompose only from explicit face or note evidence; never fabricate a split.</t>
        </is>
      </c>
      <c r="Y408" s="2" t="inlineStr">
        <is>
          <t>Aggregate only mutually exclusive facts with identical period, scope, currency and unit.</t>
        </is>
      </c>
      <c r="Z408" s="2" t="inlineStr">
        <is>
          <t>Bind only to Cash Flow / cf_financing.</t>
        </is>
      </c>
      <c r="AA408" s="2" t="inlineStr"/>
      <c r="AB408" s="2" t="b">
        <v>1</v>
      </c>
      <c r="AC408" s="2" t="inlineStr"/>
      <c r="AD408" s="2" t="inlineStr">
        <is>
          <t>Exact field from Cash Flow!A80; value cell B80.</t>
        </is>
      </c>
      <c r="AE408" s="2" t="inlineStr">
        <is>
          <t>Notes may support direct extraction or decomposition with provenance. Formula outputs must be derived only from template dependencies.</t>
        </is>
      </c>
      <c r="AF408" s="2" t="inlineStr">
        <is>
          <t>{"mode": "no_balancing_plug", "negative_result": "review"}</t>
        </is>
      </c>
      <c r="AG408" s="2" t="inlineStr">
        <is>
          <t>[]</t>
        </is>
      </c>
      <c r="AH408" s="2" t="inlineStr">
        <is>
          <t>Other Financing Cash Flows</t>
        </is>
      </c>
      <c r="AI408" s="2" t="inlineStr"/>
      <c r="AJ408" s="2" t="inlineStr">
        <is>
          <t>{"template_sheet": "Cash Flow", "template_row": 80, "template_cell": "B80", "template_value_or_formula": 32, "calculation_type": "reported_input", "dependencies": [], "source_template": "Copy of Output_CSV Template.xlsx"}</t>
        </is>
      </c>
    </row>
    <row r="409">
      <c r="A409" s="2" t="inlineStr">
        <is>
          <t>cf_financing__cash_flows_from_finance_activities</t>
        </is>
      </c>
      <c r="B409" s="2" t="inlineStr">
        <is>
          <t>Cash Flows from Finance Activities</t>
        </is>
      </c>
      <c r="C409" s="2" t="inlineStr">
        <is>
          <t>cf_financing</t>
        </is>
      </c>
      <c r="D409" s="2" t="inlineStr">
        <is>
          <t>Calculated target using the exact formula retained in the supplied template: =SUM({cf_financing__net_proceeds_issuance_of_capital}:{cf_financing__other_financing_cash_flows})</t>
        </is>
      </c>
      <c r="E409" s="2" t="inlineStr">
        <is>
          <t>Cash Flows from Finance Activities</t>
        </is>
      </c>
      <c r="F409" s="2" t="inlineStr">
        <is>
          <t>Cash Flows from Finance Activities</t>
        </is>
      </c>
      <c r="G409" s="2" t="inlineStr">
        <is>
          <t>^Cash\s+Flows\s+from\s+Finance\s+Activities$</t>
        </is>
      </c>
      <c r="H409" s="2" t="inlineStr"/>
      <c r="I409" s="2" t="inlineStr">
        <is>
          <t>Amounts or disclosures explicitly reported for Cash Flows from Finance Activities in Cash Flow / cf_financing.</t>
        </is>
      </c>
      <c r="J409" s="2" t="inlineStr">
        <is>
          <t>Do not substitute another section, period, entity scope, currency or unit; do not double count a parent and its children.</t>
        </is>
      </c>
      <c r="K409" s="2" t="inlineStr"/>
      <c r="L409" s="2" t="inlineStr">
        <is>
          <t>as_reported</t>
        </is>
      </c>
      <c r="M409" s="2" t="inlineStr">
        <is>
          <t>derived_total</t>
        </is>
      </c>
      <c r="N409" s="2" t="n">
        <v>100</v>
      </c>
      <c r="O409" s="2" t="inlineStr">
        <is>
          <t>disabled</t>
        </is>
      </c>
      <c r="P409" s="4" t="inlineStr">
        <is>
          <t>derive</t>
        </is>
      </c>
      <c r="Q409" s="2" t="inlineStr">
        <is>
          <t>currency_amount</t>
        </is>
      </c>
      <c r="R409" s="2" t="inlineStr">
        <is>
          <t>period_flow</t>
        </is>
      </c>
      <c r="S409" s="2" t="inlineStr">
        <is>
          <t>allowed_with_provenance</t>
        </is>
      </c>
      <c r="T409" s="2" t="b">
        <v>0</v>
      </c>
      <c r="U409" s="2" t="b">
        <v>1</v>
      </c>
      <c r="V409" s="2" t="inlineStr">
        <is>
          <t>cf_financing__net_proceeds_issuance_of_capital | cf_financing__other_financing_cash_flows</t>
        </is>
      </c>
      <c r="W409" s="2">
        <f>SUM({cf_financing__net_proceeds_issuance_of_capital}:{cf_financing__other_financing_cash_flows})</f>
        <v/>
      </c>
      <c r="X409" s="2" t="inlineStr">
        <is>
          <t>Use only dependencies stated in the formula; never fabricate missing components.</t>
        </is>
      </c>
      <c r="Y409" s="2" t="inlineStr">
        <is>
          <t>Calculate only after every dependency is populated and validated.</t>
        </is>
      </c>
      <c r="Z409" s="2" t="inlineStr">
        <is>
          <t>Bind only to Cash Flow / cf_financing.</t>
        </is>
      </c>
      <c r="AA409" s="2" t="inlineStr"/>
      <c r="AB409" s="2" t="b">
        <v>0</v>
      </c>
      <c r="AC409" s="2" t="inlineStr">
        <is>
          <t>cf_financing__net_proceeds_issuance_of_capital | cf_financing__other_financing_cash_flows</t>
        </is>
      </c>
      <c r="AD409" s="2" t="inlineStr">
        <is>
          <t>Exact field from Cash Flow!A81; value cell B81.</t>
        </is>
      </c>
      <c r="AE409" s="2" t="inlineStr">
        <is>
          <t>Notes may support direct extraction or decomposition with provenance. Formula outputs must be derived only from template dependencies.</t>
        </is>
      </c>
      <c r="AF409" s="2" t="inlineStr"/>
      <c r="AG409" s="2" t="inlineStr">
        <is>
          <t>[]</t>
        </is>
      </c>
      <c r="AH409" s="2" t="inlineStr">
        <is>
          <t>Cash Flows from Finance Activities</t>
        </is>
      </c>
      <c r="AI409" s="2" t="inlineStr"/>
      <c r="AJ409" s="2" t="inlineStr">
        <is>
          <t>{"template_sheet": "Cash Flow", "template_row": 81, "template_cell": "B81", "template_value_or_formula": "=SUM(B68:B80)", "calculation_type": "formula", "dependencies": ["cf_financing__net_proceeds_issuance_of_capital", "cf_financing__other_financing_cash_flows"], "source_template": "Copy of Output_CSV Template.xlsx"}</t>
        </is>
      </c>
    </row>
    <row r="410">
      <c r="A410" s="2" t="inlineStr">
        <is>
          <t>cf_financing__net_foreign_exchange_difference</t>
        </is>
      </c>
      <c r="B410" s="2" t="inlineStr">
        <is>
          <t>Net Foreign Exchange Difference</t>
        </is>
      </c>
      <c r="C410" s="2" t="inlineStr">
        <is>
          <t>cf_financing</t>
        </is>
      </c>
      <c r="D410" s="2" t="inlineStr">
        <is>
          <t>Extract the reported value for 'Net Foreign Exchange Difference' from the stated section. Do not calculate or replace it from other rows, because the revised template does not designate this field as formula-driven.</t>
        </is>
      </c>
      <c r="E410" s="2" t="inlineStr">
        <is>
          <t>Net Foreign Exchange Difference</t>
        </is>
      </c>
      <c r="F410" s="2" t="inlineStr">
        <is>
          <t>Net Foreign Exchange Difference</t>
        </is>
      </c>
      <c r="G410" s="2" t="inlineStr">
        <is>
          <t>^Net\s+Foreign\s+Exchange\s+Difference$</t>
        </is>
      </c>
      <c r="H410" s="2" t="inlineStr"/>
      <c r="I410" s="2" t="inlineStr">
        <is>
          <t>Amounts or disclosures explicitly reported for Net Foreign Exchange Difference in Cash Flow / cf_financing.</t>
        </is>
      </c>
      <c r="J410" s="2" t="inlineStr">
        <is>
          <t>Do not substitute another section, period, entity scope, currency or unit; do not double count a parent and its children.</t>
        </is>
      </c>
      <c r="K410" s="2" t="inlineStr"/>
      <c r="L410" s="2" t="inlineStr">
        <is>
          <t>as_reported</t>
        </is>
      </c>
      <c r="M410" s="2" t="inlineStr">
        <is>
          <t>direct_exclusive</t>
        </is>
      </c>
      <c r="N410" s="2" t="n">
        <v>90</v>
      </c>
      <c r="O410" s="2" t="inlineStr">
        <is>
          <t>normalized_exact_then_regex</t>
        </is>
      </c>
      <c r="P410" s="3" t="inlineStr">
        <is>
          <t>extract</t>
        </is>
      </c>
      <c r="Q410" s="2" t="inlineStr">
        <is>
          <t>currency_amount</t>
        </is>
      </c>
      <c r="R410" s="2" t="inlineStr">
        <is>
          <t>period_flow</t>
        </is>
      </c>
      <c r="S410" s="2" t="inlineStr">
        <is>
          <t>allowed_with_provenance</t>
        </is>
      </c>
      <c r="T410" s="2" t="b">
        <v>0</v>
      </c>
      <c r="U410" s="2" t="b">
        <v>0</v>
      </c>
      <c r="V410" s="2" t="inlineStr"/>
      <c r="W410" s="2" t="inlineStr"/>
      <c r="X410" s="2" t="inlineStr">
        <is>
          <t>Decompose only from explicit face or note evidence; never fabricate a split.</t>
        </is>
      </c>
      <c r="Y410" s="2" t="inlineStr">
        <is>
          <t>Aggregate only mutually exclusive facts with identical period, scope, currency and unit.</t>
        </is>
      </c>
      <c r="Z410" s="2" t="inlineStr">
        <is>
          <t>Bind only to Cash Flow / cf_financing.</t>
        </is>
      </c>
      <c r="AA410" s="2" t="inlineStr"/>
      <c r="AB410" s="2" t="b">
        <v>1</v>
      </c>
      <c r="AC410" s="2" t="inlineStr"/>
      <c r="AD410" s="2" t="inlineStr">
        <is>
          <t>Exact field from Cash Flow!A82; value cell B82.</t>
        </is>
      </c>
      <c r="AE410" s="2" t="inlineStr">
        <is>
          <t>Notes may support direct extraction or decomposition with provenance. Formula outputs must be derived only from template dependencies.</t>
        </is>
      </c>
      <c r="AF410" s="2" t="inlineStr"/>
      <c r="AG410" s="2" t="inlineStr">
        <is>
          <t>[]</t>
        </is>
      </c>
      <c r="AH410" s="2" t="inlineStr">
        <is>
          <t>Net Foreign Exchange Difference</t>
        </is>
      </c>
      <c r="AI410" s="2" t="inlineStr"/>
      <c r="AJ410" s="2" t="inlineStr">
        <is>
          <t>{"template_sheet": "Cash Flow", "template_row": 82, "template_cell": "B82", "template_value_or_formula": 23, "calculation_type": "reported_input", "dependencies": [], "source_template": "Copy of Output_CSV Template.xlsx"}</t>
        </is>
      </c>
    </row>
    <row r="411">
      <c r="A411" s="2" t="inlineStr">
        <is>
          <t>cf_financing__beg_of_period_cash_and_cash_equiv</t>
        </is>
      </c>
      <c r="B411" s="2" t="inlineStr">
        <is>
          <t>Beg of Period-Cash &amp; Cash Equiv</t>
        </is>
      </c>
      <c r="C411" s="2" t="inlineStr">
        <is>
          <t>cf_financing</t>
        </is>
      </c>
      <c r="D411" s="2" t="inlineStr">
        <is>
          <t>Extract the reported value for 'Beg of Period-Cash &amp; Cash Equiv' from the stated section. Do not calculate or replace it from other rows, because the revised template does not designate this field as formula-driven.</t>
        </is>
      </c>
      <c r="E411" s="2" t="inlineStr">
        <is>
          <t>Beg of Period-Cash &amp; Cash Equiv</t>
        </is>
      </c>
      <c r="F411" s="2" t="inlineStr">
        <is>
          <t>Beg of Period-Cash &amp; Cash Equiv</t>
        </is>
      </c>
      <c r="G411" s="2" t="inlineStr">
        <is>
          <t>^Beg\s+of\s+Period[\-–—]?Cash\s+\&amp;\s+Cash\s+Equiv$</t>
        </is>
      </c>
      <c r="H411" s="2" t="inlineStr"/>
      <c r="I411" s="2" t="inlineStr">
        <is>
          <t>Amounts or disclosures explicitly reported for Beg of Period-Cash &amp; Cash Equiv in Cash Flow / cf_financing.</t>
        </is>
      </c>
      <c r="J411" s="2" t="inlineStr">
        <is>
          <t>Do not substitute another section, period, entity scope, currency or unit; do not double count a parent and its children.</t>
        </is>
      </c>
      <c r="K411" s="2" t="inlineStr"/>
      <c r="L411" s="2" t="inlineStr">
        <is>
          <t>as_reported</t>
        </is>
      </c>
      <c r="M411" s="2" t="inlineStr">
        <is>
          <t>direct_exclusive</t>
        </is>
      </c>
      <c r="N411" s="2" t="n">
        <v>90</v>
      </c>
      <c r="O411" s="2" t="inlineStr">
        <is>
          <t>normalized_exact_then_regex</t>
        </is>
      </c>
      <c r="P411" s="3" t="inlineStr">
        <is>
          <t>extract</t>
        </is>
      </c>
      <c r="Q411" s="2" t="inlineStr">
        <is>
          <t>currency_amount</t>
        </is>
      </c>
      <c r="R411" s="2" t="inlineStr">
        <is>
          <t>period_flow</t>
        </is>
      </c>
      <c r="S411" s="2" t="inlineStr">
        <is>
          <t>allowed_with_provenance</t>
        </is>
      </c>
      <c r="T411" s="2" t="b">
        <v>0</v>
      </c>
      <c r="U411" s="2" t="b">
        <v>0</v>
      </c>
      <c r="V411" s="2" t="inlineStr"/>
      <c r="W411" s="2" t="inlineStr"/>
      <c r="X411" s="2" t="inlineStr">
        <is>
          <t>Decompose only from explicit face or note evidence; never fabricate a split.</t>
        </is>
      </c>
      <c r="Y411" s="2" t="inlineStr">
        <is>
          <t>Aggregate only mutually exclusive facts with identical period, scope, currency and unit.</t>
        </is>
      </c>
      <c r="Z411" s="2" t="inlineStr">
        <is>
          <t>Bind only to Cash Flow / cf_financing.</t>
        </is>
      </c>
      <c r="AA411" s="2" t="inlineStr"/>
      <c r="AB411" s="2" t="b">
        <v>1</v>
      </c>
      <c r="AC411" s="2" t="inlineStr"/>
      <c r="AD411" s="2" t="inlineStr">
        <is>
          <t>Exact field from Cash Flow!A83; value cell B83.</t>
        </is>
      </c>
      <c r="AE411" s="2" t="inlineStr">
        <is>
          <t>Notes may support direct extraction or decomposition with provenance. Formula outputs must be derived only from template dependencies.</t>
        </is>
      </c>
      <c r="AF411" s="2" t="inlineStr"/>
      <c r="AG411" s="2" t="inlineStr">
        <is>
          <t>[]</t>
        </is>
      </c>
      <c r="AH411" s="2" t="inlineStr">
        <is>
          <t>Beg of Period-Cash &amp; Cash Equiv</t>
        </is>
      </c>
      <c r="AI411" s="2" t="inlineStr"/>
      <c r="AJ411" s="2" t="inlineStr">
        <is>
          <t>{"template_sheet": "Cash Flow", "template_row": 83, "template_cell": "B83", "template_value_or_formula": 500, "calculation_type": "reported_input", "dependencies": [], "source_template": "Copy of Output_CSV Template.xlsx"}</t>
        </is>
      </c>
    </row>
    <row r="412">
      <c r="A412" s="2" t="inlineStr">
        <is>
          <t>cf_financing__end_of_period_cash_and_cash_equiv</t>
        </is>
      </c>
      <c r="B412" s="2" t="inlineStr">
        <is>
          <t>End of Period-Cash &amp; Cash Equiv</t>
        </is>
      </c>
      <c r="C412" s="2" t="inlineStr">
        <is>
          <t>cf_financing</t>
        </is>
      </c>
      <c r="D412" s="2" t="inlineStr">
        <is>
          <t>Calculated target using the exact formula retained in the supplied template: ={cf_financing__beg_of_period_cash_and_cash_equiv}+{cf_oper_indirect__cash_flows_oper_activ_indirect}+{cf_investing__cash_flows_from_invest_activities}+{cf_financing__cash_flows_from_finance_activities}+{cf_financing__net_foreign_exchange_difference}</t>
        </is>
      </c>
      <c r="E412" s="2" t="inlineStr">
        <is>
          <t>End of Period-Cash &amp; Cash Equiv</t>
        </is>
      </c>
      <c r="F412" s="2" t="inlineStr">
        <is>
          <t>End of Period-Cash &amp; Cash Equiv</t>
        </is>
      </c>
      <c r="G412" s="2" t="inlineStr">
        <is>
          <t>^End\s+of\s+Period[\-–—]?Cash\s+\&amp;\s+Cash\s+Equiv$</t>
        </is>
      </c>
      <c r="H412" s="2" t="inlineStr"/>
      <c r="I412" s="2" t="inlineStr">
        <is>
          <t>Amounts or disclosures explicitly reported for End of Period-Cash &amp; Cash Equiv in Cash Flow / cf_financing.</t>
        </is>
      </c>
      <c r="J412" s="2" t="inlineStr">
        <is>
          <t>Do not substitute another section, period, entity scope, currency or unit; do not double count a parent and its children.</t>
        </is>
      </c>
      <c r="K412" s="2" t="inlineStr"/>
      <c r="L412" s="2" t="inlineStr">
        <is>
          <t>as_reported</t>
        </is>
      </c>
      <c r="M412" s="2" t="inlineStr">
        <is>
          <t>derived_total</t>
        </is>
      </c>
      <c r="N412" s="2" t="n">
        <v>100</v>
      </c>
      <c r="O412" s="2" t="inlineStr">
        <is>
          <t>disabled</t>
        </is>
      </c>
      <c r="P412" s="4" t="inlineStr">
        <is>
          <t>derive</t>
        </is>
      </c>
      <c r="Q412" s="2" t="inlineStr">
        <is>
          <t>currency_amount</t>
        </is>
      </c>
      <c r="R412" s="2" t="inlineStr">
        <is>
          <t>period_flow</t>
        </is>
      </c>
      <c r="S412" s="2" t="inlineStr">
        <is>
          <t>allowed_with_provenance</t>
        </is>
      </c>
      <c r="T412" s="2" t="b">
        <v>0</v>
      </c>
      <c r="U412" s="2" t="b">
        <v>1</v>
      </c>
      <c r="V412" s="2" t="inlineStr">
        <is>
          <t>cf_financing__beg_of_period_cash_and_cash_equiv | cf_oper_indirect__cash_flows_oper_activ_indirect | cf_investing__cash_flows_from_invest_activities | cf_financing__cash_flows_from_finance_activities | cf_financing__net_foreign_exchange_difference</t>
        </is>
      </c>
      <c r="W412" s="2">
        <f>{cf_financing__beg_of_period_cash_and_cash_equiv}+{cf_oper_indirect__cash_flows_oper_activ_indirect}+{cf_investing__cash_flows_from_invest_activities}+{cf_financing__cash_flows_from_finance_activities}+{cf_financing__net_foreign_exchange_difference}</f>
        <v/>
      </c>
      <c r="X412" s="2" t="inlineStr">
        <is>
          <t>Use only dependencies stated in the formula; never fabricate missing components.</t>
        </is>
      </c>
      <c r="Y412" s="2" t="inlineStr">
        <is>
          <t>Calculate only after every dependency is populated and validated.</t>
        </is>
      </c>
      <c r="Z412" s="2" t="inlineStr">
        <is>
          <t>Bind only to Cash Flow / cf_financing.</t>
        </is>
      </c>
      <c r="AA412" s="2" t="inlineStr"/>
      <c r="AB412" s="2" t="b">
        <v>0</v>
      </c>
      <c r="AC412" s="2" t="inlineStr">
        <is>
          <t>cf_financing__beg_of_period_cash_and_cash_equiv | cf_oper_indirect__cash_flows_oper_activ_indirect | cf_investing__cash_flows_from_invest_activities | cf_financing__cash_flows_from_finance_activities | cf_financing__net_foreign_exchange_difference</t>
        </is>
      </c>
      <c r="AD412" s="2" t="inlineStr">
        <is>
          <t>Exact field from Cash Flow!A84; value cell B84.</t>
        </is>
      </c>
      <c r="AE412" s="2" t="inlineStr">
        <is>
          <t>Notes may support direct extraction or decomposition with provenance. Formula outputs must be derived only from template dependencies.</t>
        </is>
      </c>
      <c r="AF412" s="2" t="inlineStr"/>
      <c r="AG412" s="2" t="inlineStr">
        <is>
          <t>[]</t>
        </is>
      </c>
      <c r="AH412" s="2" t="inlineStr">
        <is>
          <t>End of Period-Cash &amp; Cash Equiv</t>
        </is>
      </c>
      <c r="AI412" s="2" t="inlineStr"/>
      <c r="AJ412" s="2" t="inlineStr">
        <is>
          <t>{"template_sheet": "Cash Flow", "template_row": 84, "template_cell": "B84", "template_value_or_formula": "=B83+B37+B66+B81+B82", "calculation_type": "formula", "dependencies": ["cf_financing__beg_of_period_cash_and_cash_equiv", "cf_oper_indirect__cash_flows_oper_activ_indirect", "cf_investing__cash_flows_from_invest_activities", "cf_financing__cash_flows_from_finance_activities", "cf_financing__net_foreign_exchange_difference"], "source_template": "Copy of Output_CSV Template.xlsx"}</t>
        </is>
      </c>
    </row>
    <row r="413">
      <c r="A413" s="2" t="inlineStr">
        <is>
          <t>cf_financing__unexplained_adjustment_to_cash</t>
        </is>
      </c>
      <c r="B413" s="2" t="inlineStr">
        <is>
          <t>Unexplained Adjustment to Cash</t>
        </is>
      </c>
      <c r="C413" s="2" t="inlineStr">
        <is>
          <t>cf_financing</t>
        </is>
      </c>
      <c r="D413" s="2" t="inlineStr">
        <is>
          <t>Calculated target using the exact formula retained in the supplied template: ={cf_financing__end_of_period_cash_and_cash_equiv}-{cf_financing__beg_of_period_cash_and_cash_equiv}-{cf_oper_indirect__cash_flows_oper_activ_indirect}-{cf_investing__cash_flows_from_invest_activities}-{cf_financing__cash_flows_from_finance_activities}-{cf_financing__net_foreign_exchange_difference}</t>
        </is>
      </c>
      <c r="E413" s="2" t="inlineStr">
        <is>
          <t>Unexplained Adjustment to Cash</t>
        </is>
      </c>
      <c r="F413" s="2" t="inlineStr">
        <is>
          <t>Unexplained Adjustment to Cash</t>
        </is>
      </c>
      <c r="G413" s="2" t="inlineStr">
        <is>
          <t>^Unexplained\s+Adjustment\s+to\s+Cash$</t>
        </is>
      </c>
      <c r="H413" s="2" t="inlineStr"/>
      <c r="I413" s="2" t="inlineStr">
        <is>
          <t>Amounts or disclosures explicitly reported for Unexplained Adjustment to Cash in Cash Flow / cf_financing.</t>
        </is>
      </c>
      <c r="J413" s="2" t="inlineStr">
        <is>
          <t>Do not substitute another section, period, entity scope, currency or unit; do not double count a parent and its children.</t>
        </is>
      </c>
      <c r="K413" s="2" t="inlineStr"/>
      <c r="L413" s="2" t="inlineStr">
        <is>
          <t>as_reported</t>
        </is>
      </c>
      <c r="M413" s="2" t="inlineStr">
        <is>
          <t>derived_total</t>
        </is>
      </c>
      <c r="N413" s="2" t="n">
        <v>100</v>
      </c>
      <c r="O413" s="2" t="inlineStr">
        <is>
          <t>disabled</t>
        </is>
      </c>
      <c r="P413" s="4" t="inlineStr">
        <is>
          <t>derive</t>
        </is>
      </c>
      <c r="Q413" s="2" t="inlineStr">
        <is>
          <t>currency_amount</t>
        </is>
      </c>
      <c r="R413" s="2" t="inlineStr">
        <is>
          <t>period_flow</t>
        </is>
      </c>
      <c r="S413" s="2" t="inlineStr">
        <is>
          <t>allowed_with_provenance</t>
        </is>
      </c>
      <c r="T413" s="2" t="b">
        <v>0</v>
      </c>
      <c r="U413" s="2" t="b">
        <v>1</v>
      </c>
      <c r="V413" s="2" t="inlineStr">
        <is>
          <t>cf_financing__end_of_period_cash_and_cash_equiv | cf_financing__beg_of_period_cash_and_cash_equiv | cf_oper_indirect__cash_flows_oper_activ_indirect | cf_investing__cash_flows_from_invest_activities | cf_financing__cash_flows_from_finance_activities | cf_financing__net_foreign_exchange_difference</t>
        </is>
      </c>
      <c r="W413" s="2">
        <f>{cf_financing__end_of_period_cash_and_cash_equiv}-{cf_financing__beg_of_period_cash_and_cash_equiv}-{cf_oper_indirect__cash_flows_oper_activ_indirect}-{cf_investing__cash_flows_from_invest_activities}-{cf_financing__cash_flows_from_finance_activities}-{cf_financing__net_foreign_exchange_difference}</f>
        <v/>
      </c>
      <c r="X413" s="2" t="inlineStr">
        <is>
          <t>Use only dependencies stated in the formula; never fabricate missing components.</t>
        </is>
      </c>
      <c r="Y413" s="2" t="inlineStr">
        <is>
          <t>Calculate only after every dependency is populated and validated.</t>
        </is>
      </c>
      <c r="Z413" s="2" t="inlineStr">
        <is>
          <t>Bind only to Cash Flow / cf_financing.</t>
        </is>
      </c>
      <c r="AA413" s="2" t="inlineStr"/>
      <c r="AB413" s="2" t="b">
        <v>0</v>
      </c>
      <c r="AC413" s="2" t="inlineStr">
        <is>
          <t>cf_financing__end_of_period_cash_and_cash_equiv | cf_financing__beg_of_period_cash_and_cash_equiv | cf_oper_indirect__cash_flows_oper_activ_indirect | cf_investing__cash_flows_from_invest_activities | cf_financing__cash_flows_from_finance_activities | cf_financing__net_foreign_exchange_difference</t>
        </is>
      </c>
      <c r="AD413" s="2" t="inlineStr">
        <is>
          <t>Exact field from Cash Flow!A85; value cell B85.</t>
        </is>
      </c>
      <c r="AE413" s="2" t="inlineStr">
        <is>
          <t>Notes may support direct extraction or decomposition with provenance. Formula outputs must be derived only from template dependencies.</t>
        </is>
      </c>
      <c r="AF413" s="2" t="inlineStr">
        <is>
          <t>{"mode": "no_balancing_plug", "negative_result": "review"}</t>
        </is>
      </c>
      <c r="AG413" s="2" t="inlineStr">
        <is>
          <t>[]</t>
        </is>
      </c>
      <c r="AH413" s="2" t="inlineStr">
        <is>
          <t>Unexplained Adjustment to Cash</t>
        </is>
      </c>
      <c r="AI413" s="2" t="inlineStr"/>
      <c r="AJ413" s="2" t="inlineStr">
        <is>
          <t>{"template_sheet": "Cash Flow", "template_row": 85, "template_cell": "B85", "template_value_or_formula": "=B84-B83-B37-B66-B81-B82", "calculation_type": "formula", "dependencies": ["cf_financing__end_of_period_cash_and_cash_equiv", "cf_financing__beg_of_period_cash_and_cash_equiv", "cf_oper_indirect__cash_flows_oper_activ_indirect", "cf_investing__cash_flows_from_invest_activities", "cf_financing__cash_flows_from_finance_activities", "cf_financing__net_foreign_exchange_difference"], "source_template": "Copy of Output_CSV Template.xlsx"}</t>
        </is>
      </c>
    </row>
    <row r="414">
      <c r="A414" s="2" t="inlineStr">
        <is>
          <t>supplemental_data__exchange_rate_period_end</t>
        </is>
      </c>
      <c r="B414" s="2" t="inlineStr">
        <is>
          <t>Exchange Rate(Period End)</t>
        </is>
      </c>
      <c r="C414" s="2" t="inlineStr">
        <is>
          <t>supplemental_data</t>
        </is>
      </c>
      <c r="D414" s="2" t="inlineStr">
        <is>
          <t>Extract the reported value for 'Exchange Rate(Period End)' from the stated section. Do not calculate or replace it from other rows, because the revised template does not designate this field as formula-driven.</t>
        </is>
      </c>
      <c r="E414" s="2" t="inlineStr">
        <is>
          <t>Exchange Rate(Period End)</t>
        </is>
      </c>
      <c r="F414" s="2" t="inlineStr">
        <is>
          <t>Exchange Rate(Period End)</t>
        </is>
      </c>
      <c r="G414" s="2" t="inlineStr">
        <is>
          <t>^Exchange\s+Rate\(Period\s+End\)$</t>
        </is>
      </c>
      <c r="H414" s="2" t="inlineStr"/>
      <c r="I414" s="2" t="inlineStr">
        <is>
          <t>Amounts or disclosures explicitly reported for Exchange Rate(Period End) in Covenants &amp; Supplemental / supplemental_data.</t>
        </is>
      </c>
      <c r="J414" s="2" t="inlineStr">
        <is>
          <t>Do not substitute another section, period, entity scope, currency or unit; do not double count a parent and its children.</t>
        </is>
      </c>
      <c r="K414" s="2" t="inlineStr"/>
      <c r="L414" s="2" t="inlineStr">
        <is>
          <t>as_reported</t>
        </is>
      </c>
      <c r="M414" s="2" t="inlineStr">
        <is>
          <t>direct_exclusive</t>
        </is>
      </c>
      <c r="N414" s="2" t="n">
        <v>90</v>
      </c>
      <c r="O414" s="2" t="inlineStr">
        <is>
          <t>normalized_exact_then_regex</t>
        </is>
      </c>
      <c r="P414" s="3" t="inlineStr">
        <is>
          <t>extract</t>
        </is>
      </c>
      <c r="Q414" s="2" t="inlineStr">
        <is>
          <t>currency_amount</t>
        </is>
      </c>
      <c r="R414" s="2" t="inlineStr">
        <is>
          <t>as_disclosed</t>
        </is>
      </c>
      <c r="S414" s="2" t="inlineStr">
        <is>
          <t>allowed_with_provenance</t>
        </is>
      </c>
      <c r="T414" s="2" t="b">
        <v>0</v>
      </c>
      <c r="U414" s="2" t="b">
        <v>0</v>
      </c>
      <c r="V414" s="2" t="inlineStr"/>
      <c r="W414" s="2" t="inlineStr"/>
      <c r="X414" s="2" t="inlineStr">
        <is>
          <t>Decompose only from explicit face or note evidence; never fabricate a split.</t>
        </is>
      </c>
      <c r="Y414" s="2" t="inlineStr">
        <is>
          <t>Aggregate only mutually exclusive facts with identical period, scope, currency and unit.</t>
        </is>
      </c>
      <c r="Z414" s="2" t="inlineStr">
        <is>
          <t>Bind only to Covenants &amp; Supplemental / supplemental_data.</t>
        </is>
      </c>
      <c r="AA414" s="2" t="inlineStr"/>
      <c r="AB414" s="2" t="b">
        <v>1</v>
      </c>
      <c r="AC414" s="2" t="inlineStr"/>
      <c r="AD414" s="2" t="inlineStr">
        <is>
          <t>Exact field from Covenants &amp; Supplemental!A6; value cell B6.</t>
        </is>
      </c>
      <c r="AE414" s="2" t="inlineStr">
        <is>
          <t>Notes may support direct extraction or decomposition with provenance. Formula outputs must be derived only from template dependencies.</t>
        </is>
      </c>
      <c r="AF414" s="2" t="inlineStr"/>
      <c r="AG414" s="2" t="inlineStr">
        <is>
          <t>[]</t>
        </is>
      </c>
      <c r="AH414" s="2" t="inlineStr">
        <is>
          <t>Exchange Rate(Period End)</t>
        </is>
      </c>
      <c r="AI414" s="2" t="inlineStr"/>
      <c r="AJ414" s="2" t="inlineStr">
        <is>
          <t>{"template_sheet": "Covenants &amp; Supplemental", "template_row": 6, "template_cell": "B6", "template_value_or_formula": 1, "calculation_type": "reported_input", "dependencies": [], "source_template": "Copy of Output_CSV Template.xlsx"}</t>
        </is>
      </c>
    </row>
    <row r="415">
      <c r="A415" s="2" t="inlineStr">
        <is>
          <t>supplemental_data__exchange_rate_period_average</t>
        </is>
      </c>
      <c r="B415" s="2" t="inlineStr">
        <is>
          <t>Exchange Rate(Period Average)</t>
        </is>
      </c>
      <c r="C415" s="2" t="inlineStr">
        <is>
          <t>supplemental_data</t>
        </is>
      </c>
      <c r="D415" s="2" t="inlineStr">
        <is>
          <t>Extract the reported value for 'Exchange Rate(Period Average)' from the stated section. Do not calculate or replace it from other rows, because the revised template does not designate this field as formula-driven.</t>
        </is>
      </c>
      <c r="E415" s="2" t="inlineStr">
        <is>
          <t>Exchange Rate(Period Average)</t>
        </is>
      </c>
      <c r="F415" s="2" t="inlineStr">
        <is>
          <t>Exchange Rate(Period Average)</t>
        </is>
      </c>
      <c r="G415" s="2" t="inlineStr">
        <is>
          <t>^Exchange\s+Rate\(Period\s+Average\)$</t>
        </is>
      </c>
      <c r="H415" s="2" t="inlineStr"/>
      <c r="I415" s="2" t="inlineStr">
        <is>
          <t>Amounts or disclosures explicitly reported for Exchange Rate(Period Average) in Covenants &amp; Supplemental / supplemental_data.</t>
        </is>
      </c>
      <c r="J415" s="2" t="inlineStr">
        <is>
          <t>Do not substitute another section, period, entity scope, currency or unit; do not double count a parent and its children.</t>
        </is>
      </c>
      <c r="K415" s="2" t="inlineStr"/>
      <c r="L415" s="2" t="inlineStr">
        <is>
          <t>as_reported</t>
        </is>
      </c>
      <c r="M415" s="2" t="inlineStr">
        <is>
          <t>direct_exclusive</t>
        </is>
      </c>
      <c r="N415" s="2" t="n">
        <v>90</v>
      </c>
      <c r="O415" s="2" t="inlineStr">
        <is>
          <t>normalized_exact_then_regex</t>
        </is>
      </c>
      <c r="P415" s="3" t="inlineStr">
        <is>
          <t>extract</t>
        </is>
      </c>
      <c r="Q415" s="2" t="inlineStr">
        <is>
          <t>currency_amount</t>
        </is>
      </c>
      <c r="R415" s="2" t="inlineStr">
        <is>
          <t>as_disclosed</t>
        </is>
      </c>
      <c r="S415" s="2" t="inlineStr">
        <is>
          <t>allowed_with_provenance</t>
        </is>
      </c>
      <c r="T415" s="2" t="b">
        <v>0</v>
      </c>
      <c r="U415" s="2" t="b">
        <v>0</v>
      </c>
      <c r="V415" s="2" t="inlineStr"/>
      <c r="W415" s="2" t="inlineStr"/>
      <c r="X415" s="2" t="inlineStr">
        <is>
          <t>Decompose only from explicit face or note evidence; never fabricate a split.</t>
        </is>
      </c>
      <c r="Y415" s="2" t="inlineStr">
        <is>
          <t>Aggregate only mutually exclusive facts with identical period, scope, currency and unit.</t>
        </is>
      </c>
      <c r="Z415" s="2" t="inlineStr">
        <is>
          <t>Bind only to Covenants &amp; Supplemental / supplemental_data.</t>
        </is>
      </c>
      <c r="AA415" s="2" t="inlineStr"/>
      <c r="AB415" s="2" t="b">
        <v>1</v>
      </c>
      <c r="AC415" s="2" t="inlineStr"/>
      <c r="AD415" s="2" t="inlineStr">
        <is>
          <t>Exact field from Covenants &amp; Supplemental!A7; value cell B7.</t>
        </is>
      </c>
      <c r="AE415" s="2" t="inlineStr">
        <is>
          <t>Notes may support direct extraction or decomposition with provenance. Formula outputs must be derived only from template dependencies.</t>
        </is>
      </c>
      <c r="AF415" s="2" t="inlineStr"/>
      <c r="AG415" s="2" t="inlineStr">
        <is>
          <t>[]</t>
        </is>
      </c>
      <c r="AH415" s="2" t="inlineStr">
        <is>
          <t>Exchange Rate(Period Average)</t>
        </is>
      </c>
      <c r="AI415" s="2" t="inlineStr"/>
      <c r="AJ415" s="2" t="inlineStr">
        <is>
          <t>{"template_sheet": "Covenants &amp; Supplemental", "template_row": 7, "template_cell": "B7", "template_value_or_formula": 1, "calculation_type": "reported_input", "dependencies": [], "source_template": "Copy of Output_CSV Template.xlsx"}</t>
        </is>
      </c>
    </row>
    <row r="416">
      <c r="A416" s="2" t="inlineStr">
        <is>
          <t>supplemental_data__num_outstanding_common_shares</t>
        </is>
      </c>
      <c r="B416" s="2" t="inlineStr">
        <is>
          <t>Num Outstanding Common Shares</t>
        </is>
      </c>
      <c r="C416" s="2" t="inlineStr">
        <is>
          <t>supplemental_data</t>
        </is>
      </c>
      <c r="D416" s="2" t="inlineStr">
        <is>
          <t>Extract the reported value for 'Num Outstanding Common Shares' from the stated section. Do not calculate or replace it from other rows, because the revised template does not designate this field as formula-driven.</t>
        </is>
      </c>
      <c r="E416" s="2" t="inlineStr">
        <is>
          <t>Num Outstanding Common Shares</t>
        </is>
      </c>
      <c r="F416" s="2" t="inlineStr">
        <is>
          <t>Num Outstanding Common Shares</t>
        </is>
      </c>
      <c r="G416" s="2" t="inlineStr">
        <is>
          <t>^Num\s+Outstanding\s+Common\s+Shares$</t>
        </is>
      </c>
      <c r="H416" s="2" t="inlineStr"/>
      <c r="I416" s="2" t="inlineStr">
        <is>
          <t>Amounts or disclosures explicitly reported for Num Outstanding Common Shares in Covenants &amp; Supplemental / supplemental_data.</t>
        </is>
      </c>
      <c r="J416" s="2" t="inlineStr">
        <is>
          <t>Do not substitute another section, period, entity scope, currency or unit; do not double count a parent and its children.</t>
        </is>
      </c>
      <c r="K416" s="2" t="inlineStr"/>
      <c r="L416" s="2" t="inlineStr">
        <is>
          <t>as_reported</t>
        </is>
      </c>
      <c r="M416" s="2" t="inlineStr">
        <is>
          <t>direct_exclusive</t>
        </is>
      </c>
      <c r="N416" s="2" t="n">
        <v>90</v>
      </c>
      <c r="O416" s="2" t="inlineStr">
        <is>
          <t>normalized_exact_then_regex</t>
        </is>
      </c>
      <c r="P416" s="3" t="inlineStr">
        <is>
          <t>extract</t>
        </is>
      </c>
      <c r="Q416" s="2" t="inlineStr">
        <is>
          <t>currency_amount</t>
        </is>
      </c>
      <c r="R416" s="2" t="inlineStr">
        <is>
          <t>as_disclosed</t>
        </is>
      </c>
      <c r="S416" s="2" t="inlineStr">
        <is>
          <t>allowed_with_provenance</t>
        </is>
      </c>
      <c r="T416" s="2" t="b">
        <v>0</v>
      </c>
      <c r="U416" s="2" t="b">
        <v>0</v>
      </c>
      <c r="V416" s="2" t="inlineStr"/>
      <c r="W416" s="2" t="inlineStr"/>
      <c r="X416" s="2" t="inlineStr">
        <is>
          <t>Decompose only from explicit face or note evidence; never fabricate a split.</t>
        </is>
      </c>
      <c r="Y416" s="2" t="inlineStr">
        <is>
          <t>Aggregate only mutually exclusive facts with identical period, scope, currency and unit.</t>
        </is>
      </c>
      <c r="Z416" s="2" t="inlineStr">
        <is>
          <t>Bind only to Covenants &amp; Supplemental / supplemental_data.</t>
        </is>
      </c>
      <c r="AA416" s="2" t="inlineStr"/>
      <c r="AB416" s="2" t="b">
        <v>1</v>
      </c>
      <c r="AC416" s="2" t="inlineStr"/>
      <c r="AD416" s="2" t="inlineStr">
        <is>
          <t>Exact field from Covenants &amp; Supplemental!A8; value cell B8.</t>
        </is>
      </c>
      <c r="AE416" s="2" t="inlineStr">
        <is>
          <t>Notes may support direct extraction or decomposition with provenance. Formula outputs must be derived only from template dependencies.</t>
        </is>
      </c>
      <c r="AF416" s="2" t="inlineStr"/>
      <c r="AG416" s="2" t="inlineStr">
        <is>
          <t>[]</t>
        </is>
      </c>
      <c r="AH416" s="2" t="inlineStr">
        <is>
          <t>Num Outstanding Common Shares</t>
        </is>
      </c>
      <c r="AI416" s="2" t="inlineStr"/>
      <c r="AJ416" s="2" t="inlineStr">
        <is>
          <t>{"template_sheet": "Covenants &amp; Supplemental", "template_row": 8, "template_cell": "B8", "template_value_or_formula": 100000, "calculation_type": "reported_input", "dependencies": [], "source_template": "Copy of Output_CSV Template.xlsx"}</t>
        </is>
      </c>
    </row>
    <row r="417">
      <c r="A417" s="2" t="inlineStr">
        <is>
          <t>supplemental_data__num_outstanding_preferred_shares</t>
        </is>
      </c>
      <c r="B417" s="2" t="inlineStr">
        <is>
          <t>Num Outstanding Preferred Shares</t>
        </is>
      </c>
      <c r="C417" s="2" t="inlineStr">
        <is>
          <t>supplemental_data</t>
        </is>
      </c>
      <c r="D417" s="2" t="inlineStr">
        <is>
          <t>Extract the reported value for 'Num Outstanding Preferred Shares' from the stated section. Do not calculate or replace it from other rows, because the revised template does not designate this field as formula-driven.</t>
        </is>
      </c>
      <c r="E417" s="2" t="inlineStr">
        <is>
          <t>Num Outstanding Preferred Shares</t>
        </is>
      </c>
      <c r="F417" s="2" t="inlineStr">
        <is>
          <t>Num Outstanding Preferred Shares</t>
        </is>
      </c>
      <c r="G417" s="2" t="inlineStr">
        <is>
          <t>^Num\s+Outstanding\s+Preferred\s+Shares$</t>
        </is>
      </c>
      <c r="H417" s="2" t="inlineStr"/>
      <c r="I417" s="2" t="inlineStr">
        <is>
          <t>Amounts or disclosures explicitly reported for Num Outstanding Preferred Shares in Covenants &amp; Supplemental / supplemental_data.</t>
        </is>
      </c>
      <c r="J417" s="2" t="inlineStr">
        <is>
          <t>Do not substitute another section, period, entity scope, currency or unit; do not double count a parent and its children.</t>
        </is>
      </c>
      <c r="K417" s="2" t="inlineStr"/>
      <c r="L417" s="2" t="inlineStr">
        <is>
          <t>as_reported</t>
        </is>
      </c>
      <c r="M417" s="2" t="inlineStr">
        <is>
          <t>direct_exclusive</t>
        </is>
      </c>
      <c r="N417" s="2" t="n">
        <v>90</v>
      </c>
      <c r="O417" s="2" t="inlineStr">
        <is>
          <t>normalized_exact_then_regex</t>
        </is>
      </c>
      <c r="P417" s="3" t="inlineStr">
        <is>
          <t>extract</t>
        </is>
      </c>
      <c r="Q417" s="2" t="inlineStr">
        <is>
          <t>currency_amount</t>
        </is>
      </c>
      <c r="R417" s="2" t="inlineStr">
        <is>
          <t>as_disclosed</t>
        </is>
      </c>
      <c r="S417" s="2" t="inlineStr">
        <is>
          <t>allowed_with_provenance</t>
        </is>
      </c>
      <c r="T417" s="2" t="b">
        <v>0</v>
      </c>
      <c r="U417" s="2" t="b">
        <v>0</v>
      </c>
      <c r="V417" s="2" t="inlineStr"/>
      <c r="W417" s="2" t="inlineStr"/>
      <c r="X417" s="2" t="inlineStr">
        <is>
          <t>Decompose only from explicit face or note evidence; never fabricate a split.</t>
        </is>
      </c>
      <c r="Y417" s="2" t="inlineStr">
        <is>
          <t>Aggregate only mutually exclusive facts with identical period, scope, currency and unit.</t>
        </is>
      </c>
      <c r="Z417" s="2" t="inlineStr">
        <is>
          <t>Bind only to Covenants &amp; Supplemental / supplemental_data.</t>
        </is>
      </c>
      <c r="AA417" s="2" t="inlineStr"/>
      <c r="AB417" s="2" t="b">
        <v>1</v>
      </c>
      <c r="AC417" s="2" t="inlineStr"/>
      <c r="AD417" s="2" t="inlineStr">
        <is>
          <t>Exact field from Covenants &amp; Supplemental!A9; value cell B9.</t>
        </is>
      </c>
      <c r="AE417" s="2" t="inlineStr">
        <is>
          <t>Notes may support direct extraction or decomposition with provenance. Formula outputs must be derived only from template dependencies.</t>
        </is>
      </c>
      <c r="AF417" s="2" t="inlineStr"/>
      <c r="AG417" s="2" t="inlineStr">
        <is>
          <t>[]</t>
        </is>
      </c>
      <c r="AH417" s="2" t="inlineStr">
        <is>
          <t>Num Outstanding Preferred Shares</t>
        </is>
      </c>
      <c r="AI417" s="2" t="inlineStr"/>
      <c r="AJ417" s="2" t="inlineStr">
        <is>
          <t>{"template_sheet": "Covenants &amp; Supplemental", "template_row": 9, "template_cell": "B9", "template_value_or_formula": 0, "calculation_type": "reported_input", "dependencies": [], "source_template": "Copy of Output_CSV Template.xlsx"}</t>
        </is>
      </c>
    </row>
    <row r="418">
      <c r="A418" s="2" t="inlineStr">
        <is>
          <t>supplemental_data__num_employees</t>
        </is>
      </c>
      <c r="B418" s="2" t="inlineStr">
        <is>
          <t>Num Employees</t>
        </is>
      </c>
      <c r="C418" s="2" t="inlineStr">
        <is>
          <t>supplemental_data</t>
        </is>
      </c>
      <c r="D418" s="2" t="inlineStr">
        <is>
          <t>Extract the reported value for 'Num Employees' from the stated section. Do not calculate or replace it from other rows, because the revised template does not designate this field as formula-driven.</t>
        </is>
      </c>
      <c r="E418" s="2" t="inlineStr">
        <is>
          <t>Num Employees</t>
        </is>
      </c>
      <c r="F418" s="2" t="inlineStr">
        <is>
          <t>Num Employees</t>
        </is>
      </c>
      <c r="G418" s="2" t="inlineStr">
        <is>
          <t>^Num\s+Employees$</t>
        </is>
      </c>
      <c r="H418" s="2" t="inlineStr"/>
      <c r="I418" s="2" t="inlineStr">
        <is>
          <t>Amounts or disclosures explicitly reported for Num Employees in Covenants &amp; Supplemental / supplemental_data.</t>
        </is>
      </c>
      <c r="J418" s="2" t="inlineStr">
        <is>
          <t>Do not substitute another section, period, entity scope, currency or unit; do not double count a parent and its children.</t>
        </is>
      </c>
      <c r="K418" s="2" t="inlineStr"/>
      <c r="L418" s="2" t="inlineStr">
        <is>
          <t>as_reported</t>
        </is>
      </c>
      <c r="M418" s="2" t="inlineStr">
        <is>
          <t>direct_exclusive</t>
        </is>
      </c>
      <c r="N418" s="2" t="n">
        <v>90</v>
      </c>
      <c r="O418" s="2" t="inlineStr">
        <is>
          <t>normalized_exact_then_regex</t>
        </is>
      </c>
      <c r="P418" s="3" t="inlineStr">
        <is>
          <t>extract</t>
        </is>
      </c>
      <c r="Q418" s="2" t="inlineStr">
        <is>
          <t>currency_amount</t>
        </is>
      </c>
      <c r="R418" s="2" t="inlineStr">
        <is>
          <t>as_disclosed</t>
        </is>
      </c>
      <c r="S418" s="2" t="inlineStr">
        <is>
          <t>allowed_with_provenance</t>
        </is>
      </c>
      <c r="T418" s="2" t="b">
        <v>0</v>
      </c>
      <c r="U418" s="2" t="b">
        <v>0</v>
      </c>
      <c r="V418" s="2" t="inlineStr"/>
      <c r="W418" s="2" t="inlineStr"/>
      <c r="X418" s="2" t="inlineStr">
        <is>
          <t>Decompose only from explicit face or note evidence; never fabricate a split.</t>
        </is>
      </c>
      <c r="Y418" s="2" t="inlineStr">
        <is>
          <t>Aggregate only mutually exclusive facts with identical period, scope, currency and unit.</t>
        </is>
      </c>
      <c r="Z418" s="2" t="inlineStr">
        <is>
          <t>Bind only to Covenants &amp; Supplemental / supplemental_data.</t>
        </is>
      </c>
      <c r="AA418" s="2" t="inlineStr"/>
      <c r="AB418" s="2" t="b">
        <v>1</v>
      </c>
      <c r="AC418" s="2" t="inlineStr"/>
      <c r="AD418" s="2" t="inlineStr">
        <is>
          <t>Exact field from Covenants &amp; Supplemental!A10; value cell B10.</t>
        </is>
      </c>
      <c r="AE418" s="2" t="inlineStr">
        <is>
          <t>Notes may support direct extraction or decomposition with provenance. Formula outputs must be derived only from template dependencies.</t>
        </is>
      </c>
      <c r="AF418" s="2" t="inlineStr"/>
      <c r="AG418" s="2" t="inlineStr">
        <is>
          <t>[]</t>
        </is>
      </c>
      <c r="AH418" s="2" t="inlineStr">
        <is>
          <t>Num Employees</t>
        </is>
      </c>
      <c r="AI418" s="2" t="inlineStr"/>
      <c r="AJ418" s="2" t="inlineStr">
        <is>
          <t>{"template_sheet": "Covenants &amp; Supplemental", "template_row": 10, "template_cell": "B10", "template_value_or_formula": 250, "calculation_type": "reported_input", "dependencies": [], "source_template": "Copy of Output_CSV Template.xlsx"}</t>
        </is>
      </c>
    </row>
    <row r="419">
      <c r="A419" s="2" t="inlineStr">
        <is>
          <t>supplemental_data__gross_premium_written_insur_co_only</t>
        </is>
      </c>
      <c r="B419" s="2" t="inlineStr">
        <is>
          <t>Gross Premium Written*Insur. Co. Only</t>
        </is>
      </c>
      <c r="C419" s="2" t="inlineStr">
        <is>
          <t>supplemental_data</t>
        </is>
      </c>
      <c r="D419" s="2" t="inlineStr">
        <is>
          <t>Extract the reported value for 'Gross Premium Written*Insur. Co. Only' from the stated section. Do not calculate or replace it from other rows, because the revised template does not designate this field as formula-driven.</t>
        </is>
      </c>
      <c r="E419" s="2" t="inlineStr">
        <is>
          <t>Gross Premium Written*Insur. Co. Only</t>
        </is>
      </c>
      <c r="F419" s="2" t="inlineStr">
        <is>
          <t>Gross Premium Written*Insur. Co. Only</t>
        </is>
      </c>
      <c r="G419" s="2" t="inlineStr">
        <is>
          <t>^Gross\s+Premium\s+Written\*Insur\.\s+Co\.\s+Only$</t>
        </is>
      </c>
      <c r="H419" s="2" t="inlineStr"/>
      <c r="I419" s="2" t="inlineStr">
        <is>
          <t>Amounts or disclosures explicitly reported for Gross Premium Written*Insur. Co. Only in Covenants &amp; Supplemental / supplemental_data.</t>
        </is>
      </c>
      <c r="J419" s="2" t="inlineStr">
        <is>
          <t>Do not substitute another section, period, entity scope, currency or unit; do not double count a parent and its children.</t>
        </is>
      </c>
      <c r="K419" s="2" t="inlineStr"/>
      <c r="L419" s="2" t="inlineStr">
        <is>
          <t>as_reported</t>
        </is>
      </c>
      <c r="M419" s="2" t="inlineStr">
        <is>
          <t>direct_exclusive</t>
        </is>
      </c>
      <c r="N419" s="2" t="n">
        <v>90</v>
      </c>
      <c r="O419" s="2" t="inlineStr">
        <is>
          <t>normalized_exact_then_regex</t>
        </is>
      </c>
      <c r="P419" s="3" t="inlineStr">
        <is>
          <t>extract</t>
        </is>
      </c>
      <c r="Q419" s="2" t="inlineStr">
        <is>
          <t>currency_amount</t>
        </is>
      </c>
      <c r="R419" s="2" t="inlineStr">
        <is>
          <t>as_disclosed</t>
        </is>
      </c>
      <c r="S419" s="2" t="inlineStr">
        <is>
          <t>allowed_with_provenance</t>
        </is>
      </c>
      <c r="T419" s="2" t="b">
        <v>0</v>
      </c>
      <c r="U419" s="2" t="b">
        <v>0</v>
      </c>
      <c r="V419" s="2" t="inlineStr"/>
      <c r="W419" s="2" t="inlineStr"/>
      <c r="X419" s="2" t="inlineStr">
        <is>
          <t>Decompose only from explicit face or note evidence; never fabricate a split.</t>
        </is>
      </c>
      <c r="Y419" s="2" t="inlineStr">
        <is>
          <t>Aggregate only mutually exclusive facts with identical period, scope, currency and unit.</t>
        </is>
      </c>
      <c r="Z419" s="2" t="inlineStr">
        <is>
          <t>Bind only to Covenants &amp; Supplemental / supplemental_data.</t>
        </is>
      </c>
      <c r="AA419" s="2" t="inlineStr"/>
      <c r="AB419" s="2" t="b">
        <v>1</v>
      </c>
      <c r="AC419" s="2" t="inlineStr"/>
      <c r="AD419" s="2" t="inlineStr">
        <is>
          <t>Exact field from Covenants &amp; Supplemental!A11; value cell B11.</t>
        </is>
      </c>
      <c r="AE419" s="2" t="inlineStr">
        <is>
          <t>Notes may support direct extraction or decomposition with provenance. Formula outputs must be derived only from template dependencies.</t>
        </is>
      </c>
      <c r="AF419" s="2" t="inlineStr"/>
      <c r="AG419" s="2" t="inlineStr">
        <is>
          <t>[]</t>
        </is>
      </c>
      <c r="AH419" s="2" t="inlineStr">
        <is>
          <t>Gross Premium Written*Insur. Co. Only</t>
        </is>
      </c>
      <c r="AI419" s="2" t="inlineStr"/>
      <c r="AJ419" s="2" t="inlineStr">
        <is>
          <t>{"template_sheet": "Covenants &amp; Supplemental", "template_row": 11, "template_cell": "B11", "template_value_or_formula": 16, "calculation_type": "reported_input", "dependencies": [], "source_template": "Copy of Output_CSV Template.xlsx"}</t>
        </is>
      </c>
    </row>
    <row r="420">
      <c r="A420" s="2" t="inlineStr">
        <is>
          <t>supplemental_data__gross_premium_written_life_insur_co_only</t>
        </is>
      </c>
      <c r="B420" s="2" t="inlineStr">
        <is>
          <t>Gross Premium Written - life*Insur. Co. Only</t>
        </is>
      </c>
      <c r="C420" s="2" t="inlineStr">
        <is>
          <t>supplemental_data</t>
        </is>
      </c>
      <c r="D420" s="2" t="inlineStr">
        <is>
          <t>Extract the reported value for 'Gross Premium Written - life*Insur. Co. Only' from the stated section. Do not calculate or replace it from other rows, because the revised template does not designate this field as formula-driven.</t>
        </is>
      </c>
      <c r="E420" s="2" t="inlineStr">
        <is>
          <t>Gross Premium Written - life*Insur. Co. Only</t>
        </is>
      </c>
      <c r="F420" s="2" t="inlineStr">
        <is>
          <t>Gross Premium Written - life*Insur. Co. Only</t>
        </is>
      </c>
      <c r="G420" s="2" t="inlineStr">
        <is>
          <t>^Gross\s+Premium\s+Written\s+[\-–—]?\s+life\*Insur\.\s+Co\.\s+Only$</t>
        </is>
      </c>
      <c r="H420" s="2" t="inlineStr"/>
      <c r="I420" s="2" t="inlineStr">
        <is>
          <t>Amounts or disclosures explicitly reported for Gross Premium Written - life*Insur. Co. Only in Covenants &amp; Supplemental / supplemental_data.</t>
        </is>
      </c>
      <c r="J420" s="2" t="inlineStr">
        <is>
          <t>Do not substitute another section, period, entity scope, currency or unit; do not double count a parent and its children.</t>
        </is>
      </c>
      <c r="K420" s="2" t="inlineStr"/>
      <c r="L420" s="2" t="inlineStr">
        <is>
          <t>as_reported</t>
        </is>
      </c>
      <c r="M420" s="2" t="inlineStr">
        <is>
          <t>direct_exclusive</t>
        </is>
      </c>
      <c r="N420" s="2" t="n">
        <v>90</v>
      </c>
      <c r="O420" s="2" t="inlineStr">
        <is>
          <t>normalized_exact_then_regex</t>
        </is>
      </c>
      <c r="P420" s="3" t="inlineStr">
        <is>
          <t>extract</t>
        </is>
      </c>
      <c r="Q420" s="2" t="inlineStr">
        <is>
          <t>currency_amount</t>
        </is>
      </c>
      <c r="R420" s="2" t="inlineStr">
        <is>
          <t>as_disclosed</t>
        </is>
      </c>
      <c r="S420" s="2" t="inlineStr">
        <is>
          <t>allowed_with_provenance</t>
        </is>
      </c>
      <c r="T420" s="2" t="b">
        <v>0</v>
      </c>
      <c r="U420" s="2" t="b">
        <v>0</v>
      </c>
      <c r="V420" s="2" t="inlineStr"/>
      <c r="W420" s="2" t="inlineStr"/>
      <c r="X420" s="2" t="inlineStr">
        <is>
          <t>Decompose only from explicit face or note evidence; never fabricate a split.</t>
        </is>
      </c>
      <c r="Y420" s="2" t="inlineStr">
        <is>
          <t>Aggregate only mutually exclusive facts with identical period, scope, currency and unit.</t>
        </is>
      </c>
      <c r="Z420" s="2" t="inlineStr">
        <is>
          <t>Bind only to Covenants &amp; Supplemental / supplemental_data.</t>
        </is>
      </c>
      <c r="AA420" s="2" t="inlineStr"/>
      <c r="AB420" s="2" t="b">
        <v>1</v>
      </c>
      <c r="AC420" s="2" t="inlineStr"/>
      <c r="AD420" s="2" t="inlineStr">
        <is>
          <t>Exact field from Covenants &amp; Supplemental!A12; value cell B12.</t>
        </is>
      </c>
      <c r="AE420" s="2" t="inlineStr">
        <is>
          <t>Notes may support direct extraction or decomposition with provenance. Formula outputs must be derived only from template dependencies.</t>
        </is>
      </c>
      <c r="AF420" s="2" t="inlineStr"/>
      <c r="AG420" s="2" t="inlineStr">
        <is>
          <t>[]</t>
        </is>
      </c>
      <c r="AH420" s="2" t="inlineStr">
        <is>
          <t>Gross Premium Written - life*Insur. Co. Only</t>
        </is>
      </c>
      <c r="AI420" s="2" t="inlineStr"/>
      <c r="AJ420" s="2" t="inlineStr">
        <is>
          <t>{"template_sheet": "Covenants &amp; Supplemental", "template_row": 12, "template_cell": "B12", "template_value_or_formula": 33, "calculation_type": "reported_input", "dependencies": [], "source_template": "Copy of Output_CSV Template.xlsx"}</t>
        </is>
      </c>
    </row>
    <row r="421">
      <c r="A421" s="2" t="inlineStr">
        <is>
          <t>supplemental_data__gross_premium_written_non_life_insur_co_only</t>
        </is>
      </c>
      <c r="B421" s="2" t="inlineStr">
        <is>
          <t>Gross Premium Written - Non-life*Insur. Co. Only</t>
        </is>
      </c>
      <c r="C421" s="2" t="inlineStr">
        <is>
          <t>supplemental_data</t>
        </is>
      </c>
      <c r="D421" s="2" t="inlineStr">
        <is>
          <t>Extract the reported value for 'Gross Premium Written - Non-life*Insur. Co. Only' from the stated section. Do not calculate or replace it from other rows, because the revised template does not designate this field as formula-driven.</t>
        </is>
      </c>
      <c r="E421" s="2" t="inlineStr">
        <is>
          <t>Gross Premium Written - Non-life*Insur. Co. Only</t>
        </is>
      </c>
      <c r="F421" s="2" t="inlineStr">
        <is>
          <t>Gross Premium Written - Non-life*Insur. Co. Only</t>
        </is>
      </c>
      <c r="G421" s="2" t="inlineStr">
        <is>
          <t>^Gross\s+Premium\s+Written\s+[\-–—]?\s+Non[\-–—]?life\*Insur\.\s+Co\.\s+Only$</t>
        </is>
      </c>
      <c r="H421" s="2" t="inlineStr"/>
      <c r="I421" s="2" t="inlineStr">
        <is>
          <t>Amounts or disclosures explicitly reported for Gross Premium Written - Non-life*Insur. Co. Only in Covenants &amp; Supplemental / supplemental_data.</t>
        </is>
      </c>
      <c r="J421" s="2" t="inlineStr">
        <is>
          <t>Do not substitute another section, period, entity scope, currency or unit; do not double count a parent and its children.</t>
        </is>
      </c>
      <c r="K421" s="2" t="inlineStr"/>
      <c r="L421" s="2" t="inlineStr">
        <is>
          <t>as_reported</t>
        </is>
      </c>
      <c r="M421" s="2" t="inlineStr">
        <is>
          <t>direct_exclusive</t>
        </is>
      </c>
      <c r="N421" s="2" t="n">
        <v>90</v>
      </c>
      <c r="O421" s="2" t="inlineStr">
        <is>
          <t>normalized_exact_then_regex</t>
        </is>
      </c>
      <c r="P421" s="3" t="inlineStr">
        <is>
          <t>extract</t>
        </is>
      </c>
      <c r="Q421" s="2" t="inlineStr">
        <is>
          <t>currency_amount</t>
        </is>
      </c>
      <c r="R421" s="2" t="inlineStr">
        <is>
          <t>as_disclosed</t>
        </is>
      </c>
      <c r="S421" s="2" t="inlineStr">
        <is>
          <t>allowed_with_provenance</t>
        </is>
      </c>
      <c r="T421" s="2" t="b">
        <v>0</v>
      </c>
      <c r="U421" s="2" t="b">
        <v>0</v>
      </c>
      <c r="V421" s="2" t="inlineStr"/>
      <c r="W421" s="2" t="inlineStr"/>
      <c r="X421" s="2" t="inlineStr">
        <is>
          <t>Decompose only from explicit face or note evidence; never fabricate a split.</t>
        </is>
      </c>
      <c r="Y421" s="2" t="inlineStr">
        <is>
          <t>Aggregate only mutually exclusive facts with identical period, scope, currency and unit.</t>
        </is>
      </c>
      <c r="Z421" s="2" t="inlineStr">
        <is>
          <t>Bind only to Covenants &amp; Supplemental / supplemental_data.</t>
        </is>
      </c>
      <c r="AA421" s="2" t="inlineStr"/>
      <c r="AB421" s="2" t="b">
        <v>1</v>
      </c>
      <c r="AC421" s="2" t="inlineStr"/>
      <c r="AD421" s="2" t="inlineStr">
        <is>
          <t>Exact field from Covenants &amp; Supplemental!A13; value cell B13.</t>
        </is>
      </c>
      <c r="AE421" s="2" t="inlineStr">
        <is>
          <t>Notes may support direct extraction or decomposition with provenance. Formula outputs must be derived only from template dependencies.</t>
        </is>
      </c>
      <c r="AF421" s="2" t="inlineStr"/>
      <c r="AG421" s="2" t="inlineStr">
        <is>
          <t>[]</t>
        </is>
      </c>
      <c r="AH421" s="2" t="inlineStr">
        <is>
          <t>Gross Premium Written - Non-life*Insur. Co. Only</t>
        </is>
      </c>
      <c r="AI421" s="2" t="inlineStr"/>
      <c r="AJ421" s="2" t="inlineStr">
        <is>
          <t>{"template_sheet": "Covenants &amp; Supplemental", "template_row": 13, "template_cell": "B13", "template_value_or_formula": 7, "calculation_type": "reported_input", "dependencies": [], "source_template": "Copy of Output_CSV Template.xlsx"}</t>
        </is>
      </c>
    </row>
    <row r="422">
      <c r="A422" s="2" t="inlineStr">
        <is>
          <t>supplemental_data__net_premium_written_insur_co_only</t>
        </is>
      </c>
      <c r="B422" s="2" t="inlineStr">
        <is>
          <t>Net Premium Written*Insur. Co. Only</t>
        </is>
      </c>
      <c r="C422" s="2" t="inlineStr">
        <is>
          <t>supplemental_data</t>
        </is>
      </c>
      <c r="D422" s="2" t="inlineStr">
        <is>
          <t>Extract the reported value for 'Net Premium Written*Insur. Co. Only' from the stated section. Do not calculate or replace it from other rows, because the revised template does not designate this field as formula-driven.</t>
        </is>
      </c>
      <c r="E422" s="2" t="inlineStr">
        <is>
          <t>Net Premium Written*Insur. Co. Only</t>
        </is>
      </c>
      <c r="F422" s="2" t="inlineStr">
        <is>
          <t>Net Premium Written*Insur. Co. Only</t>
        </is>
      </c>
      <c r="G422" s="2" t="inlineStr">
        <is>
          <t>^Net\s+Premium\s+Written\*Insur\.\s+Co\.\s+Only$</t>
        </is>
      </c>
      <c r="H422" s="2" t="inlineStr"/>
      <c r="I422" s="2" t="inlineStr">
        <is>
          <t>Amounts or disclosures explicitly reported for Net Premium Written*Insur. Co. Only in Covenants &amp; Supplemental / supplemental_data.</t>
        </is>
      </c>
      <c r="J422" s="2" t="inlineStr">
        <is>
          <t>Do not substitute another section, period, entity scope, currency or unit; do not double count a parent and its children.</t>
        </is>
      </c>
      <c r="K422" s="2" t="inlineStr"/>
      <c r="L422" s="2" t="inlineStr">
        <is>
          <t>as_reported</t>
        </is>
      </c>
      <c r="M422" s="2" t="inlineStr">
        <is>
          <t>direct_exclusive</t>
        </is>
      </c>
      <c r="N422" s="2" t="n">
        <v>90</v>
      </c>
      <c r="O422" s="2" t="inlineStr">
        <is>
          <t>normalized_exact_then_regex</t>
        </is>
      </c>
      <c r="P422" s="3" t="inlineStr">
        <is>
          <t>extract</t>
        </is>
      </c>
      <c r="Q422" s="2" t="inlineStr">
        <is>
          <t>currency_amount</t>
        </is>
      </c>
      <c r="R422" s="2" t="inlineStr">
        <is>
          <t>as_disclosed</t>
        </is>
      </c>
      <c r="S422" s="2" t="inlineStr">
        <is>
          <t>allowed_with_provenance</t>
        </is>
      </c>
      <c r="T422" s="2" t="b">
        <v>0</v>
      </c>
      <c r="U422" s="2" t="b">
        <v>0</v>
      </c>
      <c r="V422" s="2" t="inlineStr"/>
      <c r="W422" s="2" t="inlineStr"/>
      <c r="X422" s="2" t="inlineStr">
        <is>
          <t>Decompose only from explicit face or note evidence; never fabricate a split.</t>
        </is>
      </c>
      <c r="Y422" s="2" t="inlineStr">
        <is>
          <t>Aggregate only mutually exclusive facts with identical period, scope, currency and unit.</t>
        </is>
      </c>
      <c r="Z422" s="2" t="inlineStr">
        <is>
          <t>Bind only to Covenants &amp; Supplemental / supplemental_data.</t>
        </is>
      </c>
      <c r="AA422" s="2" t="inlineStr"/>
      <c r="AB422" s="2" t="b">
        <v>1</v>
      </c>
      <c r="AC422" s="2" t="inlineStr"/>
      <c r="AD422" s="2" t="inlineStr">
        <is>
          <t>Exact field from Covenants &amp; Supplemental!A14; value cell B14.</t>
        </is>
      </c>
      <c r="AE422" s="2" t="inlineStr">
        <is>
          <t>Notes may support direct extraction or decomposition with provenance. Formula outputs must be derived only from template dependencies.</t>
        </is>
      </c>
      <c r="AF422" s="2" t="inlineStr"/>
      <c r="AG422" s="2" t="inlineStr">
        <is>
          <t>[]</t>
        </is>
      </c>
      <c r="AH422" s="2" t="inlineStr">
        <is>
          <t>Net Premium Written*Insur. Co. Only</t>
        </is>
      </c>
      <c r="AI422" s="2" t="inlineStr"/>
      <c r="AJ422" s="2" t="inlineStr">
        <is>
          <t>{"template_sheet": "Covenants &amp; Supplemental", "template_row": 14, "template_cell": "B14", "template_value_or_formula": 24, "calculation_type": "reported_input", "dependencies": [], "source_template": "Copy of Output_CSV Template.xlsx"}</t>
        </is>
      </c>
    </row>
    <row r="423">
      <c r="A423" s="2" t="inlineStr">
        <is>
          <t>supplemental_data__net_investment_income_insur_co_only</t>
        </is>
      </c>
      <c r="B423" s="2" t="inlineStr">
        <is>
          <t>Net Investment Income*Insur. Co. Only</t>
        </is>
      </c>
      <c r="C423" s="2" t="inlineStr">
        <is>
          <t>supplemental_data</t>
        </is>
      </c>
      <c r="D423" s="2" t="inlineStr">
        <is>
          <t>Extract the reported value for 'Net Investment Income*Insur. Co. Only' from the stated section. Do not calculate or replace it from other rows, because the revised template does not designate this field as formula-driven.</t>
        </is>
      </c>
      <c r="E423" s="2" t="inlineStr">
        <is>
          <t>Net Investment Income*Insur. Co. Only</t>
        </is>
      </c>
      <c r="F423" s="2" t="inlineStr">
        <is>
          <t>Net Investment Income*Insur. Co. Only</t>
        </is>
      </c>
      <c r="G423" s="2" t="inlineStr">
        <is>
          <t>^Net\s+Investment\s+Income\*Insur\.\s+Co\.\s+Only$</t>
        </is>
      </c>
      <c r="H423" s="2" t="inlineStr"/>
      <c r="I423" s="2" t="inlineStr">
        <is>
          <t>Amounts or disclosures explicitly reported for Net Investment Income*Insur. Co. Only in Covenants &amp; Supplemental / supplemental_data.</t>
        </is>
      </c>
      <c r="J423" s="2" t="inlineStr">
        <is>
          <t>Do not substitute another section, period, entity scope, currency or unit; do not double count a parent and its children.</t>
        </is>
      </c>
      <c r="K423" s="2" t="inlineStr"/>
      <c r="L423" s="2" t="inlineStr">
        <is>
          <t>as_reported</t>
        </is>
      </c>
      <c r="M423" s="2" t="inlineStr">
        <is>
          <t>direct_exclusive</t>
        </is>
      </c>
      <c r="N423" s="2" t="n">
        <v>90</v>
      </c>
      <c r="O423" s="2" t="inlineStr">
        <is>
          <t>normalized_exact_then_regex</t>
        </is>
      </c>
      <c r="P423" s="3" t="inlineStr">
        <is>
          <t>extract</t>
        </is>
      </c>
      <c r="Q423" s="2" t="inlineStr">
        <is>
          <t>currency_amount</t>
        </is>
      </c>
      <c r="R423" s="2" t="inlineStr">
        <is>
          <t>as_disclosed</t>
        </is>
      </c>
      <c r="S423" s="2" t="inlineStr">
        <is>
          <t>allowed_with_provenance</t>
        </is>
      </c>
      <c r="T423" s="2" t="b">
        <v>0</v>
      </c>
      <c r="U423" s="2" t="b">
        <v>0</v>
      </c>
      <c r="V423" s="2" t="inlineStr"/>
      <c r="W423" s="2" t="inlineStr"/>
      <c r="X423" s="2" t="inlineStr">
        <is>
          <t>Decompose only from explicit face or note evidence; never fabricate a split.</t>
        </is>
      </c>
      <c r="Y423" s="2" t="inlineStr">
        <is>
          <t>Aggregate only mutually exclusive facts with identical period, scope, currency and unit.</t>
        </is>
      </c>
      <c r="Z423" s="2" t="inlineStr">
        <is>
          <t>Bind only to Covenants &amp; Supplemental / supplemental_data.</t>
        </is>
      </c>
      <c r="AA423" s="2" t="inlineStr"/>
      <c r="AB423" s="2" t="b">
        <v>1</v>
      </c>
      <c r="AC423" s="2" t="inlineStr"/>
      <c r="AD423" s="2" t="inlineStr">
        <is>
          <t>Exact field from Covenants &amp; Supplemental!A15; value cell B15.</t>
        </is>
      </c>
      <c r="AE423" s="2" t="inlineStr">
        <is>
          <t>Notes may support direct extraction or decomposition with provenance. Formula outputs must be derived only from template dependencies.</t>
        </is>
      </c>
      <c r="AF423" s="2" t="inlineStr"/>
      <c r="AG423" s="2" t="inlineStr">
        <is>
          <t>[]</t>
        </is>
      </c>
      <c r="AH423" s="2" t="inlineStr">
        <is>
          <t>Net Investment Income*Insur. Co. Only</t>
        </is>
      </c>
      <c r="AI423" s="2" t="inlineStr"/>
      <c r="AJ423" s="2" t="inlineStr">
        <is>
          <t>{"template_sheet": "Covenants &amp; Supplemental", "template_row": 15, "template_cell": "B15", "template_value_or_formula": 41, "calculation_type": "reported_input", "dependencies": [], "source_template": "Copy of Output_CSV Template.xlsx"}</t>
        </is>
      </c>
    </row>
    <row r="424">
      <c r="A424" s="2" t="inlineStr">
        <is>
          <t>supplemental_data__net_technical_reserve_equity_side_insur_co_only</t>
        </is>
      </c>
      <c r="B424" s="2" t="inlineStr">
        <is>
          <t>Net Technical Reserve(Equity side)*Insur. Co. Only</t>
        </is>
      </c>
      <c r="C424" s="2" t="inlineStr">
        <is>
          <t>supplemental_data</t>
        </is>
      </c>
      <c r="D424" s="2" t="inlineStr">
        <is>
          <t>Extract the reported value for 'Net Technical Reserve(Equity side)*Insur. Co. Only' from the stated section. Do not calculate or replace it from other rows, because the revised template does not designate this field as formula-driven.</t>
        </is>
      </c>
      <c r="E424" s="2" t="inlineStr">
        <is>
          <t>Net Technical Reserve(Equity side)*Insur. Co. Only</t>
        </is>
      </c>
      <c r="F424" s="2" t="inlineStr">
        <is>
          <t>Net Technical Reserve(Equity side)*Insur. Co. Only</t>
        </is>
      </c>
      <c r="G424" s="2" t="inlineStr">
        <is>
          <t>^Net\s+Technical\s+Reserve\(Equity\s+side\)\*Insur\.\s+Co\.\s+Only$</t>
        </is>
      </c>
      <c r="H424" s="2" t="inlineStr"/>
      <c r="I424" s="2" t="inlineStr">
        <is>
          <t>Amounts or disclosures explicitly reported for Net Technical Reserve(Equity side)*Insur. Co. Only in Covenants &amp; Supplemental / supplemental_data.</t>
        </is>
      </c>
      <c r="J424" s="2" t="inlineStr">
        <is>
          <t>Do not substitute another section, period, entity scope, currency or unit; do not double count a parent and its children.</t>
        </is>
      </c>
      <c r="K424" s="2" t="inlineStr"/>
      <c r="L424" s="2" t="inlineStr">
        <is>
          <t>as_reported</t>
        </is>
      </c>
      <c r="M424" s="2" t="inlineStr">
        <is>
          <t>direct_exclusive</t>
        </is>
      </c>
      <c r="N424" s="2" t="n">
        <v>90</v>
      </c>
      <c r="O424" s="2" t="inlineStr">
        <is>
          <t>normalized_exact_then_regex</t>
        </is>
      </c>
      <c r="P424" s="3" t="inlineStr">
        <is>
          <t>extract</t>
        </is>
      </c>
      <c r="Q424" s="2" t="inlineStr">
        <is>
          <t>currency_amount</t>
        </is>
      </c>
      <c r="R424" s="2" t="inlineStr">
        <is>
          <t>as_disclosed</t>
        </is>
      </c>
      <c r="S424" s="2" t="inlineStr">
        <is>
          <t>allowed_with_provenance</t>
        </is>
      </c>
      <c r="T424" s="2" t="b">
        <v>0</v>
      </c>
      <c r="U424" s="2" t="b">
        <v>0</v>
      </c>
      <c r="V424" s="2" t="inlineStr"/>
      <c r="W424" s="2" t="inlineStr"/>
      <c r="X424" s="2" t="inlineStr">
        <is>
          <t>Decompose only from explicit face or note evidence; never fabricate a split.</t>
        </is>
      </c>
      <c r="Y424" s="2" t="inlineStr">
        <is>
          <t>Aggregate only mutually exclusive facts with identical period, scope, currency and unit.</t>
        </is>
      </c>
      <c r="Z424" s="2" t="inlineStr">
        <is>
          <t>Bind only to Covenants &amp; Supplemental / supplemental_data.</t>
        </is>
      </c>
      <c r="AA424" s="2" t="inlineStr"/>
      <c r="AB424" s="2" t="b">
        <v>1</v>
      </c>
      <c r="AC424" s="2" t="inlineStr"/>
      <c r="AD424" s="2" t="inlineStr">
        <is>
          <t>Exact field from Covenants &amp; Supplemental!A16; value cell B16.</t>
        </is>
      </c>
      <c r="AE424" s="2" t="inlineStr">
        <is>
          <t>Notes may support direct extraction or decomposition with provenance. Formula outputs must be derived only from template dependencies.</t>
        </is>
      </c>
      <c r="AF424" s="2" t="inlineStr"/>
      <c r="AG424" s="2" t="inlineStr">
        <is>
          <t>[]</t>
        </is>
      </c>
      <c r="AH424" s="2" t="inlineStr">
        <is>
          <t>Net Technical Reserve(Equity side)*Insur. Co. Only</t>
        </is>
      </c>
      <c r="AI424" s="2" t="inlineStr"/>
      <c r="AJ424" s="2" t="inlineStr">
        <is>
          <t>{"template_sheet": "Covenants &amp; Supplemental", "template_row": 16, "template_cell": "B16", "template_value_or_formula": 15, "calculation_type": "reported_input", "dependencies": [], "source_template": "Copy of Output_CSV Template.xlsx"}</t>
        </is>
      </c>
    </row>
    <row r="425">
      <c r="A425" s="2" t="inlineStr">
        <is>
          <t>supplemental_data__net_technical_reserve_liab_side_insur_co_only</t>
        </is>
      </c>
      <c r="B425" s="2" t="inlineStr">
        <is>
          <t>Net Technical Reserve(Liab. side)*Insur. Co. Only</t>
        </is>
      </c>
      <c r="C425" s="2" t="inlineStr">
        <is>
          <t>supplemental_data</t>
        </is>
      </c>
      <c r="D425" s="2" t="inlineStr">
        <is>
          <t>Extract the reported value for 'Net Technical Reserve(Liab. side)*Insur. Co. Only' from the stated section. Do not calculate or replace it from other rows, because the revised template does not designate this field as formula-driven.</t>
        </is>
      </c>
      <c r="E425" s="2" t="inlineStr">
        <is>
          <t>Net Technical Reserve(Liab. side)*Insur. Co. Only</t>
        </is>
      </c>
      <c r="F425" s="2" t="inlineStr">
        <is>
          <t>Net Technical Reserve(Liab. side)*Insur. Co. Only</t>
        </is>
      </c>
      <c r="G425" s="2" t="inlineStr">
        <is>
          <t>^Net\s+Technical\s+Reserve\(Liab\.\s+side\)\*Insur\.\s+Co\.\s+Only$</t>
        </is>
      </c>
      <c r="H425" s="2" t="inlineStr"/>
      <c r="I425" s="2" t="inlineStr">
        <is>
          <t>Amounts or disclosures explicitly reported for Net Technical Reserve(Liab. side)*Insur. Co. Only in Covenants &amp; Supplemental / supplemental_data.</t>
        </is>
      </c>
      <c r="J425" s="2" t="inlineStr">
        <is>
          <t>Do not substitute another section, period, entity scope, currency or unit; do not double count a parent and its children.</t>
        </is>
      </c>
      <c r="K425" s="2" t="inlineStr"/>
      <c r="L425" s="2" t="inlineStr">
        <is>
          <t>as_reported</t>
        </is>
      </c>
      <c r="M425" s="2" t="inlineStr">
        <is>
          <t>direct_exclusive</t>
        </is>
      </c>
      <c r="N425" s="2" t="n">
        <v>90</v>
      </c>
      <c r="O425" s="2" t="inlineStr">
        <is>
          <t>normalized_exact_then_regex</t>
        </is>
      </c>
      <c r="P425" s="3" t="inlineStr">
        <is>
          <t>extract</t>
        </is>
      </c>
      <c r="Q425" s="2" t="inlineStr">
        <is>
          <t>currency_amount</t>
        </is>
      </c>
      <c r="R425" s="2" t="inlineStr">
        <is>
          <t>as_disclosed</t>
        </is>
      </c>
      <c r="S425" s="2" t="inlineStr">
        <is>
          <t>allowed_with_provenance</t>
        </is>
      </c>
      <c r="T425" s="2" t="b">
        <v>0</v>
      </c>
      <c r="U425" s="2" t="b">
        <v>0</v>
      </c>
      <c r="V425" s="2" t="inlineStr"/>
      <c r="W425" s="2" t="inlineStr"/>
      <c r="X425" s="2" t="inlineStr">
        <is>
          <t>Decompose only from explicit face or note evidence; never fabricate a split.</t>
        </is>
      </c>
      <c r="Y425" s="2" t="inlineStr">
        <is>
          <t>Aggregate only mutually exclusive facts with identical period, scope, currency and unit.</t>
        </is>
      </c>
      <c r="Z425" s="2" t="inlineStr">
        <is>
          <t>Bind only to Covenants &amp; Supplemental / supplemental_data.</t>
        </is>
      </c>
      <c r="AA425" s="2" t="inlineStr"/>
      <c r="AB425" s="2" t="b">
        <v>1</v>
      </c>
      <c r="AC425" s="2" t="inlineStr"/>
      <c r="AD425" s="2" t="inlineStr">
        <is>
          <t>Exact field from Covenants &amp; Supplemental!A17; value cell B17.</t>
        </is>
      </c>
      <c r="AE425" s="2" t="inlineStr">
        <is>
          <t>Notes may support direct extraction or decomposition with provenance. Formula outputs must be derived only from template dependencies.</t>
        </is>
      </c>
      <c r="AF425" s="2" t="inlineStr"/>
      <c r="AG425" s="2" t="inlineStr">
        <is>
          <t>[]</t>
        </is>
      </c>
      <c r="AH425" s="2" t="inlineStr">
        <is>
          <t>Net Technical Reserve(Liab. side)*Insur. Co. Only</t>
        </is>
      </c>
      <c r="AI425" s="2" t="inlineStr"/>
      <c r="AJ425" s="2" t="inlineStr">
        <is>
          <t>{"template_sheet": "Covenants &amp; Supplemental", "template_row": 17, "template_cell": "B17", "template_value_or_formula": 32, "calculation_type": "reported_input", "dependencies": [], "source_template": "Copy of Output_CSV Template.xlsx"}</t>
        </is>
      </c>
    </row>
    <row r="426">
      <c r="A426" s="2" t="inlineStr">
        <is>
          <t>off_balance_sheet__off_balance_sheet_assets</t>
        </is>
      </c>
      <c r="B426" s="2" t="inlineStr">
        <is>
          <t>Off Balance Sheet Assets</t>
        </is>
      </c>
      <c r="C426" s="2" t="inlineStr">
        <is>
          <t>off_balance_sheet</t>
        </is>
      </c>
      <c r="D426" s="2" t="inlineStr">
        <is>
          <t>Extract the reported value for 'Off Balance Sheet Assets' from the stated section. Do not calculate or replace it from other rows, because the revised template does not designate this field as formula-driven.</t>
        </is>
      </c>
      <c r="E426" s="2" t="inlineStr">
        <is>
          <t>Off Balance Sheet Assets</t>
        </is>
      </c>
      <c r="F426" s="2" t="inlineStr">
        <is>
          <t>Off Balance Sheet Assets</t>
        </is>
      </c>
      <c r="G426" s="2" t="inlineStr">
        <is>
          <t>^Off\s+Balance\s+Sheet\s+Assets$</t>
        </is>
      </c>
      <c r="H426" s="2" t="inlineStr"/>
      <c r="I426" s="2" t="inlineStr">
        <is>
          <t>Amounts or disclosures explicitly reported for Off Balance Sheet Assets in Covenants &amp; Supplemental / off_balance_sheet.</t>
        </is>
      </c>
      <c r="J426" s="2" t="inlineStr">
        <is>
          <t>Do not substitute another section, period, entity scope, currency or unit; do not double count a parent and its children.</t>
        </is>
      </c>
      <c r="K426" s="2" t="inlineStr"/>
      <c r="L426" s="2" t="inlineStr">
        <is>
          <t>as_reported</t>
        </is>
      </c>
      <c r="M426" s="2" t="inlineStr">
        <is>
          <t>direct_exclusive</t>
        </is>
      </c>
      <c r="N426" s="2" t="n">
        <v>90</v>
      </c>
      <c r="O426" s="2" t="inlineStr">
        <is>
          <t>normalized_exact_then_regex</t>
        </is>
      </c>
      <c r="P426" s="3" t="inlineStr">
        <is>
          <t>extract</t>
        </is>
      </c>
      <c r="Q426" s="2" t="inlineStr">
        <is>
          <t>currency_amount</t>
        </is>
      </c>
      <c r="R426" s="2" t="inlineStr">
        <is>
          <t>as_disclosed</t>
        </is>
      </c>
      <c r="S426" s="2" t="inlineStr">
        <is>
          <t>allowed_with_provenance</t>
        </is>
      </c>
      <c r="T426" s="2" t="b">
        <v>0</v>
      </c>
      <c r="U426" s="2" t="b">
        <v>0</v>
      </c>
      <c r="V426" s="2" t="inlineStr"/>
      <c r="W426" s="2" t="inlineStr"/>
      <c r="X426" s="2" t="inlineStr">
        <is>
          <t>Decompose only from explicit face or note evidence; never fabricate a split.</t>
        </is>
      </c>
      <c r="Y426" s="2" t="inlineStr">
        <is>
          <t>Aggregate only mutually exclusive facts with identical period, scope, currency and unit.</t>
        </is>
      </c>
      <c r="Z426" s="2" t="inlineStr">
        <is>
          <t>Bind only to Covenants &amp; Supplemental / off_balance_sheet.</t>
        </is>
      </c>
      <c r="AA426" s="2" t="inlineStr"/>
      <c r="AB426" s="2" t="b">
        <v>1</v>
      </c>
      <c r="AC426" s="2" t="inlineStr"/>
      <c r="AD426" s="2" t="inlineStr">
        <is>
          <t>Exact field from Covenants &amp; Supplemental!A19; value cell B19.</t>
        </is>
      </c>
      <c r="AE426" s="2" t="inlineStr">
        <is>
          <t>Notes may support direct extraction or decomposition with provenance. Formula outputs must be derived only from template dependencies.</t>
        </is>
      </c>
      <c r="AF426" s="2" t="inlineStr"/>
      <c r="AG426" s="2" t="inlineStr">
        <is>
          <t>[]</t>
        </is>
      </c>
      <c r="AH426" s="2" t="inlineStr">
        <is>
          <t>Off Balance Sheet Assets</t>
        </is>
      </c>
      <c r="AI426" s="2" t="inlineStr"/>
      <c r="AJ426" s="2" t="inlineStr">
        <is>
          <t>{"template_sheet": "Covenants &amp; Supplemental", "template_row": 19, "template_cell": "B19", "template_value_or_formula": 23, "calculation_type": "reported_input", "dependencies": [], "source_template": "Copy of Output_CSV Template.xlsx"}</t>
        </is>
      </c>
    </row>
    <row r="427">
      <c r="A427" s="2" t="inlineStr">
        <is>
          <t>off_balance_sheet__operating_lease_commitments</t>
        </is>
      </c>
      <c r="B427" s="2" t="inlineStr">
        <is>
          <t>Operating Lease Commitments</t>
        </is>
      </c>
      <c r="C427" s="2" t="inlineStr">
        <is>
          <t>off_balance_sheet</t>
        </is>
      </c>
      <c r="D427" s="2" t="inlineStr">
        <is>
          <t>Extract the reported value for 'Operating Lease Commitments' from the stated section. Do not calculate or replace it from other rows, because the revised template does not designate this field as formula-driven.</t>
        </is>
      </c>
      <c r="E427" s="2" t="inlineStr">
        <is>
          <t>Operating Lease Commitments</t>
        </is>
      </c>
      <c r="F427" s="2" t="inlineStr">
        <is>
          <t>Operating Lease Commitments</t>
        </is>
      </c>
      <c r="G427" s="2" t="inlineStr">
        <is>
          <t>^Operating\s+Lease\s+Commitments$</t>
        </is>
      </c>
      <c r="H427" s="2" t="inlineStr"/>
      <c r="I427" s="2" t="inlineStr">
        <is>
          <t>Amounts or disclosures explicitly reported for Operating Lease Commitments in Covenants &amp; Supplemental / off_balance_sheet.</t>
        </is>
      </c>
      <c r="J427" s="2" t="inlineStr">
        <is>
          <t>Do not substitute another section, period, entity scope, currency or unit; do not double count a parent and its children.</t>
        </is>
      </c>
      <c r="K427" s="2" t="inlineStr"/>
      <c r="L427" s="2" t="inlineStr">
        <is>
          <t>as_reported</t>
        </is>
      </c>
      <c r="M427" s="2" t="inlineStr">
        <is>
          <t>direct_exclusive</t>
        </is>
      </c>
      <c r="N427" s="2" t="n">
        <v>90</v>
      </c>
      <c r="O427" s="2" t="inlineStr">
        <is>
          <t>normalized_exact_then_regex</t>
        </is>
      </c>
      <c r="P427" s="3" t="inlineStr">
        <is>
          <t>extract</t>
        </is>
      </c>
      <c r="Q427" s="2" t="inlineStr">
        <is>
          <t>currency_amount</t>
        </is>
      </c>
      <c r="R427" s="2" t="inlineStr">
        <is>
          <t>as_disclosed</t>
        </is>
      </c>
      <c r="S427" s="2" t="inlineStr">
        <is>
          <t>allowed_with_provenance</t>
        </is>
      </c>
      <c r="T427" s="2" t="b">
        <v>0</v>
      </c>
      <c r="U427" s="2" t="b">
        <v>0</v>
      </c>
      <c r="V427" s="2" t="inlineStr"/>
      <c r="W427" s="2" t="inlineStr"/>
      <c r="X427" s="2" t="inlineStr">
        <is>
          <t>Decompose only from explicit face or note evidence; never fabricate a split.</t>
        </is>
      </c>
      <c r="Y427" s="2" t="inlineStr">
        <is>
          <t>Aggregate only mutually exclusive facts with identical period, scope, currency and unit.</t>
        </is>
      </c>
      <c r="Z427" s="2" t="inlineStr">
        <is>
          <t>Bind only to Covenants &amp; Supplemental / off_balance_sheet.</t>
        </is>
      </c>
      <c r="AA427" s="2" t="inlineStr"/>
      <c r="AB427" s="2" t="b">
        <v>1</v>
      </c>
      <c r="AC427" s="2" t="inlineStr"/>
      <c r="AD427" s="2" t="inlineStr">
        <is>
          <t>Exact field from Covenants &amp; Supplemental!A20; value cell B20.</t>
        </is>
      </c>
      <c r="AE427" s="2" t="inlineStr">
        <is>
          <t>Notes may support direct extraction or decomposition with provenance. Formula outputs must be derived only from template dependencies.</t>
        </is>
      </c>
      <c r="AF427" s="2" t="inlineStr"/>
      <c r="AG427" s="2" t="inlineStr">
        <is>
          <t>[]</t>
        </is>
      </c>
      <c r="AH427" s="2" t="inlineStr">
        <is>
          <t>Operating Lease Commitments</t>
        </is>
      </c>
      <c r="AI427" s="2" t="inlineStr"/>
      <c r="AJ427" s="2" t="inlineStr">
        <is>
          <t>{"template_sheet": "Covenants &amp; Supplemental", "template_row": 20, "template_cell": "B20", "template_value_or_formula": 40, "calculation_type": "reported_input", "dependencies": [], "source_template": "Copy of Output_CSV Template.xlsx"}</t>
        </is>
      </c>
    </row>
    <row r="428">
      <c r="A428" s="2" t="inlineStr">
        <is>
          <t>off_balance_sheet__off_balance_sheet_liabilities</t>
        </is>
      </c>
      <c r="B428" s="2" t="inlineStr">
        <is>
          <t>Off Balance Sheet Liabilities</t>
        </is>
      </c>
      <c r="C428" s="2" t="inlineStr">
        <is>
          <t>off_balance_sheet</t>
        </is>
      </c>
      <c r="D428" s="2" t="inlineStr">
        <is>
          <t>Extract the reported value for 'Off Balance Sheet Liabilities' from the stated section. Do not calculate or replace it from other rows, because the revised template does not designate this field as formula-driven.</t>
        </is>
      </c>
      <c r="E428" s="2" t="inlineStr">
        <is>
          <t>Off Balance Sheet Liabilities</t>
        </is>
      </c>
      <c r="F428" s="2" t="inlineStr">
        <is>
          <t>Off Balance Sheet Liabilities</t>
        </is>
      </c>
      <c r="G428" s="2" t="inlineStr">
        <is>
          <t>^Off\s+Balance\s+Sheet\s+Liabilities$</t>
        </is>
      </c>
      <c r="H428" s="2" t="inlineStr"/>
      <c r="I428" s="2" t="inlineStr">
        <is>
          <t>Amounts or disclosures explicitly reported for Off Balance Sheet Liabilities in Covenants &amp; Supplemental / off_balance_sheet.</t>
        </is>
      </c>
      <c r="J428" s="2" t="inlineStr">
        <is>
          <t>Do not substitute another section, period, entity scope, currency or unit; do not double count a parent and its children.</t>
        </is>
      </c>
      <c r="K428" s="2" t="inlineStr"/>
      <c r="L428" s="2" t="inlineStr">
        <is>
          <t>as_reported</t>
        </is>
      </c>
      <c r="M428" s="2" t="inlineStr">
        <is>
          <t>direct_exclusive</t>
        </is>
      </c>
      <c r="N428" s="2" t="n">
        <v>90</v>
      </c>
      <c r="O428" s="2" t="inlineStr">
        <is>
          <t>normalized_exact_then_regex</t>
        </is>
      </c>
      <c r="P428" s="3" t="inlineStr">
        <is>
          <t>extract</t>
        </is>
      </c>
      <c r="Q428" s="2" t="inlineStr">
        <is>
          <t>currency_amount</t>
        </is>
      </c>
      <c r="R428" s="2" t="inlineStr">
        <is>
          <t>as_disclosed</t>
        </is>
      </c>
      <c r="S428" s="2" t="inlineStr">
        <is>
          <t>allowed_with_provenance</t>
        </is>
      </c>
      <c r="T428" s="2" t="b">
        <v>0</v>
      </c>
      <c r="U428" s="2" t="b">
        <v>0</v>
      </c>
      <c r="V428" s="2" t="inlineStr"/>
      <c r="W428" s="2" t="inlineStr"/>
      <c r="X428" s="2" t="inlineStr">
        <is>
          <t>Decompose only from explicit face or note evidence; never fabricate a split.</t>
        </is>
      </c>
      <c r="Y428" s="2" t="inlineStr">
        <is>
          <t>Aggregate only mutually exclusive facts with identical period, scope, currency and unit.</t>
        </is>
      </c>
      <c r="Z428" s="2" t="inlineStr">
        <is>
          <t>Bind only to Covenants &amp; Supplemental / off_balance_sheet.</t>
        </is>
      </c>
      <c r="AA428" s="2" t="inlineStr"/>
      <c r="AB428" s="2" t="b">
        <v>1</v>
      </c>
      <c r="AC428" s="2" t="inlineStr"/>
      <c r="AD428" s="2" t="inlineStr">
        <is>
          <t>Exact field from Covenants &amp; Supplemental!A21; value cell B21.</t>
        </is>
      </c>
      <c r="AE428" s="2" t="inlineStr">
        <is>
          <t>Notes may support direct extraction or decomposition with provenance. Formula outputs must be derived only from template dependencies.</t>
        </is>
      </c>
      <c r="AF428" s="2" t="inlineStr"/>
      <c r="AG428" s="2" t="inlineStr">
        <is>
          <t>[]</t>
        </is>
      </c>
      <c r="AH428" s="2" t="inlineStr">
        <is>
          <t>Off Balance Sheet Liabilities</t>
        </is>
      </c>
      <c r="AI428" s="2" t="inlineStr"/>
      <c r="AJ428" s="2" t="inlineStr">
        <is>
          <t>{"template_sheet": "Covenants &amp; Supplemental", "template_row": 21, "template_cell": "B21", "template_value_or_formula": 14, "calculation_type": "reported_input", "dependencies": [], "source_template": "Copy of Output_CSV Template.xlsx"}</t>
        </is>
      </c>
    </row>
    <row r="429">
      <c r="A429" s="2" t="inlineStr">
        <is>
          <t>credit_compliance__min_working_capital</t>
        </is>
      </c>
      <c r="B429" s="2" t="inlineStr">
        <is>
          <t>Min Working Capital</t>
        </is>
      </c>
      <c r="C429" s="2" t="inlineStr">
        <is>
          <t>credit_compliance</t>
        </is>
      </c>
      <c r="D429" s="2" t="inlineStr">
        <is>
          <t>Extract the reported value for 'Min Working Capital' from the stated section. Do not calculate or replace it from other rows, because the revised template does not designate this field as formula-driven.</t>
        </is>
      </c>
      <c r="E429" s="2" t="inlineStr">
        <is>
          <t>Min Working Capital</t>
        </is>
      </c>
      <c r="F429" s="2" t="inlineStr">
        <is>
          <t>Min Working Capital</t>
        </is>
      </c>
      <c r="G429" s="2" t="inlineStr">
        <is>
          <t>^Min\s+Working\s+Capital$</t>
        </is>
      </c>
      <c r="H429" s="2" t="inlineStr"/>
      <c r="I429" s="2" t="inlineStr">
        <is>
          <t>Amounts or disclosures explicitly reported for Min Working Capital in Covenants &amp; Supplemental / credit_compliance.</t>
        </is>
      </c>
      <c r="J429" s="2" t="inlineStr">
        <is>
          <t>Do not substitute another section, period, entity scope, currency or unit; do not double count a parent and its children.</t>
        </is>
      </c>
      <c r="K429" s="2" t="inlineStr"/>
      <c r="L429" s="2" t="inlineStr">
        <is>
          <t>as_reported</t>
        </is>
      </c>
      <c r="M429" s="2" t="inlineStr">
        <is>
          <t>direct_exclusive</t>
        </is>
      </c>
      <c r="N429" s="2" t="n">
        <v>90</v>
      </c>
      <c r="O429" s="2" t="inlineStr">
        <is>
          <t>normalized_exact_then_regex</t>
        </is>
      </c>
      <c r="P429" s="3" t="inlineStr">
        <is>
          <t>extract</t>
        </is>
      </c>
      <c r="Q429" s="2" t="inlineStr">
        <is>
          <t>currency_amount</t>
        </is>
      </c>
      <c r="R429" s="2" t="inlineStr">
        <is>
          <t>as_disclosed</t>
        </is>
      </c>
      <c r="S429" s="2" t="inlineStr">
        <is>
          <t>allowed_with_provenance</t>
        </is>
      </c>
      <c r="T429" s="2" t="b">
        <v>0</v>
      </c>
      <c r="U429" s="2" t="b">
        <v>0</v>
      </c>
      <c r="V429" s="2" t="inlineStr"/>
      <c r="W429" s="2" t="inlineStr"/>
      <c r="X429" s="2" t="inlineStr">
        <is>
          <t>Decompose only from explicit face or note evidence; never fabricate a split.</t>
        </is>
      </c>
      <c r="Y429" s="2" t="inlineStr">
        <is>
          <t>Aggregate only mutually exclusive facts with identical period, scope, currency and unit.</t>
        </is>
      </c>
      <c r="Z429" s="2" t="inlineStr">
        <is>
          <t>Bind only to Covenants &amp; Supplemental / credit_compliance.</t>
        </is>
      </c>
      <c r="AA429" s="2" t="inlineStr"/>
      <c r="AB429" s="2" t="b">
        <v>1</v>
      </c>
      <c r="AC429" s="2" t="inlineStr"/>
      <c r="AD429" s="2" t="inlineStr">
        <is>
          <t>Exact field from Covenants &amp; Supplemental!A23; value cell B23.</t>
        </is>
      </c>
      <c r="AE429" s="2" t="inlineStr">
        <is>
          <t>Notes may support direct extraction or decomposition with provenance. Formula outputs must be derived only from template dependencies.</t>
        </is>
      </c>
      <c r="AF429" s="2" t="inlineStr"/>
      <c r="AG429" s="2" t="inlineStr">
        <is>
          <t>[]</t>
        </is>
      </c>
      <c r="AH429" s="2" t="inlineStr">
        <is>
          <t>Min Working Capital</t>
        </is>
      </c>
      <c r="AI429" s="2" t="inlineStr"/>
      <c r="AJ429" s="2" t="inlineStr">
        <is>
          <t>{"template_sheet": "Covenants &amp; Supplemental", "template_row": 23, "template_cell": "B23", "template_value_or_formula": 5, "calculation_type": "reported_input", "dependencies": [], "source_template": "Copy of Output_CSV Template.xlsx"}</t>
        </is>
      </c>
    </row>
    <row r="430">
      <c r="A430" s="2" t="inlineStr">
        <is>
          <t>credit_compliance__min_current_ratio</t>
        </is>
      </c>
      <c r="B430" s="2" t="inlineStr">
        <is>
          <t>Min Current Ratio</t>
        </is>
      </c>
      <c r="C430" s="2" t="inlineStr">
        <is>
          <t>credit_compliance</t>
        </is>
      </c>
      <c r="D430" s="2" t="inlineStr">
        <is>
          <t>Extract the reported value for 'Min Current Ratio' from the stated section. Do not calculate or replace it from other rows, because the revised template does not designate this field as formula-driven.</t>
        </is>
      </c>
      <c r="E430" s="2" t="inlineStr">
        <is>
          <t>Min Current Ratio</t>
        </is>
      </c>
      <c r="F430" s="2" t="inlineStr">
        <is>
          <t>Min Current Ratio</t>
        </is>
      </c>
      <c r="G430" s="2" t="inlineStr">
        <is>
          <t>^Min\s+Current\s+Ratio$</t>
        </is>
      </c>
      <c r="H430" s="2" t="inlineStr"/>
      <c r="I430" s="2" t="inlineStr">
        <is>
          <t>Amounts or disclosures explicitly reported for Min Current Ratio in Covenants &amp; Supplemental / credit_compliance.</t>
        </is>
      </c>
      <c r="J430" s="2" t="inlineStr">
        <is>
          <t>Do not substitute another section, period, entity scope, currency or unit; do not double count a parent and its children.</t>
        </is>
      </c>
      <c r="K430" s="2" t="inlineStr"/>
      <c r="L430" s="2" t="inlineStr">
        <is>
          <t>as_reported</t>
        </is>
      </c>
      <c r="M430" s="2" t="inlineStr">
        <is>
          <t>direct_exclusive</t>
        </is>
      </c>
      <c r="N430" s="2" t="n">
        <v>90</v>
      </c>
      <c r="O430" s="2" t="inlineStr">
        <is>
          <t>normalized_exact_then_regex</t>
        </is>
      </c>
      <c r="P430" s="3" t="inlineStr">
        <is>
          <t>extract</t>
        </is>
      </c>
      <c r="Q430" s="2" t="inlineStr">
        <is>
          <t>currency_amount</t>
        </is>
      </c>
      <c r="R430" s="2" t="inlineStr">
        <is>
          <t>as_disclosed</t>
        </is>
      </c>
      <c r="S430" s="2" t="inlineStr">
        <is>
          <t>allowed_with_provenance</t>
        </is>
      </c>
      <c r="T430" s="2" t="b">
        <v>0</v>
      </c>
      <c r="U430" s="2" t="b">
        <v>0</v>
      </c>
      <c r="V430" s="2" t="inlineStr"/>
      <c r="W430" s="2" t="inlineStr"/>
      <c r="X430" s="2" t="inlineStr">
        <is>
          <t>Decompose only from explicit face or note evidence; never fabricate a split.</t>
        </is>
      </c>
      <c r="Y430" s="2" t="inlineStr">
        <is>
          <t>Aggregate only mutually exclusive facts with identical period, scope, currency and unit.</t>
        </is>
      </c>
      <c r="Z430" s="2" t="inlineStr">
        <is>
          <t>Bind only to Covenants &amp; Supplemental / credit_compliance.</t>
        </is>
      </c>
      <c r="AA430" s="2" t="inlineStr"/>
      <c r="AB430" s="2" t="b">
        <v>1</v>
      </c>
      <c r="AC430" s="2" t="inlineStr"/>
      <c r="AD430" s="2" t="inlineStr">
        <is>
          <t>Exact field from Covenants &amp; Supplemental!A24; value cell B24.</t>
        </is>
      </c>
      <c r="AE430" s="2" t="inlineStr">
        <is>
          <t>Notes may support direct extraction or decomposition with provenance. Formula outputs must be derived only from template dependencies.</t>
        </is>
      </c>
      <c r="AF430" s="2" t="inlineStr"/>
      <c r="AG430" s="2" t="inlineStr">
        <is>
          <t>[]</t>
        </is>
      </c>
      <c r="AH430" s="2" t="inlineStr">
        <is>
          <t>Min Current Ratio</t>
        </is>
      </c>
      <c r="AI430" s="2" t="inlineStr"/>
      <c r="AJ430" s="2" t="inlineStr">
        <is>
          <t>{"template_sheet": "Covenants &amp; Supplemental", "template_row": 24, "template_cell": "B24", "template_value_or_formula": 22, "calculation_type": "reported_input", "dependencies": [], "source_template": "Copy of Output_CSV Template.xlsx"}</t>
        </is>
      </c>
    </row>
    <row r="431">
      <c r="A431" s="2" t="inlineStr">
        <is>
          <t>credit_compliance__min_quick_ratio</t>
        </is>
      </c>
      <c r="B431" s="2" t="inlineStr">
        <is>
          <t>Min Quick Ratio</t>
        </is>
      </c>
      <c r="C431" s="2" t="inlineStr">
        <is>
          <t>credit_compliance</t>
        </is>
      </c>
      <c r="D431" s="2" t="inlineStr">
        <is>
          <t>Extract the reported value for 'Min Quick Ratio' from the stated section. Do not calculate or replace it from other rows, because the revised template does not designate this field as formula-driven.</t>
        </is>
      </c>
      <c r="E431" s="2" t="inlineStr">
        <is>
          <t>Min Quick Ratio</t>
        </is>
      </c>
      <c r="F431" s="2" t="inlineStr">
        <is>
          <t>Min Quick Ratio</t>
        </is>
      </c>
      <c r="G431" s="2" t="inlineStr">
        <is>
          <t>^Min\s+Quick\s+Ratio$</t>
        </is>
      </c>
      <c r="H431" s="2" t="inlineStr"/>
      <c r="I431" s="2" t="inlineStr">
        <is>
          <t>Amounts or disclosures explicitly reported for Min Quick Ratio in Covenants &amp; Supplemental / credit_compliance.</t>
        </is>
      </c>
      <c r="J431" s="2" t="inlineStr">
        <is>
          <t>Do not substitute another section, period, entity scope, currency or unit; do not double count a parent and its children.</t>
        </is>
      </c>
      <c r="K431" s="2" t="inlineStr"/>
      <c r="L431" s="2" t="inlineStr">
        <is>
          <t>as_reported</t>
        </is>
      </c>
      <c r="M431" s="2" t="inlineStr">
        <is>
          <t>direct_exclusive</t>
        </is>
      </c>
      <c r="N431" s="2" t="n">
        <v>90</v>
      </c>
      <c r="O431" s="2" t="inlineStr">
        <is>
          <t>normalized_exact_then_regex</t>
        </is>
      </c>
      <c r="P431" s="3" t="inlineStr">
        <is>
          <t>extract</t>
        </is>
      </c>
      <c r="Q431" s="2" t="inlineStr">
        <is>
          <t>currency_amount</t>
        </is>
      </c>
      <c r="R431" s="2" t="inlineStr">
        <is>
          <t>as_disclosed</t>
        </is>
      </c>
      <c r="S431" s="2" t="inlineStr">
        <is>
          <t>allowed_with_provenance</t>
        </is>
      </c>
      <c r="T431" s="2" t="b">
        <v>0</v>
      </c>
      <c r="U431" s="2" t="b">
        <v>0</v>
      </c>
      <c r="V431" s="2" t="inlineStr"/>
      <c r="W431" s="2" t="inlineStr"/>
      <c r="X431" s="2" t="inlineStr">
        <is>
          <t>Decompose only from explicit face or note evidence; never fabricate a split.</t>
        </is>
      </c>
      <c r="Y431" s="2" t="inlineStr">
        <is>
          <t>Aggregate only mutually exclusive facts with identical period, scope, currency and unit.</t>
        </is>
      </c>
      <c r="Z431" s="2" t="inlineStr">
        <is>
          <t>Bind only to Covenants &amp; Supplemental / credit_compliance.</t>
        </is>
      </c>
      <c r="AA431" s="2" t="inlineStr"/>
      <c r="AB431" s="2" t="b">
        <v>1</v>
      </c>
      <c r="AC431" s="2" t="inlineStr"/>
      <c r="AD431" s="2" t="inlineStr">
        <is>
          <t>Exact field from Covenants &amp; Supplemental!A25; value cell B25.</t>
        </is>
      </c>
      <c r="AE431" s="2" t="inlineStr">
        <is>
          <t>Notes may support direct extraction or decomposition with provenance. Formula outputs must be derived only from template dependencies.</t>
        </is>
      </c>
      <c r="AF431" s="2" t="inlineStr"/>
      <c r="AG431" s="2" t="inlineStr">
        <is>
          <t>[]</t>
        </is>
      </c>
      <c r="AH431" s="2" t="inlineStr">
        <is>
          <t>Min Quick Ratio</t>
        </is>
      </c>
      <c r="AI431" s="2" t="inlineStr"/>
      <c r="AJ431" s="2" t="inlineStr">
        <is>
          <t>{"template_sheet": "Covenants &amp; Supplemental", "template_row": 25, "template_cell": "B25", "template_value_or_formula": 39, "calculation_type": "reported_input", "dependencies": [], "source_template": "Copy of Output_CSV Template.xlsx"}</t>
        </is>
      </c>
    </row>
    <row r="432">
      <c r="A432" s="2" t="inlineStr">
        <is>
          <t>credit_compliance__max_debt_to_tangible_worth</t>
        </is>
      </c>
      <c r="B432" s="2" t="inlineStr">
        <is>
          <t>Max Debt to Tangible Worth</t>
        </is>
      </c>
      <c r="C432" s="2" t="inlineStr">
        <is>
          <t>credit_compliance</t>
        </is>
      </c>
      <c r="D432" s="2" t="inlineStr">
        <is>
          <t>Extract the reported value for 'Max Debt to Tangible Worth' from the stated section. Do not calculate or replace it from other rows, because the revised template does not designate this field as formula-driven.</t>
        </is>
      </c>
      <c r="E432" s="2" t="inlineStr">
        <is>
          <t>Max Debt to Tangible Worth</t>
        </is>
      </c>
      <c r="F432" s="2" t="inlineStr">
        <is>
          <t>Max Debt to Tangible Worth</t>
        </is>
      </c>
      <c r="G432" s="2" t="inlineStr">
        <is>
          <t>^Max\s+Debt\s+to\s+Tangible\s+Worth$</t>
        </is>
      </c>
      <c r="H432" s="2" t="inlineStr"/>
      <c r="I432" s="2" t="inlineStr">
        <is>
          <t>Amounts or disclosures explicitly reported for Max Debt to Tangible Worth in Covenants &amp; Supplemental / credit_compliance.</t>
        </is>
      </c>
      <c r="J432" s="2" t="inlineStr">
        <is>
          <t>Do not substitute another section, period, entity scope, currency or unit; do not double count a parent and its children.</t>
        </is>
      </c>
      <c r="K432" s="2" t="inlineStr"/>
      <c r="L432" s="2" t="inlineStr">
        <is>
          <t>as_reported</t>
        </is>
      </c>
      <c r="M432" s="2" t="inlineStr">
        <is>
          <t>direct_exclusive</t>
        </is>
      </c>
      <c r="N432" s="2" t="n">
        <v>90</v>
      </c>
      <c r="O432" s="2" t="inlineStr">
        <is>
          <t>normalized_exact_then_regex</t>
        </is>
      </c>
      <c r="P432" s="3" t="inlineStr">
        <is>
          <t>extract</t>
        </is>
      </c>
      <c r="Q432" s="2" t="inlineStr">
        <is>
          <t>currency_amount</t>
        </is>
      </c>
      <c r="R432" s="2" t="inlineStr">
        <is>
          <t>as_disclosed</t>
        </is>
      </c>
      <c r="S432" s="2" t="inlineStr">
        <is>
          <t>allowed_with_provenance</t>
        </is>
      </c>
      <c r="T432" s="2" t="b">
        <v>0</v>
      </c>
      <c r="U432" s="2" t="b">
        <v>0</v>
      </c>
      <c r="V432" s="2" t="inlineStr"/>
      <c r="W432" s="2" t="inlineStr"/>
      <c r="X432" s="2" t="inlineStr">
        <is>
          <t>Decompose only from explicit face or note evidence; never fabricate a split.</t>
        </is>
      </c>
      <c r="Y432" s="2" t="inlineStr">
        <is>
          <t>Aggregate only mutually exclusive facts with identical period, scope, currency and unit.</t>
        </is>
      </c>
      <c r="Z432" s="2" t="inlineStr">
        <is>
          <t>Bind only to Covenants &amp; Supplemental / credit_compliance.</t>
        </is>
      </c>
      <c r="AA432" s="2" t="inlineStr"/>
      <c r="AB432" s="2" t="b">
        <v>1</v>
      </c>
      <c r="AC432" s="2" t="inlineStr"/>
      <c r="AD432" s="2" t="inlineStr">
        <is>
          <t>Exact field from Covenants &amp; Supplemental!A26; value cell B26.</t>
        </is>
      </c>
      <c r="AE432" s="2" t="inlineStr">
        <is>
          <t>Notes may support direct extraction or decomposition with provenance. Formula outputs must be derived only from template dependencies.</t>
        </is>
      </c>
      <c r="AF432" s="2" t="inlineStr"/>
      <c r="AG432" s="2" t="inlineStr">
        <is>
          <t>[]</t>
        </is>
      </c>
      <c r="AH432" s="2" t="inlineStr">
        <is>
          <t>Max Debt to Tangible Worth</t>
        </is>
      </c>
      <c r="AI432" s="2" t="inlineStr"/>
      <c r="AJ432" s="2" t="inlineStr">
        <is>
          <t>{"template_sheet": "Covenants &amp; Supplemental", "template_row": 26, "template_cell": "B26", "template_value_or_formula": 13, "calculation_type": "reported_input", "dependencies": [], "source_template": "Copy of Output_CSV Template.xlsx"}</t>
        </is>
      </c>
    </row>
    <row r="433">
      <c r="A433" s="2" t="inlineStr">
        <is>
          <t>credit_compliance__min_interest_coverage</t>
        </is>
      </c>
      <c r="B433" s="2" t="inlineStr">
        <is>
          <t>Min Interest Coverage</t>
        </is>
      </c>
      <c r="C433" s="2" t="inlineStr">
        <is>
          <t>credit_compliance</t>
        </is>
      </c>
      <c r="D433" s="2" t="inlineStr">
        <is>
          <t>Extract the reported value for 'Min Interest Coverage' from the stated section. Do not calculate or replace it from other rows, because the revised template does not designate this field as formula-driven.</t>
        </is>
      </c>
      <c r="E433" s="2" t="inlineStr">
        <is>
          <t>Min Interest Coverage</t>
        </is>
      </c>
      <c r="F433" s="2" t="inlineStr">
        <is>
          <t>Min Interest Coverage</t>
        </is>
      </c>
      <c r="G433" s="2" t="inlineStr">
        <is>
          <t>^Min\s+Interest\s+Coverage$</t>
        </is>
      </c>
      <c r="H433" s="2" t="inlineStr"/>
      <c r="I433" s="2" t="inlineStr">
        <is>
          <t>Amounts or disclosures explicitly reported for Min Interest Coverage in Covenants &amp; Supplemental / credit_compliance.</t>
        </is>
      </c>
      <c r="J433" s="2" t="inlineStr">
        <is>
          <t>Do not substitute another section, period, entity scope, currency or unit; do not double count a parent and its children.</t>
        </is>
      </c>
      <c r="K433" s="2" t="inlineStr"/>
      <c r="L433" s="2" t="inlineStr">
        <is>
          <t>as_reported</t>
        </is>
      </c>
      <c r="M433" s="2" t="inlineStr">
        <is>
          <t>direct_exclusive</t>
        </is>
      </c>
      <c r="N433" s="2" t="n">
        <v>90</v>
      </c>
      <c r="O433" s="2" t="inlineStr">
        <is>
          <t>normalized_exact_then_regex</t>
        </is>
      </c>
      <c r="P433" s="3" t="inlineStr">
        <is>
          <t>extract</t>
        </is>
      </c>
      <c r="Q433" s="2" t="inlineStr">
        <is>
          <t>currency_amount</t>
        </is>
      </c>
      <c r="R433" s="2" t="inlineStr">
        <is>
          <t>as_disclosed</t>
        </is>
      </c>
      <c r="S433" s="2" t="inlineStr">
        <is>
          <t>allowed_with_provenance</t>
        </is>
      </c>
      <c r="T433" s="2" t="b">
        <v>0</v>
      </c>
      <c r="U433" s="2" t="b">
        <v>0</v>
      </c>
      <c r="V433" s="2" t="inlineStr"/>
      <c r="W433" s="2" t="inlineStr"/>
      <c r="X433" s="2" t="inlineStr">
        <is>
          <t>Decompose only from explicit face or note evidence; never fabricate a split.</t>
        </is>
      </c>
      <c r="Y433" s="2" t="inlineStr">
        <is>
          <t>Aggregate only mutually exclusive facts with identical period, scope, currency and unit.</t>
        </is>
      </c>
      <c r="Z433" s="2" t="inlineStr">
        <is>
          <t>Bind only to Covenants &amp; Supplemental / credit_compliance.</t>
        </is>
      </c>
      <c r="AA433" s="2" t="inlineStr"/>
      <c r="AB433" s="2" t="b">
        <v>1</v>
      </c>
      <c r="AC433" s="2" t="inlineStr"/>
      <c r="AD433" s="2" t="inlineStr">
        <is>
          <t>Exact field from Covenants &amp; Supplemental!A27; value cell B27.</t>
        </is>
      </c>
      <c r="AE433" s="2" t="inlineStr">
        <is>
          <t>Notes may support direct extraction or decomposition with provenance. Formula outputs must be derived only from template dependencies.</t>
        </is>
      </c>
      <c r="AF433" s="2" t="inlineStr"/>
      <c r="AG433" s="2" t="inlineStr">
        <is>
          <t>[]</t>
        </is>
      </c>
      <c r="AH433" s="2" t="inlineStr">
        <is>
          <t>Min Interest Coverage</t>
        </is>
      </c>
      <c r="AI433" s="2" t="inlineStr"/>
      <c r="AJ433" s="2" t="inlineStr">
        <is>
          <t>{"template_sheet": "Covenants &amp; Supplemental", "template_row": 27, "template_cell": "B27", "template_value_or_formula": 30, "calculation_type": "reported_input", "dependencies": [], "source_template": "Copy of Output_CSV Template.xlsx"}</t>
        </is>
      </c>
    </row>
    <row r="434">
      <c r="A434" s="2" t="inlineStr">
        <is>
          <t>credit_compliance__min_earnings_coverage</t>
        </is>
      </c>
      <c r="B434" s="2" t="inlineStr">
        <is>
          <t>Min Earnings Coverage</t>
        </is>
      </c>
      <c r="C434" s="2" t="inlineStr">
        <is>
          <t>credit_compliance</t>
        </is>
      </c>
      <c r="D434" s="2" t="inlineStr">
        <is>
          <t>Extract the reported value for 'Min Earnings Coverage' from the stated section. Do not calculate or replace it from other rows, because the revised template does not designate this field as formula-driven.</t>
        </is>
      </c>
      <c r="E434" s="2" t="inlineStr">
        <is>
          <t>Min Earnings Coverage</t>
        </is>
      </c>
      <c r="F434" s="2" t="inlineStr">
        <is>
          <t>Min Earnings Coverage</t>
        </is>
      </c>
      <c r="G434" s="2" t="inlineStr">
        <is>
          <t>^Min\s+Earnings\s+Coverage$</t>
        </is>
      </c>
      <c r="H434" s="2" t="inlineStr"/>
      <c r="I434" s="2" t="inlineStr">
        <is>
          <t>Amounts or disclosures explicitly reported for Min Earnings Coverage in Covenants &amp; Supplemental / credit_compliance.</t>
        </is>
      </c>
      <c r="J434" s="2" t="inlineStr">
        <is>
          <t>Do not substitute another section, period, entity scope, currency or unit; do not double count a parent and its children.</t>
        </is>
      </c>
      <c r="K434" s="2" t="inlineStr"/>
      <c r="L434" s="2" t="inlineStr">
        <is>
          <t>as_reported</t>
        </is>
      </c>
      <c r="M434" s="2" t="inlineStr">
        <is>
          <t>direct_exclusive</t>
        </is>
      </c>
      <c r="N434" s="2" t="n">
        <v>90</v>
      </c>
      <c r="O434" s="2" t="inlineStr">
        <is>
          <t>normalized_exact_then_regex</t>
        </is>
      </c>
      <c r="P434" s="3" t="inlineStr">
        <is>
          <t>extract</t>
        </is>
      </c>
      <c r="Q434" s="2" t="inlineStr">
        <is>
          <t>currency_amount</t>
        </is>
      </c>
      <c r="R434" s="2" t="inlineStr">
        <is>
          <t>as_disclosed</t>
        </is>
      </c>
      <c r="S434" s="2" t="inlineStr">
        <is>
          <t>allowed_with_provenance</t>
        </is>
      </c>
      <c r="T434" s="2" t="b">
        <v>0</v>
      </c>
      <c r="U434" s="2" t="b">
        <v>0</v>
      </c>
      <c r="V434" s="2" t="inlineStr"/>
      <c r="W434" s="2" t="inlineStr"/>
      <c r="X434" s="2" t="inlineStr">
        <is>
          <t>Decompose only from explicit face or note evidence; never fabricate a split.</t>
        </is>
      </c>
      <c r="Y434" s="2" t="inlineStr">
        <is>
          <t>Aggregate only mutually exclusive facts with identical period, scope, currency and unit.</t>
        </is>
      </c>
      <c r="Z434" s="2" t="inlineStr">
        <is>
          <t>Bind only to Covenants &amp; Supplemental / credit_compliance.</t>
        </is>
      </c>
      <c r="AA434" s="2" t="inlineStr"/>
      <c r="AB434" s="2" t="b">
        <v>1</v>
      </c>
      <c r="AC434" s="2" t="inlineStr"/>
      <c r="AD434" s="2" t="inlineStr">
        <is>
          <t>Exact field from Covenants &amp; Supplemental!A28; value cell B28.</t>
        </is>
      </c>
      <c r="AE434" s="2" t="inlineStr">
        <is>
          <t>Notes may support direct extraction or decomposition with provenance. Formula outputs must be derived only from template dependencies.</t>
        </is>
      </c>
      <c r="AF434" s="2" t="inlineStr"/>
      <c r="AG434" s="2" t="inlineStr">
        <is>
          <t>[]</t>
        </is>
      </c>
      <c r="AH434" s="2" t="inlineStr">
        <is>
          <t>Min Earnings Coverage</t>
        </is>
      </c>
      <c r="AI434" s="2" t="inlineStr"/>
      <c r="AJ434" s="2" t="inlineStr">
        <is>
          <t>{"template_sheet": "Covenants &amp; Supplemental", "template_row": 28, "template_cell": "B28", "template_value_or_formula": 4, "calculation_type": "reported_input", "dependencies": [], "source_template": "Copy of Output_CSV Template.xlsx"}</t>
        </is>
      </c>
    </row>
    <row r="435">
      <c r="A435" s="2" t="inlineStr">
        <is>
          <t>credit_compliance__min_cash_flow_coverage</t>
        </is>
      </c>
      <c r="B435" s="2" t="inlineStr">
        <is>
          <t>Min Cash Flow Coverage</t>
        </is>
      </c>
      <c r="C435" s="2" t="inlineStr">
        <is>
          <t>credit_compliance</t>
        </is>
      </c>
      <c r="D435" s="2" t="inlineStr">
        <is>
          <t>Extract the reported value for 'Min Cash Flow Coverage' from the stated section. Do not calculate or replace it from other rows, because the revised template does not designate this field as formula-driven.</t>
        </is>
      </c>
      <c r="E435" s="2" t="inlineStr">
        <is>
          <t>Min Cash Flow Coverage</t>
        </is>
      </c>
      <c r="F435" s="2" t="inlineStr">
        <is>
          <t>Min Cash Flow Coverage</t>
        </is>
      </c>
      <c r="G435" s="2" t="inlineStr">
        <is>
          <t>^Min\s+Cash\s+Flow\s+Coverage$</t>
        </is>
      </c>
      <c r="H435" s="2" t="inlineStr"/>
      <c r="I435" s="2" t="inlineStr">
        <is>
          <t>Amounts or disclosures explicitly reported for Min Cash Flow Coverage in Covenants &amp; Supplemental / credit_compliance.</t>
        </is>
      </c>
      <c r="J435" s="2" t="inlineStr">
        <is>
          <t>Do not substitute another section, period, entity scope, currency or unit; do not double count a parent and its children.</t>
        </is>
      </c>
      <c r="K435" s="2" t="inlineStr"/>
      <c r="L435" s="2" t="inlineStr">
        <is>
          <t>as_reported</t>
        </is>
      </c>
      <c r="M435" s="2" t="inlineStr">
        <is>
          <t>direct_exclusive</t>
        </is>
      </c>
      <c r="N435" s="2" t="n">
        <v>90</v>
      </c>
      <c r="O435" s="2" t="inlineStr">
        <is>
          <t>normalized_exact_then_regex</t>
        </is>
      </c>
      <c r="P435" s="3" t="inlineStr">
        <is>
          <t>extract</t>
        </is>
      </c>
      <c r="Q435" s="2" t="inlineStr">
        <is>
          <t>currency_amount</t>
        </is>
      </c>
      <c r="R435" s="2" t="inlineStr">
        <is>
          <t>as_disclosed</t>
        </is>
      </c>
      <c r="S435" s="2" t="inlineStr">
        <is>
          <t>allowed_with_provenance</t>
        </is>
      </c>
      <c r="T435" s="2" t="b">
        <v>0</v>
      </c>
      <c r="U435" s="2" t="b">
        <v>0</v>
      </c>
      <c r="V435" s="2" t="inlineStr"/>
      <c r="W435" s="2" t="inlineStr"/>
      <c r="X435" s="2" t="inlineStr">
        <is>
          <t>Decompose only from explicit face or note evidence; never fabricate a split.</t>
        </is>
      </c>
      <c r="Y435" s="2" t="inlineStr">
        <is>
          <t>Aggregate only mutually exclusive facts with identical period, scope, currency and unit.</t>
        </is>
      </c>
      <c r="Z435" s="2" t="inlineStr">
        <is>
          <t>Bind only to Covenants &amp; Supplemental / credit_compliance.</t>
        </is>
      </c>
      <c r="AA435" s="2" t="inlineStr"/>
      <c r="AB435" s="2" t="b">
        <v>1</v>
      </c>
      <c r="AC435" s="2" t="inlineStr"/>
      <c r="AD435" s="2" t="inlineStr">
        <is>
          <t>Exact field from Covenants &amp; Supplemental!A29; value cell B29.</t>
        </is>
      </c>
      <c r="AE435" s="2" t="inlineStr">
        <is>
          <t>Notes may support direct extraction or decomposition with provenance. Formula outputs must be derived only from template dependencies.</t>
        </is>
      </c>
      <c r="AF435" s="2" t="inlineStr"/>
      <c r="AG435" s="2" t="inlineStr">
        <is>
          <t>[]</t>
        </is>
      </c>
      <c r="AH435" s="2" t="inlineStr">
        <is>
          <t>Min Cash Flow Coverage</t>
        </is>
      </c>
      <c r="AI435" s="2" t="inlineStr"/>
      <c r="AJ435" s="2" t="inlineStr">
        <is>
          <t>{"template_sheet": "Covenants &amp; Supplemental", "template_row": 29, "template_cell": "B29", "template_value_or_formula": 21, "calculation_type": "reported_input", "dependencies": [], "source_template": "Copy of Output_CSV Template.xlsx"}</t>
        </is>
      </c>
    </row>
    <row r="436">
      <c r="A436" s="2" t="inlineStr">
        <is>
          <t>credit_compliance__max_capital_expenditures</t>
        </is>
      </c>
      <c r="B436" s="2" t="inlineStr">
        <is>
          <t>Max Capital Expenditures</t>
        </is>
      </c>
      <c r="C436" s="2" t="inlineStr">
        <is>
          <t>credit_compliance</t>
        </is>
      </c>
      <c r="D436" s="2" t="inlineStr">
        <is>
          <t>Extract the reported value for 'Max Capital Expenditures' from the stated section. Do not calculate or replace it from other rows, because the revised template does not designate this field as formula-driven.</t>
        </is>
      </c>
      <c r="E436" s="2" t="inlineStr">
        <is>
          <t>Max Capital Expenditures</t>
        </is>
      </c>
      <c r="F436" s="2" t="inlineStr">
        <is>
          <t>Max Capital Expenditures</t>
        </is>
      </c>
      <c r="G436" s="2" t="inlineStr">
        <is>
          <t>^Max\s+Capital\s+Expenditures$</t>
        </is>
      </c>
      <c r="H436" s="2" t="inlineStr"/>
      <c r="I436" s="2" t="inlineStr">
        <is>
          <t>Amounts or disclosures explicitly reported for Max Capital Expenditures in Covenants &amp; Supplemental / credit_compliance.</t>
        </is>
      </c>
      <c r="J436" s="2" t="inlineStr">
        <is>
          <t>Do not substitute another section, period, entity scope, currency or unit; do not double count a parent and its children.</t>
        </is>
      </c>
      <c r="K436" s="2" t="inlineStr"/>
      <c r="L436" s="2" t="inlineStr">
        <is>
          <t>as_reported</t>
        </is>
      </c>
      <c r="M436" s="2" t="inlineStr">
        <is>
          <t>direct_exclusive</t>
        </is>
      </c>
      <c r="N436" s="2" t="n">
        <v>90</v>
      </c>
      <c r="O436" s="2" t="inlineStr">
        <is>
          <t>normalized_exact_then_regex</t>
        </is>
      </c>
      <c r="P436" s="3" t="inlineStr">
        <is>
          <t>extract</t>
        </is>
      </c>
      <c r="Q436" s="2" t="inlineStr">
        <is>
          <t>currency_amount</t>
        </is>
      </c>
      <c r="R436" s="2" t="inlineStr">
        <is>
          <t>as_disclosed</t>
        </is>
      </c>
      <c r="S436" s="2" t="inlineStr">
        <is>
          <t>allowed_with_provenance</t>
        </is>
      </c>
      <c r="T436" s="2" t="b">
        <v>0</v>
      </c>
      <c r="U436" s="2" t="b">
        <v>0</v>
      </c>
      <c r="V436" s="2" t="inlineStr"/>
      <c r="W436" s="2" t="inlineStr"/>
      <c r="X436" s="2" t="inlineStr">
        <is>
          <t>Decompose only from explicit face or note evidence; never fabricate a split.</t>
        </is>
      </c>
      <c r="Y436" s="2" t="inlineStr">
        <is>
          <t>Aggregate only mutually exclusive facts with identical period, scope, currency and unit.</t>
        </is>
      </c>
      <c r="Z436" s="2" t="inlineStr">
        <is>
          <t>Bind only to Covenants &amp; Supplemental / credit_compliance.</t>
        </is>
      </c>
      <c r="AA436" s="2" t="inlineStr"/>
      <c r="AB436" s="2" t="b">
        <v>1</v>
      </c>
      <c r="AC436" s="2" t="inlineStr"/>
      <c r="AD436" s="2" t="inlineStr">
        <is>
          <t>Exact field from Covenants &amp; Supplemental!A30; value cell B30.</t>
        </is>
      </c>
      <c r="AE436" s="2" t="inlineStr">
        <is>
          <t>Notes may support direct extraction or decomposition with provenance. Formula outputs must be derived only from template dependencies.</t>
        </is>
      </c>
      <c r="AF436" s="2" t="inlineStr"/>
      <c r="AG436" s="2" t="inlineStr">
        <is>
          <t>[]</t>
        </is>
      </c>
      <c r="AH436" s="2" t="inlineStr">
        <is>
          <t>Max Capital Expenditures</t>
        </is>
      </c>
      <c r="AI436" s="2" t="inlineStr"/>
      <c r="AJ436" s="2" t="inlineStr">
        <is>
          <t>{"template_sheet": "Covenants &amp; Supplemental", "template_row": 30, "template_cell": "B30", "template_value_or_formula": 38, "calculation_type": "reported_input", "dependencies": [], "source_template": "Copy of Output_CSV Template.xlsx"}</t>
        </is>
      </c>
    </row>
    <row r="437">
      <c r="A437" s="2" t="inlineStr">
        <is>
          <t>credit_compliance__max_off_balance_sheet_leverage</t>
        </is>
      </c>
      <c r="B437" s="2" t="inlineStr">
        <is>
          <t>Max Off Balance Sheet Leverage</t>
        </is>
      </c>
      <c r="C437" s="2" t="inlineStr">
        <is>
          <t>credit_compliance</t>
        </is>
      </c>
      <c r="D437" s="2" t="inlineStr">
        <is>
          <t>Extract the reported value for 'Max Off Balance Sheet Leverage' from the stated section. Do not calculate or replace it from other rows, because the revised template does not designate this field as formula-driven.</t>
        </is>
      </c>
      <c r="E437" s="2" t="inlineStr">
        <is>
          <t>Max Off Balance Sheet Leverage</t>
        </is>
      </c>
      <c r="F437" s="2" t="inlineStr">
        <is>
          <t>Max Off Balance Sheet Leverage</t>
        </is>
      </c>
      <c r="G437" s="2" t="inlineStr">
        <is>
          <t>^Max\s+Off\s+Balance\s+Sheet\s+Leverage$</t>
        </is>
      </c>
      <c r="H437" s="2" t="inlineStr"/>
      <c r="I437" s="2" t="inlineStr">
        <is>
          <t>Amounts or disclosures explicitly reported for Max Off Balance Sheet Leverage in Covenants &amp; Supplemental / credit_compliance.</t>
        </is>
      </c>
      <c r="J437" s="2" t="inlineStr">
        <is>
          <t>Do not substitute another section, period, entity scope, currency or unit; do not double count a parent and its children.</t>
        </is>
      </c>
      <c r="K437" s="2" t="inlineStr"/>
      <c r="L437" s="2" t="inlineStr">
        <is>
          <t>as_reported</t>
        </is>
      </c>
      <c r="M437" s="2" t="inlineStr">
        <is>
          <t>direct_exclusive</t>
        </is>
      </c>
      <c r="N437" s="2" t="n">
        <v>90</v>
      </c>
      <c r="O437" s="2" t="inlineStr">
        <is>
          <t>normalized_exact_then_regex</t>
        </is>
      </c>
      <c r="P437" s="3" t="inlineStr">
        <is>
          <t>extract</t>
        </is>
      </c>
      <c r="Q437" s="2" t="inlineStr">
        <is>
          <t>currency_amount</t>
        </is>
      </c>
      <c r="R437" s="2" t="inlineStr">
        <is>
          <t>as_disclosed</t>
        </is>
      </c>
      <c r="S437" s="2" t="inlineStr">
        <is>
          <t>allowed_with_provenance</t>
        </is>
      </c>
      <c r="T437" s="2" t="b">
        <v>0</v>
      </c>
      <c r="U437" s="2" t="b">
        <v>0</v>
      </c>
      <c r="V437" s="2" t="inlineStr"/>
      <c r="W437" s="2" t="inlineStr"/>
      <c r="X437" s="2" t="inlineStr">
        <is>
          <t>Decompose only from explicit face or note evidence; never fabricate a split.</t>
        </is>
      </c>
      <c r="Y437" s="2" t="inlineStr">
        <is>
          <t>Aggregate only mutually exclusive facts with identical period, scope, currency and unit.</t>
        </is>
      </c>
      <c r="Z437" s="2" t="inlineStr">
        <is>
          <t>Bind only to Covenants &amp; Supplemental / credit_compliance.</t>
        </is>
      </c>
      <c r="AA437" s="2" t="inlineStr"/>
      <c r="AB437" s="2" t="b">
        <v>1</v>
      </c>
      <c r="AC437" s="2" t="inlineStr"/>
      <c r="AD437" s="2" t="inlineStr">
        <is>
          <t>Exact field from Covenants &amp; Supplemental!A31; value cell B31.</t>
        </is>
      </c>
      <c r="AE437" s="2" t="inlineStr">
        <is>
          <t>Notes may support direct extraction or decomposition with provenance. Formula outputs must be derived only from template dependencies.</t>
        </is>
      </c>
      <c r="AF437" s="2" t="inlineStr"/>
      <c r="AG437" s="2" t="inlineStr">
        <is>
          <t>[]</t>
        </is>
      </c>
      <c r="AH437" s="2" t="inlineStr">
        <is>
          <t>Max Off Balance Sheet Leverage</t>
        </is>
      </c>
      <c r="AI437" s="2" t="inlineStr"/>
      <c r="AJ437" s="2" t="inlineStr">
        <is>
          <t>{"template_sheet": "Covenants &amp; Supplemental", "template_row": 31, "template_cell": "B31", "template_value_or_formula": 12, "calculation_type": "reported_input", "dependencies": [], "source_template": "Copy of Output_CSV Template.xlsx"}</t>
        </is>
      </c>
    </row>
    <row r="438">
      <c r="A438" s="2" t="inlineStr">
        <is>
          <t>credit_compliance__min_net_profit_margin</t>
        </is>
      </c>
      <c r="B438" s="2" t="inlineStr">
        <is>
          <t>Min Net Profit Margin</t>
        </is>
      </c>
      <c r="C438" s="2" t="inlineStr">
        <is>
          <t>credit_compliance</t>
        </is>
      </c>
      <c r="D438" s="2" t="inlineStr">
        <is>
          <t>Extract the reported value for 'Min Net Profit Margin' from the stated section. Do not calculate or replace it from other rows, because the revised template does not designate this field as formula-driven.</t>
        </is>
      </c>
      <c r="E438" s="2" t="inlineStr">
        <is>
          <t>Min Net Profit Margin</t>
        </is>
      </c>
      <c r="F438" s="2" t="inlineStr">
        <is>
          <t>Min Net Profit Margin</t>
        </is>
      </c>
      <c r="G438" s="2" t="inlineStr">
        <is>
          <t>^Min\s+Net\s+Profit\s+Margin$</t>
        </is>
      </c>
      <c r="H438" s="2" t="inlineStr"/>
      <c r="I438" s="2" t="inlineStr">
        <is>
          <t>Amounts or disclosures explicitly reported for Min Net Profit Margin in Covenants &amp; Supplemental / credit_compliance.</t>
        </is>
      </c>
      <c r="J438" s="2" t="inlineStr">
        <is>
          <t>Do not substitute another section, period, entity scope, currency or unit; do not double count a parent and its children.</t>
        </is>
      </c>
      <c r="K438" s="2" t="inlineStr"/>
      <c r="L438" s="2" t="inlineStr">
        <is>
          <t>as_reported</t>
        </is>
      </c>
      <c r="M438" s="2" t="inlineStr">
        <is>
          <t>direct_exclusive</t>
        </is>
      </c>
      <c r="N438" s="2" t="n">
        <v>90</v>
      </c>
      <c r="O438" s="2" t="inlineStr">
        <is>
          <t>normalized_exact_then_regex</t>
        </is>
      </c>
      <c r="P438" s="3" t="inlineStr">
        <is>
          <t>extract</t>
        </is>
      </c>
      <c r="Q438" s="2" t="inlineStr">
        <is>
          <t>currency_amount</t>
        </is>
      </c>
      <c r="R438" s="2" t="inlineStr">
        <is>
          <t>as_disclosed</t>
        </is>
      </c>
      <c r="S438" s="2" t="inlineStr">
        <is>
          <t>allowed_with_provenance</t>
        </is>
      </c>
      <c r="T438" s="2" t="b">
        <v>0</v>
      </c>
      <c r="U438" s="2" t="b">
        <v>0</v>
      </c>
      <c r="V438" s="2" t="inlineStr"/>
      <c r="W438" s="2" t="inlineStr"/>
      <c r="X438" s="2" t="inlineStr">
        <is>
          <t>Decompose only from explicit face or note evidence; never fabricate a split.</t>
        </is>
      </c>
      <c r="Y438" s="2" t="inlineStr">
        <is>
          <t>Aggregate only mutually exclusive facts with identical period, scope, currency and unit.</t>
        </is>
      </c>
      <c r="Z438" s="2" t="inlineStr">
        <is>
          <t>Bind only to Covenants &amp; Supplemental / credit_compliance.</t>
        </is>
      </c>
      <c r="AA438" s="2" t="inlineStr"/>
      <c r="AB438" s="2" t="b">
        <v>1</v>
      </c>
      <c r="AC438" s="2" t="inlineStr"/>
      <c r="AD438" s="2" t="inlineStr">
        <is>
          <t>Exact field from Covenants &amp; Supplemental!A32; value cell B32.</t>
        </is>
      </c>
      <c r="AE438" s="2" t="inlineStr">
        <is>
          <t>Notes may support direct extraction or decomposition with provenance. Formula outputs must be derived only from template dependencies.</t>
        </is>
      </c>
      <c r="AF438" s="2" t="inlineStr"/>
      <c r="AG438" s="2" t="inlineStr">
        <is>
          <t>[]</t>
        </is>
      </c>
      <c r="AH438" s="2" t="inlineStr">
        <is>
          <t>Min Net Profit Margin</t>
        </is>
      </c>
      <c r="AI438" s="2" t="inlineStr"/>
      <c r="AJ438" s="2" t="inlineStr">
        <is>
          <t>{"template_sheet": "Covenants &amp; Supplemental", "template_row": 32, "template_cell": "B32", "template_value_or_formula": 29, "calculation_type": "reported_input", "dependencies": [], "source_template": "Copy of Output_CSV Template.xlsx"}</t>
        </is>
      </c>
    </row>
    <row r="439">
      <c r="A439" s="2" t="inlineStr">
        <is>
          <t>credit_compliance__min_return_on_assets</t>
        </is>
      </c>
      <c r="B439" s="2" t="inlineStr">
        <is>
          <t>Min Return on Assets</t>
        </is>
      </c>
      <c r="C439" s="2" t="inlineStr">
        <is>
          <t>credit_compliance</t>
        </is>
      </c>
      <c r="D439" s="2" t="inlineStr">
        <is>
          <t>Extract the reported value for 'Min Return on Assets' from the stated section. Do not calculate or replace it from other rows, because the revised template does not designate this field as formula-driven.</t>
        </is>
      </c>
      <c r="E439" s="2" t="inlineStr">
        <is>
          <t>Min Return on Assets</t>
        </is>
      </c>
      <c r="F439" s="2" t="inlineStr">
        <is>
          <t>Min Return on Assets</t>
        </is>
      </c>
      <c r="G439" s="2" t="inlineStr">
        <is>
          <t>^Min\s+Return\s+on\s+Assets$</t>
        </is>
      </c>
      <c r="H439" s="2" t="inlineStr"/>
      <c r="I439" s="2" t="inlineStr">
        <is>
          <t>Amounts or disclosures explicitly reported for Min Return on Assets in Covenants &amp; Supplemental / credit_compliance.</t>
        </is>
      </c>
      <c r="J439" s="2" t="inlineStr">
        <is>
          <t>Do not substitute another section, period, entity scope, currency or unit; do not double count a parent and its children.</t>
        </is>
      </c>
      <c r="K439" s="2" t="inlineStr"/>
      <c r="L439" s="2" t="inlineStr">
        <is>
          <t>as_reported</t>
        </is>
      </c>
      <c r="M439" s="2" t="inlineStr">
        <is>
          <t>direct_exclusive</t>
        </is>
      </c>
      <c r="N439" s="2" t="n">
        <v>90</v>
      </c>
      <c r="O439" s="2" t="inlineStr">
        <is>
          <t>normalized_exact_then_regex</t>
        </is>
      </c>
      <c r="P439" s="3" t="inlineStr">
        <is>
          <t>extract</t>
        </is>
      </c>
      <c r="Q439" s="2" t="inlineStr">
        <is>
          <t>currency_amount</t>
        </is>
      </c>
      <c r="R439" s="2" t="inlineStr">
        <is>
          <t>as_disclosed</t>
        </is>
      </c>
      <c r="S439" s="2" t="inlineStr">
        <is>
          <t>allowed_with_provenance</t>
        </is>
      </c>
      <c r="T439" s="2" t="b">
        <v>0</v>
      </c>
      <c r="U439" s="2" t="b">
        <v>0</v>
      </c>
      <c r="V439" s="2" t="inlineStr"/>
      <c r="W439" s="2" t="inlineStr"/>
      <c r="X439" s="2" t="inlineStr">
        <is>
          <t>Decompose only from explicit face or note evidence; never fabricate a split.</t>
        </is>
      </c>
      <c r="Y439" s="2" t="inlineStr">
        <is>
          <t>Aggregate only mutually exclusive facts with identical period, scope, currency and unit.</t>
        </is>
      </c>
      <c r="Z439" s="2" t="inlineStr">
        <is>
          <t>Bind only to Covenants &amp; Supplemental / credit_compliance.</t>
        </is>
      </c>
      <c r="AA439" s="2" t="inlineStr"/>
      <c r="AB439" s="2" t="b">
        <v>1</v>
      </c>
      <c r="AC439" s="2" t="inlineStr"/>
      <c r="AD439" s="2" t="inlineStr">
        <is>
          <t>Exact field from Covenants &amp; Supplemental!A33; value cell B33.</t>
        </is>
      </c>
      <c r="AE439" s="2" t="inlineStr">
        <is>
          <t>Notes may support direct extraction or decomposition with provenance. Formula outputs must be derived only from template dependencies.</t>
        </is>
      </c>
      <c r="AF439" s="2" t="inlineStr"/>
      <c r="AG439" s="2" t="inlineStr">
        <is>
          <t>[]</t>
        </is>
      </c>
      <c r="AH439" s="2" t="inlineStr">
        <is>
          <t>Min Return on Assets</t>
        </is>
      </c>
      <c r="AI439" s="2" t="inlineStr"/>
      <c r="AJ439" s="2" t="inlineStr">
        <is>
          <t>{"template_sheet": "Covenants &amp; Supplemental", "template_row": 33, "template_cell": "B33", "template_value_or_formula": 3, "calculation_type": "reported_input", "dependencies": [], "source_template": "Copy of Output_CSV Template.xlsx"}</t>
        </is>
      </c>
    </row>
    <row r="440">
      <c r="A440" s="2" t="inlineStr">
        <is>
          <t>credit_compliance__min_return_on_equity</t>
        </is>
      </c>
      <c r="B440" s="2" t="inlineStr">
        <is>
          <t>Min Return on Equity</t>
        </is>
      </c>
      <c r="C440" s="2" t="inlineStr">
        <is>
          <t>credit_compliance</t>
        </is>
      </c>
      <c r="D440" s="2" t="inlineStr">
        <is>
          <t>Extract the reported value for 'Min Return on Equity' from the stated section. Do not calculate or replace it from other rows, because the revised template does not designate this field as formula-driven.</t>
        </is>
      </c>
      <c r="E440" s="2" t="inlineStr">
        <is>
          <t>Min Return on Equity</t>
        </is>
      </c>
      <c r="F440" s="2" t="inlineStr">
        <is>
          <t>Min Return on Equity</t>
        </is>
      </c>
      <c r="G440" s="2" t="inlineStr">
        <is>
          <t>^Min\s+Return\s+on\s+Equity$</t>
        </is>
      </c>
      <c r="H440" s="2" t="inlineStr"/>
      <c r="I440" s="2" t="inlineStr">
        <is>
          <t>Amounts or disclosures explicitly reported for Min Return on Equity in Covenants &amp; Supplemental / credit_compliance.</t>
        </is>
      </c>
      <c r="J440" s="2" t="inlineStr">
        <is>
          <t>Do not substitute another section, period, entity scope, currency or unit; do not double count a parent and its children.</t>
        </is>
      </c>
      <c r="K440" s="2" t="inlineStr"/>
      <c r="L440" s="2" t="inlineStr">
        <is>
          <t>as_reported</t>
        </is>
      </c>
      <c r="M440" s="2" t="inlineStr">
        <is>
          <t>direct_exclusive</t>
        </is>
      </c>
      <c r="N440" s="2" t="n">
        <v>90</v>
      </c>
      <c r="O440" s="2" t="inlineStr">
        <is>
          <t>normalized_exact_then_regex</t>
        </is>
      </c>
      <c r="P440" s="3" t="inlineStr">
        <is>
          <t>extract</t>
        </is>
      </c>
      <c r="Q440" s="2" t="inlineStr">
        <is>
          <t>currency_amount</t>
        </is>
      </c>
      <c r="R440" s="2" t="inlineStr">
        <is>
          <t>as_disclosed</t>
        </is>
      </c>
      <c r="S440" s="2" t="inlineStr">
        <is>
          <t>allowed_with_provenance</t>
        </is>
      </c>
      <c r="T440" s="2" t="b">
        <v>0</v>
      </c>
      <c r="U440" s="2" t="b">
        <v>0</v>
      </c>
      <c r="V440" s="2" t="inlineStr"/>
      <c r="W440" s="2" t="inlineStr"/>
      <c r="X440" s="2" t="inlineStr">
        <is>
          <t>Decompose only from explicit face or note evidence; never fabricate a split.</t>
        </is>
      </c>
      <c r="Y440" s="2" t="inlineStr">
        <is>
          <t>Aggregate only mutually exclusive facts with identical period, scope, currency and unit.</t>
        </is>
      </c>
      <c r="Z440" s="2" t="inlineStr">
        <is>
          <t>Bind only to Covenants &amp; Supplemental / credit_compliance.</t>
        </is>
      </c>
      <c r="AA440" s="2" t="inlineStr"/>
      <c r="AB440" s="2" t="b">
        <v>1</v>
      </c>
      <c r="AC440" s="2" t="inlineStr"/>
      <c r="AD440" s="2" t="inlineStr">
        <is>
          <t>Exact field from Covenants &amp; Supplemental!A34; value cell B34.</t>
        </is>
      </c>
      <c r="AE440" s="2" t="inlineStr">
        <is>
          <t>Notes may support direct extraction or decomposition with provenance. Formula outputs must be derived only from template dependencies.</t>
        </is>
      </c>
      <c r="AF440" s="2" t="inlineStr"/>
      <c r="AG440" s="2" t="inlineStr">
        <is>
          <t>[]</t>
        </is>
      </c>
      <c r="AH440" s="2" t="inlineStr">
        <is>
          <t>Min Return on Equity</t>
        </is>
      </c>
      <c r="AI440" s="2" t="inlineStr"/>
      <c r="AJ440" s="2" t="inlineStr">
        <is>
          <t>{"template_sheet": "Covenants &amp; Supplemental", "template_row": 34, "template_cell": "B34", "template_value_or_formula": 20, "calculation_type": "reported_input", "dependencies": [], "source_template": "Copy of Output_CSV Template.xlsx"}</t>
        </is>
      </c>
    </row>
    <row r="441">
      <c r="A441" s="2" t="inlineStr">
        <is>
          <t>credit_compliance__max_net_trade_receivable_days</t>
        </is>
      </c>
      <c r="B441" s="2" t="inlineStr">
        <is>
          <t>Max Net Trade Receivable Days</t>
        </is>
      </c>
      <c r="C441" s="2" t="inlineStr">
        <is>
          <t>credit_compliance</t>
        </is>
      </c>
      <c r="D441" s="2" t="inlineStr">
        <is>
          <t>Extract the reported value for 'Max Net Trade Receivable Days' from the stated section. Do not calculate or replace it from other rows, because the revised template does not designate this field as formula-driven.</t>
        </is>
      </c>
      <c r="E441" s="2" t="inlineStr">
        <is>
          <t>Max Net Trade Receivable Days</t>
        </is>
      </c>
      <c r="F441" s="2" t="inlineStr">
        <is>
          <t>Max Net Trade Receivable Days</t>
        </is>
      </c>
      <c r="G441" s="2" t="inlineStr">
        <is>
          <t>^Max\s+Net\s+Trade\s+Receivable\s+Days$</t>
        </is>
      </c>
      <c r="H441" s="2" t="inlineStr"/>
      <c r="I441" s="2" t="inlineStr">
        <is>
          <t>Amounts or disclosures explicitly reported for Max Net Trade Receivable Days in Covenants &amp; Supplemental / credit_compliance.</t>
        </is>
      </c>
      <c r="J441" s="2" t="inlineStr">
        <is>
          <t>Do not substitute another section, period, entity scope, currency or unit; do not double count a parent and its children.</t>
        </is>
      </c>
      <c r="K441" s="2" t="inlineStr"/>
      <c r="L441" s="2" t="inlineStr">
        <is>
          <t>as_reported</t>
        </is>
      </c>
      <c r="M441" s="2" t="inlineStr">
        <is>
          <t>direct_exclusive</t>
        </is>
      </c>
      <c r="N441" s="2" t="n">
        <v>90</v>
      </c>
      <c r="O441" s="2" t="inlineStr">
        <is>
          <t>normalized_exact_then_regex</t>
        </is>
      </c>
      <c r="P441" s="3" t="inlineStr">
        <is>
          <t>extract</t>
        </is>
      </c>
      <c r="Q441" s="2" t="inlineStr">
        <is>
          <t>currency_amount</t>
        </is>
      </c>
      <c r="R441" s="2" t="inlineStr">
        <is>
          <t>as_disclosed</t>
        </is>
      </c>
      <c r="S441" s="2" t="inlineStr">
        <is>
          <t>allowed_with_provenance</t>
        </is>
      </c>
      <c r="T441" s="2" t="b">
        <v>0</v>
      </c>
      <c r="U441" s="2" t="b">
        <v>0</v>
      </c>
      <c r="V441" s="2" t="inlineStr"/>
      <c r="W441" s="2" t="inlineStr"/>
      <c r="X441" s="2" t="inlineStr">
        <is>
          <t>Decompose only from explicit face or note evidence; never fabricate a split.</t>
        </is>
      </c>
      <c r="Y441" s="2" t="inlineStr">
        <is>
          <t>Aggregate only mutually exclusive facts with identical period, scope, currency and unit.</t>
        </is>
      </c>
      <c r="Z441" s="2" t="inlineStr">
        <is>
          <t>Bind only to Covenants &amp; Supplemental / credit_compliance.</t>
        </is>
      </c>
      <c r="AA441" s="2" t="inlineStr"/>
      <c r="AB441" s="2" t="b">
        <v>1</v>
      </c>
      <c r="AC441" s="2" t="inlineStr"/>
      <c r="AD441" s="2" t="inlineStr">
        <is>
          <t>Exact field from Covenants &amp; Supplemental!A35; value cell B35.</t>
        </is>
      </c>
      <c r="AE441" s="2" t="inlineStr">
        <is>
          <t>Notes may support direct extraction or decomposition with provenance. Formula outputs must be derived only from template dependencies.</t>
        </is>
      </c>
      <c r="AF441" s="2" t="inlineStr"/>
      <c r="AG441" s="2" t="inlineStr">
        <is>
          <t>[]</t>
        </is>
      </c>
      <c r="AH441" s="2" t="inlineStr">
        <is>
          <t>Max Net Trade Receivable Days</t>
        </is>
      </c>
      <c r="AI441" s="2" t="inlineStr"/>
      <c r="AJ441" s="2" t="inlineStr">
        <is>
          <t>{"template_sheet": "Covenants &amp; Supplemental", "template_row": 35, "template_cell": "B35", "template_value_or_formula": 37, "calculation_type": "reported_input", "dependencies": [], "source_template": "Copy of Output_CSV Template.xlsx"}</t>
        </is>
      </c>
    </row>
    <row r="442">
      <c r="A442" s="2" t="inlineStr">
        <is>
          <t>credit_compliance__max_inventory_days</t>
        </is>
      </c>
      <c r="B442" s="2" t="inlineStr">
        <is>
          <t>Max Inventory Days</t>
        </is>
      </c>
      <c r="C442" s="2" t="inlineStr">
        <is>
          <t>credit_compliance</t>
        </is>
      </c>
      <c r="D442" s="2" t="inlineStr">
        <is>
          <t>Extract the reported value for 'Max Inventory Days' from the stated section. Do not calculate or replace it from other rows, because the revised template does not designate this field as formula-driven.</t>
        </is>
      </c>
      <c r="E442" s="2" t="inlineStr">
        <is>
          <t>Max Inventory Days</t>
        </is>
      </c>
      <c r="F442" s="2" t="inlineStr">
        <is>
          <t>Max Inventory Days</t>
        </is>
      </c>
      <c r="G442" s="2" t="inlineStr">
        <is>
          <t>^Max\s+Inventory\s+Days$</t>
        </is>
      </c>
      <c r="H442" s="2" t="inlineStr"/>
      <c r="I442" s="2" t="inlineStr">
        <is>
          <t>Amounts or disclosures explicitly reported for Max Inventory Days in Covenants &amp; Supplemental / credit_compliance.</t>
        </is>
      </c>
      <c r="J442" s="2" t="inlineStr">
        <is>
          <t>Do not substitute another section, period, entity scope, currency or unit; do not double count a parent and its children.</t>
        </is>
      </c>
      <c r="K442" s="2" t="inlineStr"/>
      <c r="L442" s="2" t="inlineStr">
        <is>
          <t>as_reported</t>
        </is>
      </c>
      <c r="M442" s="2" t="inlineStr">
        <is>
          <t>direct_exclusive</t>
        </is>
      </c>
      <c r="N442" s="2" t="n">
        <v>90</v>
      </c>
      <c r="O442" s="2" t="inlineStr">
        <is>
          <t>normalized_exact_then_regex</t>
        </is>
      </c>
      <c r="P442" s="3" t="inlineStr">
        <is>
          <t>extract</t>
        </is>
      </c>
      <c r="Q442" s="2" t="inlineStr">
        <is>
          <t>currency_amount</t>
        </is>
      </c>
      <c r="R442" s="2" t="inlineStr">
        <is>
          <t>as_disclosed</t>
        </is>
      </c>
      <c r="S442" s="2" t="inlineStr">
        <is>
          <t>allowed_with_provenance</t>
        </is>
      </c>
      <c r="T442" s="2" t="b">
        <v>0</v>
      </c>
      <c r="U442" s="2" t="b">
        <v>0</v>
      </c>
      <c r="V442" s="2" t="inlineStr"/>
      <c r="W442" s="2" t="inlineStr"/>
      <c r="X442" s="2" t="inlineStr">
        <is>
          <t>Decompose only from explicit face or note evidence; never fabricate a split.</t>
        </is>
      </c>
      <c r="Y442" s="2" t="inlineStr">
        <is>
          <t>Aggregate only mutually exclusive facts with identical period, scope, currency and unit.</t>
        </is>
      </c>
      <c r="Z442" s="2" t="inlineStr">
        <is>
          <t>Bind only to Covenants &amp; Supplemental / credit_compliance.</t>
        </is>
      </c>
      <c r="AA442" s="2" t="inlineStr"/>
      <c r="AB442" s="2" t="b">
        <v>1</v>
      </c>
      <c r="AC442" s="2" t="inlineStr"/>
      <c r="AD442" s="2" t="inlineStr">
        <is>
          <t>Exact field from Covenants &amp; Supplemental!A36; value cell B36.</t>
        </is>
      </c>
      <c r="AE442" s="2" t="inlineStr">
        <is>
          <t>Notes may support direct extraction or decomposition with provenance. Formula outputs must be derived only from template dependencies.</t>
        </is>
      </c>
      <c r="AF442" s="2" t="inlineStr"/>
      <c r="AG442" s="2" t="inlineStr">
        <is>
          <t>[]</t>
        </is>
      </c>
      <c r="AH442" s="2" t="inlineStr">
        <is>
          <t>Max Inventory Days</t>
        </is>
      </c>
      <c r="AI442" s="2" t="inlineStr"/>
      <c r="AJ442" s="2" t="inlineStr">
        <is>
          <t>{"template_sheet": "Covenants &amp; Supplemental", "template_row": 36, "template_cell": "B36", "template_value_or_formula": 11, "calculation_type": "reported_input", "dependencies": [], "source_template": "Copy of Output_CSV Template.xlsx"}</t>
        </is>
      </c>
    </row>
    <row r="443">
      <c r="A443" s="2" t="inlineStr">
        <is>
          <t>credit_compliance__max_trade_payable_days</t>
        </is>
      </c>
      <c r="B443" s="2" t="inlineStr">
        <is>
          <t>Max Trade Payable Days</t>
        </is>
      </c>
      <c r="C443" s="2" t="inlineStr">
        <is>
          <t>credit_compliance</t>
        </is>
      </c>
      <c r="D443" s="2" t="inlineStr">
        <is>
          <t>Extract the reported value for 'Max Trade Payable Days' from the stated section. Do not calculate or replace it from other rows, because the revised template does not designate this field as formula-driven.</t>
        </is>
      </c>
      <c r="E443" s="2" t="inlineStr">
        <is>
          <t>Max Trade Payable Days</t>
        </is>
      </c>
      <c r="F443" s="2" t="inlineStr">
        <is>
          <t>Max Trade Payable Days</t>
        </is>
      </c>
      <c r="G443" s="2" t="inlineStr">
        <is>
          <t>^Max\s+Trade\s+Payable\s+Days$</t>
        </is>
      </c>
      <c r="H443" s="2" t="inlineStr"/>
      <c r="I443" s="2" t="inlineStr">
        <is>
          <t>Amounts or disclosures explicitly reported for Max Trade Payable Days in Covenants &amp; Supplemental / credit_compliance.</t>
        </is>
      </c>
      <c r="J443" s="2" t="inlineStr">
        <is>
          <t>Do not substitute another section, period, entity scope, currency or unit; do not double count a parent and its children.</t>
        </is>
      </c>
      <c r="K443" s="2" t="inlineStr"/>
      <c r="L443" s="2" t="inlineStr">
        <is>
          <t>as_reported</t>
        </is>
      </c>
      <c r="M443" s="2" t="inlineStr">
        <is>
          <t>direct_exclusive</t>
        </is>
      </c>
      <c r="N443" s="2" t="n">
        <v>90</v>
      </c>
      <c r="O443" s="2" t="inlineStr">
        <is>
          <t>normalized_exact_then_regex</t>
        </is>
      </c>
      <c r="P443" s="3" t="inlineStr">
        <is>
          <t>extract</t>
        </is>
      </c>
      <c r="Q443" s="2" t="inlineStr">
        <is>
          <t>currency_amount</t>
        </is>
      </c>
      <c r="R443" s="2" t="inlineStr">
        <is>
          <t>as_disclosed</t>
        </is>
      </c>
      <c r="S443" s="2" t="inlineStr">
        <is>
          <t>allowed_with_provenance</t>
        </is>
      </c>
      <c r="T443" s="2" t="b">
        <v>0</v>
      </c>
      <c r="U443" s="2" t="b">
        <v>0</v>
      </c>
      <c r="V443" s="2" t="inlineStr"/>
      <c r="W443" s="2" t="inlineStr"/>
      <c r="X443" s="2" t="inlineStr">
        <is>
          <t>Decompose only from explicit face or note evidence; never fabricate a split.</t>
        </is>
      </c>
      <c r="Y443" s="2" t="inlineStr">
        <is>
          <t>Aggregate only mutually exclusive facts with identical period, scope, currency and unit.</t>
        </is>
      </c>
      <c r="Z443" s="2" t="inlineStr">
        <is>
          <t>Bind only to Covenants &amp; Supplemental / credit_compliance.</t>
        </is>
      </c>
      <c r="AA443" s="2" t="inlineStr"/>
      <c r="AB443" s="2" t="b">
        <v>1</v>
      </c>
      <c r="AC443" s="2" t="inlineStr"/>
      <c r="AD443" s="2" t="inlineStr">
        <is>
          <t>Exact field from Covenants &amp; Supplemental!A37; value cell B37.</t>
        </is>
      </c>
      <c r="AE443" s="2" t="inlineStr">
        <is>
          <t>Notes may support direct extraction or decomposition with provenance. Formula outputs must be derived only from template dependencies.</t>
        </is>
      </c>
      <c r="AF443" s="2" t="inlineStr"/>
      <c r="AG443" s="2" t="inlineStr">
        <is>
          <t>[]</t>
        </is>
      </c>
      <c r="AH443" s="2" t="inlineStr">
        <is>
          <t>Max Trade Payable Days</t>
        </is>
      </c>
      <c r="AI443" s="2" t="inlineStr"/>
      <c r="AJ443" s="2" t="inlineStr">
        <is>
          <t>{"template_sheet": "Covenants &amp; Supplemental", "template_row": 37, "template_cell": "B37", "template_value_or_formula": 28, "calculation_type": "reported_input", "dependencies": [], "source_template": "Copy of Output_CSV Template.xlsx"}</t>
        </is>
      </c>
    </row>
    <row r="444">
      <c r="A444" s="2" t="inlineStr">
        <is>
          <t>credit_compliance__max_sales_growth</t>
        </is>
      </c>
      <c r="B444" s="2" t="inlineStr">
        <is>
          <t>Max Sales Growth</t>
        </is>
      </c>
      <c r="C444" s="2" t="inlineStr">
        <is>
          <t>credit_compliance</t>
        </is>
      </c>
      <c r="D444" s="2" t="inlineStr">
        <is>
          <t>Extract the reported value for 'Max Sales Growth' from the stated section. Do not calculate or replace it from other rows, because the revised template does not designate this field as formula-driven.</t>
        </is>
      </c>
      <c r="E444" s="2" t="inlineStr">
        <is>
          <t>Max Sales Growth</t>
        </is>
      </c>
      <c r="F444" s="2" t="inlineStr">
        <is>
          <t>Max Sales Growth</t>
        </is>
      </c>
      <c r="G444" s="2" t="inlineStr">
        <is>
          <t>^Max\s+Sales\s+Growth$</t>
        </is>
      </c>
      <c r="H444" s="2" t="inlineStr"/>
      <c r="I444" s="2" t="inlineStr">
        <is>
          <t>Amounts or disclosures explicitly reported for Max Sales Growth in Covenants &amp; Supplemental / credit_compliance.</t>
        </is>
      </c>
      <c r="J444" s="2" t="inlineStr">
        <is>
          <t>Do not substitute another section, period, entity scope, currency or unit; do not double count a parent and its children.</t>
        </is>
      </c>
      <c r="K444" s="2" t="inlineStr"/>
      <c r="L444" s="2" t="inlineStr">
        <is>
          <t>as_reported</t>
        </is>
      </c>
      <c r="M444" s="2" t="inlineStr">
        <is>
          <t>direct_exclusive</t>
        </is>
      </c>
      <c r="N444" s="2" t="n">
        <v>90</v>
      </c>
      <c r="O444" s="2" t="inlineStr">
        <is>
          <t>normalized_exact_then_regex</t>
        </is>
      </c>
      <c r="P444" s="3" t="inlineStr">
        <is>
          <t>extract</t>
        </is>
      </c>
      <c r="Q444" s="2" t="inlineStr">
        <is>
          <t>currency_amount</t>
        </is>
      </c>
      <c r="R444" s="2" t="inlineStr">
        <is>
          <t>as_disclosed</t>
        </is>
      </c>
      <c r="S444" s="2" t="inlineStr">
        <is>
          <t>allowed_with_provenance</t>
        </is>
      </c>
      <c r="T444" s="2" t="b">
        <v>0</v>
      </c>
      <c r="U444" s="2" t="b">
        <v>0</v>
      </c>
      <c r="V444" s="2" t="inlineStr"/>
      <c r="W444" s="2" t="inlineStr"/>
      <c r="X444" s="2" t="inlineStr">
        <is>
          <t>Decompose only from explicit face or note evidence; never fabricate a split.</t>
        </is>
      </c>
      <c r="Y444" s="2" t="inlineStr">
        <is>
          <t>Aggregate only mutually exclusive facts with identical period, scope, currency and unit.</t>
        </is>
      </c>
      <c r="Z444" s="2" t="inlineStr">
        <is>
          <t>Bind only to Covenants &amp; Supplemental / credit_compliance.</t>
        </is>
      </c>
      <c r="AA444" s="2" t="inlineStr"/>
      <c r="AB444" s="2" t="b">
        <v>1</v>
      </c>
      <c r="AC444" s="2" t="inlineStr"/>
      <c r="AD444" s="2" t="inlineStr">
        <is>
          <t>Exact field from Covenants &amp; Supplemental!A38; value cell B38.</t>
        </is>
      </c>
      <c r="AE444" s="2" t="inlineStr">
        <is>
          <t>Notes may support direct extraction or decomposition with provenance. Formula outputs must be derived only from template dependencies.</t>
        </is>
      </c>
      <c r="AF444" s="2" t="inlineStr"/>
      <c r="AG444" s="2" t="inlineStr">
        <is>
          <t>[]</t>
        </is>
      </c>
      <c r="AH444" s="2" t="inlineStr">
        <is>
          <t>Max Sales Growth</t>
        </is>
      </c>
      <c r="AI444" s="2" t="inlineStr"/>
      <c r="AJ444" s="2" t="inlineStr">
        <is>
          <t>{"template_sheet": "Covenants &amp; Supplemental", "template_row": 38, "template_cell": "B38", "template_value_or_formula": 2, "calculation_type": "reported_input", "dependencies": [], "source_template": "Copy of Output_CSV Template.xlsx"}</t>
        </is>
      </c>
    </row>
    <row r="445">
      <c r="A445" s="2" t="inlineStr">
        <is>
          <t>credit_compliance__min_tangible_net_worth</t>
        </is>
      </c>
      <c r="B445" s="2" t="inlineStr">
        <is>
          <t>Min Tangible Net Worth</t>
        </is>
      </c>
      <c r="C445" s="2" t="inlineStr">
        <is>
          <t>credit_compliance</t>
        </is>
      </c>
      <c r="D445" s="2" t="inlineStr">
        <is>
          <t>Extract the reported value for 'Min Tangible Net Worth' from the stated section. Do not calculate or replace it from other rows, because the revised template does not designate this field as formula-driven.</t>
        </is>
      </c>
      <c r="E445" s="2" t="inlineStr">
        <is>
          <t>Min Tangible Net Worth</t>
        </is>
      </c>
      <c r="F445" s="2" t="inlineStr">
        <is>
          <t>Min Tangible Net Worth</t>
        </is>
      </c>
      <c r="G445" s="2" t="inlineStr">
        <is>
          <t>^Min\s+Tangible\s+Net\s+Worth$</t>
        </is>
      </c>
      <c r="H445" s="2" t="inlineStr"/>
      <c r="I445" s="2" t="inlineStr">
        <is>
          <t>Amounts or disclosures explicitly reported for Min Tangible Net Worth in Covenants &amp; Supplemental / credit_compliance.</t>
        </is>
      </c>
      <c r="J445" s="2" t="inlineStr">
        <is>
          <t>Do not substitute another section, period, entity scope, currency or unit; do not double count a parent and its children.</t>
        </is>
      </c>
      <c r="K445" s="2" t="inlineStr"/>
      <c r="L445" s="2" t="inlineStr">
        <is>
          <t>as_reported</t>
        </is>
      </c>
      <c r="M445" s="2" t="inlineStr">
        <is>
          <t>direct_exclusive</t>
        </is>
      </c>
      <c r="N445" s="2" t="n">
        <v>90</v>
      </c>
      <c r="O445" s="2" t="inlineStr">
        <is>
          <t>normalized_exact_then_regex</t>
        </is>
      </c>
      <c r="P445" s="3" t="inlineStr">
        <is>
          <t>extract</t>
        </is>
      </c>
      <c r="Q445" s="2" t="inlineStr">
        <is>
          <t>currency_amount</t>
        </is>
      </c>
      <c r="R445" s="2" t="inlineStr">
        <is>
          <t>as_disclosed</t>
        </is>
      </c>
      <c r="S445" s="2" t="inlineStr">
        <is>
          <t>allowed_with_provenance</t>
        </is>
      </c>
      <c r="T445" s="2" t="b">
        <v>0</v>
      </c>
      <c r="U445" s="2" t="b">
        <v>0</v>
      </c>
      <c r="V445" s="2" t="inlineStr"/>
      <c r="W445" s="2" t="inlineStr"/>
      <c r="X445" s="2" t="inlineStr">
        <is>
          <t>Decompose only from explicit face or note evidence; never fabricate a split.</t>
        </is>
      </c>
      <c r="Y445" s="2" t="inlineStr">
        <is>
          <t>Aggregate only mutually exclusive facts with identical period, scope, currency and unit.</t>
        </is>
      </c>
      <c r="Z445" s="2" t="inlineStr">
        <is>
          <t>Bind only to Covenants &amp; Supplemental / credit_compliance.</t>
        </is>
      </c>
      <c r="AA445" s="2" t="inlineStr"/>
      <c r="AB445" s="2" t="b">
        <v>1</v>
      </c>
      <c r="AC445" s="2" t="inlineStr"/>
      <c r="AD445" s="2" t="inlineStr">
        <is>
          <t>Exact field from Covenants &amp; Supplemental!A39; value cell B39.</t>
        </is>
      </c>
      <c r="AE445" s="2" t="inlineStr">
        <is>
          <t>Notes may support direct extraction or decomposition with provenance. Formula outputs must be derived only from template dependencies.</t>
        </is>
      </c>
      <c r="AF445" s="2" t="inlineStr"/>
      <c r="AG445" s="2" t="inlineStr">
        <is>
          <t>[]</t>
        </is>
      </c>
      <c r="AH445" s="2" t="inlineStr">
        <is>
          <t>Min Tangible Net Worth</t>
        </is>
      </c>
      <c r="AI445" s="2" t="inlineStr"/>
      <c r="AJ445" s="2" t="inlineStr">
        <is>
          <t>{"template_sheet": "Covenants &amp; Supplemental", "template_row": 39, "template_cell": "B39", "template_value_or_formula": 19, "calculation_type": "reported_input", "dependencies": [], "source_template": "Copy of Output_CSV Template.xlsx"}</t>
        </is>
      </c>
    </row>
    <row r="446">
      <c r="A446" s="2" t="inlineStr">
        <is>
          <t>credit_compliance__max_subordinated_debt</t>
        </is>
      </c>
      <c r="B446" s="2" t="inlineStr">
        <is>
          <t>Max Subordinated Debt</t>
        </is>
      </c>
      <c r="C446" s="2" t="inlineStr">
        <is>
          <t>credit_compliance</t>
        </is>
      </c>
      <c r="D446" s="2" t="inlineStr">
        <is>
          <t>Extract the reported value for 'Max Subordinated Debt' from the stated section. Do not calculate or replace it from other rows, because the revised template does not designate this field as formula-driven.</t>
        </is>
      </c>
      <c r="E446" s="2" t="inlineStr">
        <is>
          <t>Max Subordinated Debt</t>
        </is>
      </c>
      <c r="F446" s="2" t="inlineStr">
        <is>
          <t>Max Subordinated Debt</t>
        </is>
      </c>
      <c r="G446" s="2" t="inlineStr">
        <is>
          <t>^Max\s+Subordinated\s+Debt$</t>
        </is>
      </c>
      <c r="H446" s="2" t="inlineStr"/>
      <c r="I446" s="2" t="inlineStr">
        <is>
          <t>Amounts or disclosures explicitly reported for Max Subordinated Debt in Covenants &amp; Supplemental / credit_compliance.</t>
        </is>
      </c>
      <c r="J446" s="2" t="inlineStr">
        <is>
          <t>Do not substitute another section, period, entity scope, currency or unit; do not double count a parent and its children.</t>
        </is>
      </c>
      <c r="K446" s="2" t="inlineStr"/>
      <c r="L446" s="2" t="inlineStr">
        <is>
          <t>as_reported</t>
        </is>
      </c>
      <c r="M446" s="2" t="inlineStr">
        <is>
          <t>direct_exclusive</t>
        </is>
      </c>
      <c r="N446" s="2" t="n">
        <v>90</v>
      </c>
      <c r="O446" s="2" t="inlineStr">
        <is>
          <t>normalized_exact_then_regex</t>
        </is>
      </c>
      <c r="P446" s="3" t="inlineStr">
        <is>
          <t>extract</t>
        </is>
      </c>
      <c r="Q446" s="2" t="inlineStr">
        <is>
          <t>currency_amount</t>
        </is>
      </c>
      <c r="R446" s="2" t="inlineStr">
        <is>
          <t>as_disclosed</t>
        </is>
      </c>
      <c r="S446" s="2" t="inlineStr">
        <is>
          <t>allowed_with_provenance</t>
        </is>
      </c>
      <c r="T446" s="2" t="b">
        <v>0</v>
      </c>
      <c r="U446" s="2" t="b">
        <v>0</v>
      </c>
      <c r="V446" s="2" t="inlineStr"/>
      <c r="W446" s="2" t="inlineStr"/>
      <c r="X446" s="2" t="inlineStr">
        <is>
          <t>Decompose only from explicit face or note evidence; never fabricate a split.</t>
        </is>
      </c>
      <c r="Y446" s="2" t="inlineStr">
        <is>
          <t>Aggregate only mutually exclusive facts with identical period, scope, currency and unit.</t>
        </is>
      </c>
      <c r="Z446" s="2" t="inlineStr">
        <is>
          <t>Bind only to Covenants &amp; Supplemental / credit_compliance.</t>
        </is>
      </c>
      <c r="AA446" s="2" t="inlineStr"/>
      <c r="AB446" s="2" t="b">
        <v>1</v>
      </c>
      <c r="AC446" s="2" t="inlineStr"/>
      <c r="AD446" s="2" t="inlineStr">
        <is>
          <t>Exact field from Covenants &amp; Supplemental!A40; value cell B40.</t>
        </is>
      </c>
      <c r="AE446" s="2" t="inlineStr">
        <is>
          <t>Notes may support direct extraction or decomposition with provenance. Formula outputs must be derived only from template dependencies.</t>
        </is>
      </c>
      <c r="AF446" s="2" t="inlineStr"/>
      <c r="AG446" s="2" t="inlineStr">
        <is>
          <t>[]</t>
        </is>
      </c>
      <c r="AH446" s="2" t="inlineStr">
        <is>
          <t>Max Subordinated Debt</t>
        </is>
      </c>
      <c r="AI446" s="2" t="inlineStr"/>
      <c r="AJ446" s="2" t="inlineStr">
        <is>
          <t>{"template_sheet": "Covenants &amp; Supplemental", "template_row": 40, "template_cell": "B40", "template_value_or_formula": 36, "calculation_type": "reported_input", "dependencies": [], "source_template": "Copy of Output_CSV Template.xlsx"}</t>
        </is>
      </c>
    </row>
    <row r="447">
      <c r="A447" s="2" t="inlineStr">
        <is>
          <t>credit_compliance__max_cash_dividends</t>
        </is>
      </c>
      <c r="B447" s="2" t="inlineStr">
        <is>
          <t>Max Cash Dividends</t>
        </is>
      </c>
      <c r="C447" s="2" t="inlineStr">
        <is>
          <t>credit_compliance</t>
        </is>
      </c>
      <c r="D447" s="2" t="inlineStr">
        <is>
          <t>Extract the reported value for 'Max Cash Dividends' from the stated section. Do not calculate or replace it from other rows, because the revised template does not designate this field as formula-driven.</t>
        </is>
      </c>
      <c r="E447" s="2" t="inlineStr">
        <is>
          <t>Max Cash Dividends</t>
        </is>
      </c>
      <c r="F447" s="2" t="inlineStr">
        <is>
          <t>Max Cash Dividends</t>
        </is>
      </c>
      <c r="G447" s="2" t="inlineStr">
        <is>
          <t>^Max\s+Cash\s+Dividends$</t>
        </is>
      </c>
      <c r="H447" s="2" t="inlineStr"/>
      <c r="I447" s="2" t="inlineStr">
        <is>
          <t>Amounts or disclosures explicitly reported for Max Cash Dividends in Covenants &amp; Supplemental / credit_compliance.</t>
        </is>
      </c>
      <c r="J447" s="2" t="inlineStr">
        <is>
          <t>Do not substitute another section, period, entity scope, currency or unit; do not double count a parent and its children.</t>
        </is>
      </c>
      <c r="K447" s="2" t="inlineStr"/>
      <c r="L447" s="2" t="inlineStr">
        <is>
          <t>as_reported</t>
        </is>
      </c>
      <c r="M447" s="2" t="inlineStr">
        <is>
          <t>direct_exclusive</t>
        </is>
      </c>
      <c r="N447" s="2" t="n">
        <v>90</v>
      </c>
      <c r="O447" s="2" t="inlineStr">
        <is>
          <t>normalized_exact_then_regex</t>
        </is>
      </c>
      <c r="P447" s="3" t="inlineStr">
        <is>
          <t>extract</t>
        </is>
      </c>
      <c r="Q447" s="2" t="inlineStr">
        <is>
          <t>currency_amount</t>
        </is>
      </c>
      <c r="R447" s="2" t="inlineStr">
        <is>
          <t>as_disclosed</t>
        </is>
      </c>
      <c r="S447" s="2" t="inlineStr">
        <is>
          <t>allowed_with_provenance</t>
        </is>
      </c>
      <c r="T447" s="2" t="b">
        <v>0</v>
      </c>
      <c r="U447" s="2" t="b">
        <v>0</v>
      </c>
      <c r="V447" s="2" t="inlineStr"/>
      <c r="W447" s="2" t="inlineStr"/>
      <c r="X447" s="2" t="inlineStr">
        <is>
          <t>Decompose only from explicit face or note evidence; never fabricate a split.</t>
        </is>
      </c>
      <c r="Y447" s="2" t="inlineStr">
        <is>
          <t>Aggregate only mutually exclusive facts with identical period, scope, currency and unit.</t>
        </is>
      </c>
      <c r="Z447" s="2" t="inlineStr">
        <is>
          <t>Bind only to Covenants &amp; Supplemental / credit_compliance.</t>
        </is>
      </c>
      <c r="AA447" s="2" t="inlineStr"/>
      <c r="AB447" s="2" t="b">
        <v>1</v>
      </c>
      <c r="AC447" s="2" t="inlineStr"/>
      <c r="AD447" s="2" t="inlineStr">
        <is>
          <t>Exact field from Covenants &amp; Supplemental!A41; value cell B41.</t>
        </is>
      </c>
      <c r="AE447" s="2" t="inlineStr">
        <is>
          <t>Notes may support direct extraction or decomposition with provenance. Formula outputs must be derived only from template dependencies.</t>
        </is>
      </c>
      <c r="AF447" s="2" t="inlineStr"/>
      <c r="AG447" s="2" t="inlineStr">
        <is>
          <t>[]</t>
        </is>
      </c>
      <c r="AH447" s="2" t="inlineStr">
        <is>
          <t>Max Cash Dividends</t>
        </is>
      </c>
      <c r="AI447" s="2" t="inlineStr"/>
      <c r="AJ447" s="2" t="inlineStr">
        <is>
          <t>{"template_sheet": "Covenants &amp; Supplemental", "template_row": 41, "template_cell": "B41", "template_value_or_formula": 10, "calculation_type": "reported_input", "dependencies": [], "source_template": "Copy of Output_CSV Template.xlsx"}</t>
        </is>
      </c>
    </row>
    <row r="448">
      <c r="A448" s="2" t="inlineStr">
        <is>
          <t>credit_compliance__min_cash_balance</t>
        </is>
      </c>
      <c r="B448" s="2" t="inlineStr">
        <is>
          <t>Min Cash Balance</t>
        </is>
      </c>
      <c r="C448" s="2" t="inlineStr">
        <is>
          <t>credit_compliance</t>
        </is>
      </c>
      <c r="D448" s="2" t="inlineStr">
        <is>
          <t>Extract the reported value for 'Min Cash Balance' from the stated section. Do not calculate or replace it from other rows, because the revised template does not designate this field as formula-driven.</t>
        </is>
      </c>
      <c r="E448" s="2" t="inlineStr">
        <is>
          <t>Min Cash Balance</t>
        </is>
      </c>
      <c r="F448" s="2" t="inlineStr">
        <is>
          <t>Min Cash Balance</t>
        </is>
      </c>
      <c r="G448" s="2" t="inlineStr">
        <is>
          <t>^Min\s+Cash\s+Balance$</t>
        </is>
      </c>
      <c r="H448" s="2" t="inlineStr"/>
      <c r="I448" s="2" t="inlineStr">
        <is>
          <t>Amounts or disclosures explicitly reported for Min Cash Balance in Covenants &amp; Supplemental / credit_compliance.</t>
        </is>
      </c>
      <c r="J448" s="2" t="inlineStr">
        <is>
          <t>Do not substitute another section, period, entity scope, currency or unit; do not double count a parent and its children.</t>
        </is>
      </c>
      <c r="K448" s="2" t="inlineStr"/>
      <c r="L448" s="2" t="inlineStr">
        <is>
          <t>as_reported</t>
        </is>
      </c>
      <c r="M448" s="2" t="inlineStr">
        <is>
          <t>direct_exclusive</t>
        </is>
      </c>
      <c r="N448" s="2" t="n">
        <v>90</v>
      </c>
      <c r="O448" s="2" t="inlineStr">
        <is>
          <t>normalized_exact_then_regex</t>
        </is>
      </c>
      <c r="P448" s="3" t="inlineStr">
        <is>
          <t>extract</t>
        </is>
      </c>
      <c r="Q448" s="2" t="inlineStr">
        <is>
          <t>currency_amount</t>
        </is>
      </c>
      <c r="R448" s="2" t="inlineStr">
        <is>
          <t>as_disclosed</t>
        </is>
      </c>
      <c r="S448" s="2" t="inlineStr">
        <is>
          <t>allowed_with_provenance</t>
        </is>
      </c>
      <c r="T448" s="2" t="b">
        <v>0</v>
      </c>
      <c r="U448" s="2" t="b">
        <v>0</v>
      </c>
      <c r="V448" s="2" t="inlineStr"/>
      <c r="W448" s="2" t="inlineStr"/>
      <c r="X448" s="2" t="inlineStr">
        <is>
          <t>Decompose only from explicit face or note evidence; never fabricate a split.</t>
        </is>
      </c>
      <c r="Y448" s="2" t="inlineStr">
        <is>
          <t>Aggregate only mutually exclusive facts with identical period, scope, currency and unit.</t>
        </is>
      </c>
      <c r="Z448" s="2" t="inlineStr">
        <is>
          <t>Bind only to Covenants &amp; Supplemental / credit_compliance.</t>
        </is>
      </c>
      <c r="AA448" s="2" t="inlineStr"/>
      <c r="AB448" s="2" t="b">
        <v>1</v>
      </c>
      <c r="AC448" s="2" t="inlineStr"/>
      <c r="AD448" s="2" t="inlineStr">
        <is>
          <t>Exact field from Covenants &amp; Supplemental!A42; value cell B42.</t>
        </is>
      </c>
      <c r="AE448" s="2" t="inlineStr">
        <is>
          <t>Notes may support direct extraction or decomposition with provenance. Formula outputs must be derived only from template dependencies.</t>
        </is>
      </c>
      <c r="AF448" s="2" t="inlineStr"/>
      <c r="AG448" s="2" t="inlineStr">
        <is>
          <t>[]</t>
        </is>
      </c>
      <c r="AH448" s="2" t="inlineStr">
        <is>
          <t>Min Cash Balance</t>
        </is>
      </c>
      <c r="AI448" s="2" t="inlineStr"/>
      <c r="AJ448" s="2" t="inlineStr">
        <is>
          <t>{"template_sheet": "Covenants &amp; Supplemental", "template_row": 42, "template_cell": "B42", "template_value_or_formula": 27, "calculation_type": "reported_input", "dependencies": [], "source_template": "Copy of Output_CSV Template.xlsx"}</t>
        </is>
      </c>
    </row>
    <row r="449">
      <c r="A449" s="2" t="inlineStr">
        <is>
          <t>commitments__capital_commitments_for_fixed_assets</t>
        </is>
      </c>
      <c r="B449" s="2" t="inlineStr">
        <is>
          <t>Capital commitments for fixed assets</t>
        </is>
      </c>
      <c r="C449" s="2" t="inlineStr">
        <is>
          <t>commitments</t>
        </is>
      </c>
      <c r="D449" s="2" t="inlineStr">
        <is>
          <t>Extract the reported value for 'Capital commitments for fixed assets' from the stated section. Do not calculate or replace it from other rows, because the revised template does not designate this field as formula-driven.</t>
        </is>
      </c>
      <c r="E449" s="2" t="inlineStr">
        <is>
          <t>Capital commitments for fixed assets</t>
        </is>
      </c>
      <c r="F449" s="2" t="inlineStr">
        <is>
          <t>Capital commitments for fixed assets</t>
        </is>
      </c>
      <c r="G449" s="2" t="inlineStr">
        <is>
          <t>^Capital\s+commitments\s+for\s+fixed\s+assets$</t>
        </is>
      </c>
      <c r="H449" s="2" t="inlineStr"/>
      <c r="I449" s="2" t="inlineStr">
        <is>
          <t>Amounts or disclosures explicitly reported for Capital commitments for fixed assets in Covenants &amp; Supplemental / commitments.</t>
        </is>
      </c>
      <c r="J449" s="2" t="inlineStr">
        <is>
          <t>Do not substitute another section, period, entity scope, currency or unit; do not double count a parent and its children.</t>
        </is>
      </c>
      <c r="K449" s="2" t="inlineStr"/>
      <c r="L449" s="2" t="inlineStr">
        <is>
          <t>as_reported</t>
        </is>
      </c>
      <c r="M449" s="2" t="inlineStr">
        <is>
          <t>direct_exclusive</t>
        </is>
      </c>
      <c r="N449" s="2" t="n">
        <v>90</v>
      </c>
      <c r="O449" s="2" t="inlineStr">
        <is>
          <t>normalized_exact_then_regex</t>
        </is>
      </c>
      <c r="P449" s="3" t="inlineStr">
        <is>
          <t>extract</t>
        </is>
      </c>
      <c r="Q449" s="2" t="inlineStr">
        <is>
          <t>currency_amount</t>
        </is>
      </c>
      <c r="R449" s="2" t="inlineStr">
        <is>
          <t>as_disclosed</t>
        </is>
      </c>
      <c r="S449" s="2" t="inlineStr">
        <is>
          <t>allowed_with_provenance</t>
        </is>
      </c>
      <c r="T449" s="2" t="b">
        <v>0</v>
      </c>
      <c r="U449" s="2" t="b">
        <v>0</v>
      </c>
      <c r="V449" s="2" t="inlineStr"/>
      <c r="W449" s="2" t="inlineStr"/>
      <c r="X449" s="2" t="inlineStr">
        <is>
          <t>Decompose only from explicit face or note evidence; never fabricate a split.</t>
        </is>
      </c>
      <c r="Y449" s="2" t="inlineStr">
        <is>
          <t>Aggregate only mutually exclusive facts with identical period, scope, currency and unit.</t>
        </is>
      </c>
      <c r="Z449" s="2" t="inlineStr">
        <is>
          <t>Bind only to Covenants &amp; Supplemental / commitments.</t>
        </is>
      </c>
      <c r="AA449" s="2" t="inlineStr"/>
      <c r="AB449" s="2" t="b">
        <v>1</v>
      </c>
      <c r="AC449" s="2" t="inlineStr"/>
      <c r="AD449" s="2" t="inlineStr">
        <is>
          <t>Exact field from Covenants &amp; Supplemental!A45; value cell B45.</t>
        </is>
      </c>
      <c r="AE449" s="2" t="inlineStr">
        <is>
          <t>Notes may support direct extraction or decomposition with provenance. Formula outputs must be derived only from template dependencies.</t>
        </is>
      </c>
      <c r="AF449" s="2" t="inlineStr"/>
      <c r="AG449" s="2" t="inlineStr">
        <is>
          <t>[]</t>
        </is>
      </c>
      <c r="AH449" s="2" t="inlineStr">
        <is>
          <t>Capital commitments for fixed assets</t>
        </is>
      </c>
      <c r="AI449" s="2" t="inlineStr"/>
      <c r="AJ449" s="2" t="inlineStr">
        <is>
          <t>{"template_sheet": "Covenants &amp; Supplemental", "template_row": 45, "template_cell": "B45", "template_value_or_formula": 35, "calculation_type": "reported_input", "dependencies": [], "source_template": "Copy of Output_CSV Template.xlsx"}</t>
        </is>
      </c>
    </row>
    <row r="450">
      <c r="A450" s="2" t="inlineStr">
        <is>
          <t>commitments__capital_commitments_for_lt_assets</t>
        </is>
      </c>
      <c r="B450" s="2" t="inlineStr">
        <is>
          <t>Capital commitments for LT assets</t>
        </is>
      </c>
      <c r="C450" s="2" t="inlineStr">
        <is>
          <t>commitments</t>
        </is>
      </c>
      <c r="D450" s="2" t="inlineStr">
        <is>
          <t>Extract the reported value for 'Capital commitments for LT assets' from the stated section. Do not calculate or replace it from other rows, because the revised template does not designate this field as formula-driven.</t>
        </is>
      </c>
      <c r="E450" s="2" t="inlineStr">
        <is>
          <t>Capital commitments for LT assets</t>
        </is>
      </c>
      <c r="F450" s="2" t="inlineStr">
        <is>
          <t>Capital commitments for LT assets</t>
        </is>
      </c>
      <c r="G450" s="2" t="inlineStr">
        <is>
          <t>^Capital\s+commitments\s+for\s+LT\s+assets$</t>
        </is>
      </c>
      <c r="H450" s="2" t="inlineStr"/>
      <c r="I450" s="2" t="inlineStr">
        <is>
          <t>Amounts or disclosures explicitly reported for Capital commitments for LT assets in Covenants &amp; Supplemental / commitments.</t>
        </is>
      </c>
      <c r="J450" s="2" t="inlineStr">
        <is>
          <t>Do not substitute another section, period, entity scope, currency or unit; do not double count a parent and its children.</t>
        </is>
      </c>
      <c r="K450" s="2" t="inlineStr"/>
      <c r="L450" s="2" t="inlineStr">
        <is>
          <t>as_reported</t>
        </is>
      </c>
      <c r="M450" s="2" t="inlineStr">
        <is>
          <t>direct_exclusive</t>
        </is>
      </c>
      <c r="N450" s="2" t="n">
        <v>90</v>
      </c>
      <c r="O450" s="2" t="inlineStr">
        <is>
          <t>normalized_exact_then_regex</t>
        </is>
      </c>
      <c r="P450" s="3" t="inlineStr">
        <is>
          <t>extract</t>
        </is>
      </c>
      <c r="Q450" s="2" t="inlineStr">
        <is>
          <t>currency_amount</t>
        </is>
      </c>
      <c r="R450" s="2" t="inlineStr">
        <is>
          <t>as_disclosed</t>
        </is>
      </c>
      <c r="S450" s="2" t="inlineStr">
        <is>
          <t>allowed_with_provenance</t>
        </is>
      </c>
      <c r="T450" s="2" t="b">
        <v>0</v>
      </c>
      <c r="U450" s="2" t="b">
        <v>0</v>
      </c>
      <c r="V450" s="2" t="inlineStr"/>
      <c r="W450" s="2" t="inlineStr"/>
      <c r="X450" s="2" t="inlineStr">
        <is>
          <t>Decompose only from explicit face or note evidence; never fabricate a split.</t>
        </is>
      </c>
      <c r="Y450" s="2" t="inlineStr">
        <is>
          <t>Aggregate only mutually exclusive facts with identical period, scope, currency and unit.</t>
        </is>
      </c>
      <c r="Z450" s="2" t="inlineStr">
        <is>
          <t>Bind only to Covenants &amp; Supplemental / commitments.</t>
        </is>
      </c>
      <c r="AA450" s="2" t="inlineStr"/>
      <c r="AB450" s="2" t="b">
        <v>1</v>
      </c>
      <c r="AC450" s="2" t="inlineStr"/>
      <c r="AD450" s="2" t="inlineStr">
        <is>
          <t>Exact field from Covenants &amp; Supplemental!A46; value cell B46.</t>
        </is>
      </c>
      <c r="AE450" s="2" t="inlineStr">
        <is>
          <t>Notes may support direct extraction or decomposition with provenance. Formula outputs must be derived only from template dependencies.</t>
        </is>
      </c>
      <c r="AF450" s="2" t="inlineStr"/>
      <c r="AG450" s="2" t="inlineStr">
        <is>
          <t>[]</t>
        </is>
      </c>
      <c r="AH450" s="2" t="inlineStr">
        <is>
          <t>Capital commitments for LT assets</t>
        </is>
      </c>
      <c r="AI450" s="2" t="inlineStr"/>
      <c r="AJ450" s="2" t="inlineStr">
        <is>
          <t>{"template_sheet": "Covenants &amp; Supplemental", "template_row": 46, "template_cell": "B46", "template_value_or_formula": 9, "calculation_type": "reported_input", "dependencies": [], "source_template": "Copy of Output_CSV Template.xlsx"}</t>
        </is>
      </c>
    </row>
    <row r="451">
      <c r="A451" s="2" t="inlineStr">
        <is>
          <t>commitments__capital_commitments_for_intangible_assets</t>
        </is>
      </c>
      <c r="B451" s="2" t="inlineStr">
        <is>
          <t>Capital commitments for intangible assets</t>
        </is>
      </c>
      <c r="C451" s="2" t="inlineStr">
        <is>
          <t>commitments</t>
        </is>
      </c>
      <c r="D451" s="2" t="inlineStr">
        <is>
          <t>Extract the reported value for 'Capital commitments for intangible assets' from the stated section. Do not calculate or replace it from other rows, because the revised template does not designate this field as formula-driven.</t>
        </is>
      </c>
      <c r="E451" s="2" t="inlineStr">
        <is>
          <t>Capital commitments for intangible assets</t>
        </is>
      </c>
      <c r="F451" s="2" t="inlineStr">
        <is>
          <t>Capital commitments for intangible assets</t>
        </is>
      </c>
      <c r="G451" s="2" t="inlineStr">
        <is>
          <t>^Capital\s+commitments\s+for\s+intangible\s+assets$</t>
        </is>
      </c>
      <c r="H451" s="2" t="inlineStr"/>
      <c r="I451" s="2" t="inlineStr">
        <is>
          <t>Amounts or disclosures explicitly reported for Capital commitments for intangible assets in Covenants &amp; Supplemental / commitments.</t>
        </is>
      </c>
      <c r="J451" s="2" t="inlineStr">
        <is>
          <t>Do not substitute another section, period, entity scope, currency or unit; do not double count a parent and its children.</t>
        </is>
      </c>
      <c r="K451" s="2" t="inlineStr"/>
      <c r="L451" s="2" t="inlineStr">
        <is>
          <t>as_reported</t>
        </is>
      </c>
      <c r="M451" s="2" t="inlineStr">
        <is>
          <t>direct_exclusive</t>
        </is>
      </c>
      <c r="N451" s="2" t="n">
        <v>90</v>
      </c>
      <c r="O451" s="2" t="inlineStr">
        <is>
          <t>normalized_exact_then_regex</t>
        </is>
      </c>
      <c r="P451" s="3" t="inlineStr">
        <is>
          <t>extract</t>
        </is>
      </c>
      <c r="Q451" s="2" t="inlineStr">
        <is>
          <t>currency_amount</t>
        </is>
      </c>
      <c r="R451" s="2" t="inlineStr">
        <is>
          <t>as_disclosed</t>
        </is>
      </c>
      <c r="S451" s="2" t="inlineStr">
        <is>
          <t>allowed_with_provenance</t>
        </is>
      </c>
      <c r="T451" s="2" t="b">
        <v>0</v>
      </c>
      <c r="U451" s="2" t="b">
        <v>0</v>
      </c>
      <c r="V451" s="2" t="inlineStr"/>
      <c r="W451" s="2" t="inlineStr"/>
      <c r="X451" s="2" t="inlineStr">
        <is>
          <t>Decompose only from explicit face or note evidence; never fabricate a split.</t>
        </is>
      </c>
      <c r="Y451" s="2" t="inlineStr">
        <is>
          <t>Aggregate only mutually exclusive facts with identical period, scope, currency and unit.</t>
        </is>
      </c>
      <c r="Z451" s="2" t="inlineStr">
        <is>
          <t>Bind only to Covenants &amp; Supplemental / commitments.</t>
        </is>
      </c>
      <c r="AA451" s="2" t="inlineStr"/>
      <c r="AB451" s="2" t="b">
        <v>1</v>
      </c>
      <c r="AC451" s="2" t="inlineStr"/>
      <c r="AD451" s="2" t="inlineStr">
        <is>
          <t>Exact field from Covenants &amp; Supplemental!A47; value cell B47.</t>
        </is>
      </c>
      <c r="AE451" s="2" t="inlineStr">
        <is>
          <t>Notes may support direct extraction or decomposition with provenance. Formula outputs must be derived only from template dependencies.</t>
        </is>
      </c>
      <c r="AF451" s="2" t="inlineStr"/>
      <c r="AG451" s="2" t="inlineStr">
        <is>
          <t>[]</t>
        </is>
      </c>
      <c r="AH451" s="2" t="inlineStr">
        <is>
          <t>Capital commitments for intangible assets</t>
        </is>
      </c>
      <c r="AI451" s="2" t="inlineStr"/>
      <c r="AJ451" s="2" t="inlineStr">
        <is>
          <t>{"template_sheet": "Covenants &amp; Supplemental", "template_row": 47, "template_cell": "B47", "template_value_or_formula": 26, "calculation_type": "reported_input", "dependencies": [], "source_template": "Copy of Output_CSV Template.xlsx"}</t>
        </is>
      </c>
    </row>
    <row r="452">
      <c r="A452" s="2" t="inlineStr">
        <is>
          <t>commitments__capital_commitments_for_investments</t>
        </is>
      </c>
      <c r="B452" s="2" t="inlineStr">
        <is>
          <t>Capital Commitments for Investments</t>
        </is>
      </c>
      <c r="C452" s="2" t="inlineStr">
        <is>
          <t>commitments</t>
        </is>
      </c>
      <c r="D452" s="2" t="inlineStr">
        <is>
          <t>Extract the reported value for 'Capital Commitments for Investments' from the stated section. Do not calculate or replace it from other rows, because the revised template does not designate this field as formula-driven.</t>
        </is>
      </c>
      <c r="E452" s="2" t="inlineStr">
        <is>
          <t>Capital Commitments for Investments</t>
        </is>
      </c>
      <c r="F452" s="2" t="inlineStr">
        <is>
          <t>Capital Commitments for Investments</t>
        </is>
      </c>
      <c r="G452" s="2" t="inlineStr">
        <is>
          <t>^Capital\s+Commitments\s+for\s+Investments$</t>
        </is>
      </c>
      <c r="H452" s="2" t="inlineStr"/>
      <c r="I452" s="2" t="inlineStr">
        <is>
          <t>Amounts or disclosures explicitly reported for Capital Commitments for Investments in Covenants &amp; Supplemental / commitments.</t>
        </is>
      </c>
      <c r="J452" s="2" t="inlineStr">
        <is>
          <t>Do not substitute another section, period, entity scope, currency or unit; do not double count a parent and its children.</t>
        </is>
      </c>
      <c r="K452" s="2" t="inlineStr"/>
      <c r="L452" s="2" t="inlineStr">
        <is>
          <t>as_reported</t>
        </is>
      </c>
      <c r="M452" s="2" t="inlineStr">
        <is>
          <t>direct_exclusive</t>
        </is>
      </c>
      <c r="N452" s="2" t="n">
        <v>90</v>
      </c>
      <c r="O452" s="2" t="inlineStr">
        <is>
          <t>normalized_exact_then_regex</t>
        </is>
      </c>
      <c r="P452" s="3" t="inlineStr">
        <is>
          <t>extract</t>
        </is>
      </c>
      <c r="Q452" s="2" t="inlineStr">
        <is>
          <t>currency_amount</t>
        </is>
      </c>
      <c r="R452" s="2" t="inlineStr">
        <is>
          <t>as_disclosed</t>
        </is>
      </c>
      <c r="S452" s="2" t="inlineStr">
        <is>
          <t>allowed_with_provenance</t>
        </is>
      </c>
      <c r="T452" s="2" t="b">
        <v>0</v>
      </c>
      <c r="U452" s="2" t="b">
        <v>0</v>
      </c>
      <c r="V452" s="2" t="inlineStr"/>
      <c r="W452" s="2" t="inlineStr"/>
      <c r="X452" s="2" t="inlineStr">
        <is>
          <t>Decompose only from explicit face or note evidence; never fabricate a split.</t>
        </is>
      </c>
      <c r="Y452" s="2" t="inlineStr">
        <is>
          <t>Aggregate only mutually exclusive facts with identical period, scope, currency and unit.</t>
        </is>
      </c>
      <c r="Z452" s="2" t="inlineStr">
        <is>
          <t>Bind only to Covenants &amp; Supplemental / commitments.</t>
        </is>
      </c>
      <c r="AA452" s="2" t="inlineStr"/>
      <c r="AB452" s="2" t="b">
        <v>1</v>
      </c>
      <c r="AC452" s="2" t="inlineStr"/>
      <c r="AD452" s="2" t="inlineStr">
        <is>
          <t>Exact field from Covenants &amp; Supplemental!A48; value cell B48.</t>
        </is>
      </c>
      <c r="AE452" s="2" t="inlineStr">
        <is>
          <t>Notes may support direct extraction or decomposition with provenance. Formula outputs must be derived only from template dependencies.</t>
        </is>
      </c>
      <c r="AF452" s="2" t="inlineStr"/>
      <c r="AG452" s="2" t="inlineStr">
        <is>
          <t>[]</t>
        </is>
      </c>
      <c r="AH452" s="2" t="inlineStr">
        <is>
          <t>Capital Commitments for Investments</t>
        </is>
      </c>
      <c r="AI452" s="2" t="inlineStr"/>
      <c r="AJ452" s="2" t="inlineStr">
        <is>
          <t>{"template_sheet": "Covenants &amp; Supplemental", "template_row": 48, "template_cell": "B48", "template_value_or_formula": 43, "calculation_type": "reported_input", "dependencies": [], "source_template": "Copy of Output_CSV Template.xlsx"}</t>
        </is>
      </c>
    </row>
    <row r="453">
      <c r="A453" s="2" t="inlineStr">
        <is>
          <t>commitments__capital_commitments</t>
        </is>
      </c>
      <c r="B453" s="2" t="inlineStr">
        <is>
          <t>Capital Commitments</t>
        </is>
      </c>
      <c r="C453" s="2" t="inlineStr">
        <is>
          <t>commitments</t>
        </is>
      </c>
      <c r="D453" s="2" t="inlineStr">
        <is>
          <t>Calculated target using the exact formula retained in the supplied template: =SUM({commitments__capital_commitments_for_fixed_assets}:{commitments__capital_commitments_for_investments})</t>
        </is>
      </c>
      <c r="E453" s="2" t="inlineStr">
        <is>
          <t>Capital Commitments</t>
        </is>
      </c>
      <c r="F453" s="2" t="inlineStr">
        <is>
          <t>Capital Commitments</t>
        </is>
      </c>
      <c r="G453" s="2" t="inlineStr">
        <is>
          <t>^Capital\s+Commitments$</t>
        </is>
      </c>
      <c r="H453" s="2" t="inlineStr"/>
      <c r="I453" s="2" t="inlineStr">
        <is>
          <t>Amounts or disclosures explicitly reported for Capital Commitments in Covenants &amp; Supplemental / commitments.</t>
        </is>
      </c>
      <c r="J453" s="2" t="inlineStr">
        <is>
          <t>Do not substitute another section, period, entity scope, currency or unit; do not double count a parent and its children.</t>
        </is>
      </c>
      <c r="K453" s="2" t="inlineStr"/>
      <c r="L453" s="2" t="inlineStr">
        <is>
          <t>as_reported</t>
        </is>
      </c>
      <c r="M453" s="2" t="inlineStr">
        <is>
          <t>derived_total</t>
        </is>
      </c>
      <c r="N453" s="2" t="n">
        <v>100</v>
      </c>
      <c r="O453" s="2" t="inlineStr">
        <is>
          <t>disabled</t>
        </is>
      </c>
      <c r="P453" s="4" t="inlineStr">
        <is>
          <t>derive</t>
        </is>
      </c>
      <c r="Q453" s="2" t="inlineStr">
        <is>
          <t>currency_amount</t>
        </is>
      </c>
      <c r="R453" s="2" t="inlineStr">
        <is>
          <t>as_disclosed</t>
        </is>
      </c>
      <c r="S453" s="2" t="inlineStr">
        <is>
          <t>allowed_with_provenance</t>
        </is>
      </c>
      <c r="T453" s="2" t="b">
        <v>0</v>
      </c>
      <c r="U453" s="2" t="b">
        <v>1</v>
      </c>
      <c r="V453" s="2" t="inlineStr">
        <is>
          <t>commitments__capital_commitments_for_fixed_assets | commitments__capital_commitments_for_investments</t>
        </is>
      </c>
      <c r="W453" s="2">
        <f>SUM({commitments__capital_commitments_for_fixed_assets}:{commitments__capital_commitments_for_investments})</f>
        <v/>
      </c>
      <c r="X453" s="2" t="inlineStr">
        <is>
          <t>Use only dependencies stated in the formula; never fabricate missing components.</t>
        </is>
      </c>
      <c r="Y453" s="2" t="inlineStr">
        <is>
          <t>Calculate only after every dependency is populated and validated.</t>
        </is>
      </c>
      <c r="Z453" s="2" t="inlineStr">
        <is>
          <t>Bind only to Covenants &amp; Supplemental / commitments.</t>
        </is>
      </c>
      <c r="AA453" s="2" t="inlineStr"/>
      <c r="AB453" s="2" t="b">
        <v>0</v>
      </c>
      <c r="AC453" s="2" t="inlineStr">
        <is>
          <t>commitments__capital_commitments_for_fixed_assets | commitments__capital_commitments_for_investments</t>
        </is>
      </c>
      <c r="AD453" s="2" t="inlineStr">
        <is>
          <t>Exact field from Covenants &amp; Supplemental!A49; value cell B49.</t>
        </is>
      </c>
      <c r="AE453" s="2" t="inlineStr">
        <is>
          <t>Notes may support direct extraction or decomposition with provenance. Formula outputs must be derived only from template dependencies.</t>
        </is>
      </c>
      <c r="AF453" s="2" t="inlineStr"/>
      <c r="AG453" s="2" t="inlineStr">
        <is>
          <t>[]</t>
        </is>
      </c>
      <c r="AH453" s="2" t="inlineStr">
        <is>
          <t>Capital Commitments</t>
        </is>
      </c>
      <c r="AI453" s="2" t="inlineStr"/>
      <c r="AJ453" s="2" t="inlineStr">
        <is>
          <t>{"template_sheet": "Covenants &amp; Supplemental", "template_row": 49, "template_cell": "B49", "template_value_or_formula": "=SUM(B45:B48)", "calculation_type": "formula", "dependencies": ["commitments__capital_commitments_for_fixed_assets", "commitments__capital_commitments_for_investments"], "source_template": "Copy of Output_CSV Template.xlsx"}</t>
        </is>
      </c>
    </row>
    <row r="454">
      <c r="A454" s="2" t="inlineStr">
        <is>
          <t>commitments__operating_lease_commitments_notes</t>
        </is>
      </c>
      <c r="B454" s="2" t="inlineStr">
        <is>
          <t>Operating Lease Commitments (Notes)</t>
        </is>
      </c>
      <c r="C454" s="2" t="inlineStr">
        <is>
          <t>commitments</t>
        </is>
      </c>
      <c r="D454" s="2" t="inlineStr">
        <is>
          <t>Extract the reported value for 'Operating Lease Commitments (Notes)' from the stated section. Do not calculate or replace it from other rows, because the revised template does not designate this field as formula-driven.</t>
        </is>
      </c>
      <c r="E454" s="2" t="inlineStr">
        <is>
          <t>Operating Lease Commitments (Notes)</t>
        </is>
      </c>
      <c r="F454" s="2" t="inlineStr">
        <is>
          <t>Operating Lease Commitments (Notes)</t>
        </is>
      </c>
      <c r="G454" s="2" t="inlineStr">
        <is>
          <t>^Operating\s+Lease\s+Commitments\s+\(Notes\)$</t>
        </is>
      </c>
      <c r="H454" s="2" t="inlineStr"/>
      <c r="I454" s="2" t="inlineStr">
        <is>
          <t>Amounts or disclosures explicitly reported for Operating Lease Commitments (Notes) in Covenants &amp; Supplemental / commitments.</t>
        </is>
      </c>
      <c r="J454" s="2" t="inlineStr">
        <is>
          <t>Do not substitute another section, period, entity scope, currency or unit; do not double count a parent and its children.</t>
        </is>
      </c>
      <c r="K454" s="2" t="inlineStr"/>
      <c r="L454" s="2" t="inlineStr">
        <is>
          <t>as_reported</t>
        </is>
      </c>
      <c r="M454" s="2" t="inlineStr">
        <is>
          <t>direct_exclusive</t>
        </is>
      </c>
      <c r="N454" s="2" t="n">
        <v>90</v>
      </c>
      <c r="O454" s="2" t="inlineStr">
        <is>
          <t>normalized_exact_then_regex</t>
        </is>
      </c>
      <c r="P454" s="3" t="inlineStr">
        <is>
          <t>extract</t>
        </is>
      </c>
      <c r="Q454" s="2" t="inlineStr">
        <is>
          <t>currency_amount</t>
        </is>
      </c>
      <c r="R454" s="2" t="inlineStr">
        <is>
          <t>as_disclosed</t>
        </is>
      </c>
      <c r="S454" s="2" t="inlineStr">
        <is>
          <t>allowed_with_provenance</t>
        </is>
      </c>
      <c r="T454" s="2" t="b">
        <v>0</v>
      </c>
      <c r="U454" s="2" t="b">
        <v>0</v>
      </c>
      <c r="V454" s="2" t="inlineStr"/>
      <c r="W454" s="2" t="inlineStr"/>
      <c r="X454" s="2" t="inlineStr">
        <is>
          <t>Decompose only from explicit face or note evidence; never fabricate a split.</t>
        </is>
      </c>
      <c r="Y454" s="2" t="inlineStr">
        <is>
          <t>Aggregate only mutually exclusive facts with identical period, scope, currency and unit.</t>
        </is>
      </c>
      <c r="Z454" s="2" t="inlineStr">
        <is>
          <t>Bind only to Covenants &amp; Supplemental / commitments.</t>
        </is>
      </c>
      <c r="AA454" s="2" t="inlineStr"/>
      <c r="AB454" s="2" t="b">
        <v>1</v>
      </c>
      <c r="AC454" s="2" t="inlineStr"/>
      <c r="AD454" s="2" t="inlineStr">
        <is>
          <t>Exact field from Covenants &amp; Supplemental!A50; value cell B50.</t>
        </is>
      </c>
      <c r="AE454" s="2" t="inlineStr">
        <is>
          <t>Notes may support direct extraction or decomposition with provenance. Formula outputs must be derived only from template dependencies.</t>
        </is>
      </c>
      <c r="AF454" s="2" t="inlineStr"/>
      <c r="AG454" s="2" t="inlineStr">
        <is>
          <t>[]</t>
        </is>
      </c>
      <c r="AH454" s="2" t="inlineStr">
        <is>
          <t>Operating Lease Commitments (Notes)</t>
        </is>
      </c>
      <c r="AI454" s="2" t="inlineStr"/>
      <c r="AJ454" s="2" t="inlineStr">
        <is>
          <t>{"template_sheet": "Covenants &amp; Supplemental", "template_row": 50, "template_cell": "B50", "template_value_or_formula": 34, "calculation_type": "reported_input", "dependencies": [], "source_template": "Copy of Output_CSV Template.xlsx"}</t>
        </is>
      </c>
    </row>
    <row r="455">
      <c r="A455" s="2" t="inlineStr">
        <is>
          <t>notes__related_party_transactions</t>
        </is>
      </c>
      <c r="B455" s="2" t="inlineStr">
        <is>
          <t>Related Party Transactions</t>
        </is>
      </c>
      <c r="C455" s="2" t="inlineStr">
        <is>
          <t>notes</t>
        </is>
      </c>
      <c r="D455" s="2" t="inlineStr">
        <is>
          <t>Extract the reported value for 'Related Party Transactions' from the stated section. Do not calculate or replace it from other rows, because the revised template does not designate this field as formula-driven.</t>
        </is>
      </c>
      <c r="E455" s="2" t="inlineStr">
        <is>
          <t>Related Party Transactions</t>
        </is>
      </c>
      <c r="F455" s="2" t="inlineStr">
        <is>
          <t>Related Party Transactions</t>
        </is>
      </c>
      <c r="G455" s="2" t="inlineStr">
        <is>
          <t>^Related\s+Party\s+Transactions$</t>
        </is>
      </c>
      <c r="H455" s="2" t="inlineStr"/>
      <c r="I455" s="2" t="inlineStr">
        <is>
          <t>Amounts or disclosures explicitly reported for Related Party Transactions in Notes / notes.</t>
        </is>
      </c>
      <c r="J455" s="2" t="inlineStr">
        <is>
          <t>Do not substitute another section, period, entity scope, currency or unit; do not double count a parent and its children.</t>
        </is>
      </c>
      <c r="K455" s="2" t="inlineStr"/>
      <c r="L455" s="2" t="inlineStr">
        <is>
          <t>as_reported</t>
        </is>
      </c>
      <c r="M455" s="2" t="inlineStr">
        <is>
          <t>direct_exclusive</t>
        </is>
      </c>
      <c r="N455" s="2" t="n">
        <v>90</v>
      </c>
      <c r="O455" s="2" t="inlineStr">
        <is>
          <t>normalized_exact_then_regex</t>
        </is>
      </c>
      <c r="P455" s="3" t="inlineStr">
        <is>
          <t>extract</t>
        </is>
      </c>
      <c r="Q455" s="2" t="inlineStr">
        <is>
          <t>text_or_enum</t>
        </is>
      </c>
      <c r="R455" s="2" t="inlineStr">
        <is>
          <t>as_disclosed</t>
        </is>
      </c>
      <c r="S455" s="2" t="inlineStr">
        <is>
          <t>allowed_with_provenance</t>
        </is>
      </c>
      <c r="T455" s="2" t="b">
        <v>0</v>
      </c>
      <c r="U455" s="2" t="b">
        <v>0</v>
      </c>
      <c r="V455" s="2" t="inlineStr"/>
      <c r="W455" s="2" t="inlineStr"/>
      <c r="X455" s="2" t="inlineStr">
        <is>
          <t>Decompose only from explicit face or note evidence; never fabricate a split.</t>
        </is>
      </c>
      <c r="Y455" s="2" t="inlineStr">
        <is>
          <t>Aggregate only mutually exclusive facts with identical period, scope, currency and unit.</t>
        </is>
      </c>
      <c r="Z455" s="2" t="inlineStr">
        <is>
          <t>Bind only to Notes / notes.</t>
        </is>
      </c>
      <c r="AA455" s="2" t="inlineStr"/>
      <c r="AB455" s="2" t="b">
        <v>1</v>
      </c>
      <c r="AC455" s="2" t="inlineStr"/>
      <c r="AD455" s="2" t="inlineStr">
        <is>
          <t>Exact field from Notes!A6; value cell B6.</t>
        </is>
      </c>
      <c r="AE455" s="2" t="inlineStr">
        <is>
          <t>Notes may support direct extraction or decomposition with provenance. Formula outputs must be derived only from template dependencies.</t>
        </is>
      </c>
      <c r="AF455" s="2" t="inlineStr"/>
      <c r="AG455" s="2" t="inlineStr">
        <is>
          <t>[]</t>
        </is>
      </c>
      <c r="AH455" s="2" t="inlineStr">
        <is>
          <t>Related Party Transactions</t>
        </is>
      </c>
      <c r="AI455" s="2" t="inlineStr"/>
      <c r="AJ455" s="2" t="inlineStr">
        <is>
          <t>{"template_sheet": "Notes", "template_row": 6, "template_cell": "B6", "template_value_or_formula": "Illustrative disclosure: related-party sales of HKD 120 and purchases of HKD 85 during the period.", "calculation_type": "reported_input", "dependencies": [], "source_template": "Copy of Output_CSV Template.xlsx"}</t>
        </is>
      </c>
    </row>
    <row r="456">
      <c r="A456" s="2" t="inlineStr">
        <is>
          <t>notes__pledged_assets</t>
        </is>
      </c>
      <c r="B456" s="2" t="inlineStr">
        <is>
          <t>Pledged Assets</t>
        </is>
      </c>
      <c r="C456" s="2" t="inlineStr">
        <is>
          <t>notes</t>
        </is>
      </c>
      <c r="D456" s="2" t="inlineStr">
        <is>
          <t>Extract the reported value for 'Pledged Assets' from the stated section. Do not calculate or replace it from other rows, because the revised template does not designate this field as formula-driven.</t>
        </is>
      </c>
      <c r="E456" s="2" t="inlineStr">
        <is>
          <t>Pledged Assets</t>
        </is>
      </c>
      <c r="F456" s="2" t="inlineStr">
        <is>
          <t>Pledged Assets</t>
        </is>
      </c>
      <c r="G456" s="2" t="inlineStr">
        <is>
          <t>^Pledged\s+Assets$</t>
        </is>
      </c>
      <c r="H456" s="2" t="inlineStr"/>
      <c r="I456" s="2" t="inlineStr">
        <is>
          <t>Amounts or disclosures explicitly reported for Pledged Assets in Notes / notes.</t>
        </is>
      </c>
      <c r="J456" s="2" t="inlineStr">
        <is>
          <t>Do not substitute another section, period, entity scope, currency or unit; do not double count a parent and its children.</t>
        </is>
      </c>
      <c r="K456" s="2" t="inlineStr"/>
      <c r="L456" s="2" t="inlineStr">
        <is>
          <t>as_reported</t>
        </is>
      </c>
      <c r="M456" s="2" t="inlineStr">
        <is>
          <t>direct_exclusive</t>
        </is>
      </c>
      <c r="N456" s="2" t="n">
        <v>90</v>
      </c>
      <c r="O456" s="2" t="inlineStr">
        <is>
          <t>normalized_exact_then_regex</t>
        </is>
      </c>
      <c r="P456" s="3" t="inlineStr">
        <is>
          <t>extract</t>
        </is>
      </c>
      <c r="Q456" s="2" t="inlineStr">
        <is>
          <t>text_or_enum</t>
        </is>
      </c>
      <c r="R456" s="2" t="inlineStr">
        <is>
          <t>as_disclosed</t>
        </is>
      </c>
      <c r="S456" s="2" t="inlineStr">
        <is>
          <t>allowed_with_provenance</t>
        </is>
      </c>
      <c r="T456" s="2" t="b">
        <v>0</v>
      </c>
      <c r="U456" s="2" t="b">
        <v>0</v>
      </c>
      <c r="V456" s="2" t="inlineStr"/>
      <c r="W456" s="2" t="inlineStr"/>
      <c r="X456" s="2" t="inlineStr">
        <is>
          <t>Decompose only from explicit face or note evidence; never fabricate a split.</t>
        </is>
      </c>
      <c r="Y456" s="2" t="inlineStr">
        <is>
          <t>Aggregate only mutually exclusive facts with identical period, scope, currency and unit.</t>
        </is>
      </c>
      <c r="Z456" s="2" t="inlineStr">
        <is>
          <t>Bind only to Notes / notes.</t>
        </is>
      </c>
      <c r="AA456" s="2" t="inlineStr"/>
      <c r="AB456" s="2" t="b">
        <v>1</v>
      </c>
      <c r="AC456" s="2" t="inlineStr"/>
      <c r="AD456" s="2" t="inlineStr">
        <is>
          <t>Exact field from Notes!A7; value cell B7.</t>
        </is>
      </c>
      <c r="AE456" s="2" t="inlineStr">
        <is>
          <t>Notes may support direct extraction or decomposition with provenance. Formula outputs must be derived only from template dependencies.</t>
        </is>
      </c>
      <c r="AF456" s="2" t="inlineStr"/>
      <c r="AG456" s="2" t="inlineStr">
        <is>
          <t>[]</t>
        </is>
      </c>
      <c r="AH456" s="2" t="inlineStr">
        <is>
          <t>Pledged Assets</t>
        </is>
      </c>
      <c r="AI456" s="2" t="inlineStr"/>
      <c r="AJ456" s="2" t="inlineStr">
        <is>
          <t>{"template_sheet": "Notes", "template_row": 7, "template_cell": "B7", "template_value_or_formula": "Illustrative disclosure: cash, receivables, inventories and fixed assets with a carrying value of HKD 600 are pledged as security.", "calculation_type": "reported_input", "dependencies": [], "source_template": "Copy of Output_CSV Template.xlsx"}</t>
        </is>
      </c>
    </row>
    <row r="457">
      <c r="A457" s="2" t="inlineStr">
        <is>
          <t>notes__secure_borrowings</t>
        </is>
      </c>
      <c r="B457" s="2" t="inlineStr">
        <is>
          <t>Secure Borrowings</t>
        </is>
      </c>
      <c r="C457" s="2" t="inlineStr">
        <is>
          <t>notes</t>
        </is>
      </c>
      <c r="D457" s="2" t="inlineStr">
        <is>
          <t>Extract the reported value for 'Secure Borrowings' from the stated section. Do not calculate or replace it from other rows, because the revised template does not designate this field as formula-driven.</t>
        </is>
      </c>
      <c r="E457" s="2" t="inlineStr">
        <is>
          <t>Secure Borrowings</t>
        </is>
      </c>
      <c r="F457" s="2" t="inlineStr">
        <is>
          <t>Secure Borrowings</t>
        </is>
      </c>
      <c r="G457" s="2" t="inlineStr">
        <is>
          <t>^Secure\s+Borrowings$</t>
        </is>
      </c>
      <c r="H457" s="2" t="inlineStr"/>
      <c r="I457" s="2" t="inlineStr">
        <is>
          <t>Amounts or disclosures explicitly reported for Secure Borrowings in Notes / notes.</t>
        </is>
      </c>
      <c r="J457" s="2" t="inlineStr">
        <is>
          <t>Do not substitute another section, period, entity scope, currency or unit; do not double count a parent and its children.</t>
        </is>
      </c>
      <c r="K457" s="2" t="inlineStr"/>
      <c r="L457" s="2" t="inlineStr">
        <is>
          <t>as_reported</t>
        </is>
      </c>
      <c r="M457" s="2" t="inlineStr">
        <is>
          <t>direct_exclusive</t>
        </is>
      </c>
      <c r="N457" s="2" t="n">
        <v>90</v>
      </c>
      <c r="O457" s="2" t="inlineStr">
        <is>
          <t>normalized_exact_then_regex</t>
        </is>
      </c>
      <c r="P457" s="3" t="inlineStr">
        <is>
          <t>extract</t>
        </is>
      </c>
      <c r="Q457" s="2" t="inlineStr">
        <is>
          <t>text_or_enum</t>
        </is>
      </c>
      <c r="R457" s="2" t="inlineStr">
        <is>
          <t>as_disclosed</t>
        </is>
      </c>
      <c r="S457" s="2" t="inlineStr">
        <is>
          <t>allowed_with_provenance</t>
        </is>
      </c>
      <c r="T457" s="2" t="b">
        <v>0</v>
      </c>
      <c r="U457" s="2" t="b">
        <v>0</v>
      </c>
      <c r="V457" s="2" t="inlineStr"/>
      <c r="W457" s="2" t="inlineStr"/>
      <c r="X457" s="2" t="inlineStr">
        <is>
          <t>Decompose only from explicit face or note evidence; never fabricate a split.</t>
        </is>
      </c>
      <c r="Y457" s="2" t="inlineStr">
        <is>
          <t>Aggregate only mutually exclusive facts with identical period, scope, currency and unit.</t>
        </is>
      </c>
      <c r="Z457" s="2" t="inlineStr">
        <is>
          <t>Bind only to Notes / notes.</t>
        </is>
      </c>
      <c r="AA457" s="2" t="inlineStr"/>
      <c r="AB457" s="2" t="b">
        <v>1</v>
      </c>
      <c r="AC457" s="2" t="inlineStr"/>
      <c r="AD457" s="2" t="inlineStr">
        <is>
          <t>Exact field from Notes!A8; value cell B8.</t>
        </is>
      </c>
      <c r="AE457" s="2" t="inlineStr">
        <is>
          <t>Notes may support direct extraction or decomposition with provenance. Formula outputs must be derived only from template dependencies.</t>
        </is>
      </c>
      <c r="AF457" s="2" t="inlineStr"/>
      <c r="AG457" s="2" t="inlineStr">
        <is>
          <t>[]</t>
        </is>
      </c>
      <c r="AH457" s="2" t="inlineStr">
        <is>
          <t>Secure Borrowings</t>
        </is>
      </c>
      <c r="AI457" s="2" t="inlineStr"/>
      <c r="AJ457" s="2" t="inlineStr">
        <is>
          <t>{"template_sheet": "Notes", "template_row": 8, "template_cell": "B8", "template_value_or_formula": "Illustrative disclosure: secured bank borrowings comprise HKD 250 short-term and HKD 400 long-term facilities.", "calculation_type": "reported_input", "dependencies": [], "source_template": "Copy of Output_CSV Template.xlsx"}</t>
        </is>
      </c>
    </row>
    <row r="458">
      <c r="A458" s="2" t="inlineStr">
        <is>
          <t>notes__derivatives</t>
        </is>
      </c>
      <c r="B458" s="2" t="inlineStr">
        <is>
          <t>Derivatives</t>
        </is>
      </c>
      <c r="C458" s="2" t="inlineStr">
        <is>
          <t>notes</t>
        </is>
      </c>
      <c r="D458" s="2" t="inlineStr">
        <is>
          <t>Extract the reported value for 'Derivatives' from the stated section. Do not calculate or replace it from other rows, because the revised template does not designate this field as formula-driven.</t>
        </is>
      </c>
      <c r="E458" s="2" t="inlineStr">
        <is>
          <t>Derivatives</t>
        </is>
      </c>
      <c r="F458" s="2" t="inlineStr">
        <is>
          <t>Derivatives</t>
        </is>
      </c>
      <c r="G458" s="2" t="inlineStr">
        <is>
          <t>^Derivatives$</t>
        </is>
      </c>
      <c r="H458" s="2" t="inlineStr"/>
      <c r="I458" s="2" t="inlineStr">
        <is>
          <t>Amounts or disclosures explicitly reported for Derivatives in Notes / notes.</t>
        </is>
      </c>
      <c r="J458" s="2" t="inlineStr">
        <is>
          <t>Do not substitute another section, period, entity scope, currency or unit; do not double count a parent and its children.</t>
        </is>
      </c>
      <c r="K458" s="2" t="inlineStr"/>
      <c r="L458" s="2" t="inlineStr">
        <is>
          <t>as_reported</t>
        </is>
      </c>
      <c r="M458" s="2" t="inlineStr">
        <is>
          <t>direct_exclusive</t>
        </is>
      </c>
      <c r="N458" s="2" t="n">
        <v>90</v>
      </c>
      <c r="O458" s="2" t="inlineStr">
        <is>
          <t>normalized_exact_then_regex</t>
        </is>
      </c>
      <c r="P458" s="3" t="inlineStr">
        <is>
          <t>extract</t>
        </is>
      </c>
      <c r="Q458" s="2" t="inlineStr">
        <is>
          <t>text_or_enum</t>
        </is>
      </c>
      <c r="R458" s="2" t="inlineStr">
        <is>
          <t>as_disclosed</t>
        </is>
      </c>
      <c r="S458" s="2" t="inlineStr">
        <is>
          <t>allowed_with_provenance</t>
        </is>
      </c>
      <c r="T458" s="2" t="b">
        <v>0</v>
      </c>
      <c r="U458" s="2" t="b">
        <v>0</v>
      </c>
      <c r="V458" s="2" t="inlineStr"/>
      <c r="W458" s="2" t="inlineStr"/>
      <c r="X458" s="2" t="inlineStr">
        <is>
          <t>Decompose only from explicit face or note evidence; never fabricate a split.</t>
        </is>
      </c>
      <c r="Y458" s="2" t="inlineStr">
        <is>
          <t>Aggregate only mutually exclusive facts with identical period, scope, currency and unit.</t>
        </is>
      </c>
      <c r="Z458" s="2" t="inlineStr">
        <is>
          <t>Bind only to Notes / notes.</t>
        </is>
      </c>
      <c r="AA458" s="2" t="inlineStr"/>
      <c r="AB458" s="2" t="b">
        <v>1</v>
      </c>
      <c r="AC458" s="2" t="inlineStr"/>
      <c r="AD458" s="2" t="inlineStr">
        <is>
          <t>Exact field from Notes!A9; value cell B9.</t>
        </is>
      </c>
      <c r="AE458" s="2" t="inlineStr">
        <is>
          <t>Notes may support direct extraction or decomposition with provenance. Formula outputs must be derived only from template dependencies.</t>
        </is>
      </c>
      <c r="AF458" s="2" t="inlineStr"/>
      <c r="AG458" s="2" t="inlineStr">
        <is>
          <t>[]</t>
        </is>
      </c>
      <c r="AH458" s="2" t="inlineStr">
        <is>
          <t>Derivatives</t>
        </is>
      </c>
      <c r="AI458" s="2" t="inlineStr"/>
      <c r="AJ458" s="2" t="inlineStr">
        <is>
          <t>{"template_sheet": "Notes", "template_row": 9, "template_cell": "B9", "template_value_or_formula": "Illustrative disclosure: derivative assets are HKD 35 and derivative liabilities are HKD 28.", "calculation_type": "reported_input", "dependencies": [], "source_template": "Copy of Output_CSV Template.xlsx"}</t>
        </is>
      </c>
    </row>
    <row r="459">
      <c r="A459" s="2" t="inlineStr">
        <is>
          <t>notes__contingent_liabilities</t>
        </is>
      </c>
      <c r="B459" s="2" t="inlineStr">
        <is>
          <t>Contingent liabilities</t>
        </is>
      </c>
      <c r="C459" s="2" t="inlineStr">
        <is>
          <t>notes</t>
        </is>
      </c>
      <c r="D459" s="2" t="inlineStr">
        <is>
          <t>Extract the reported value for 'Contingent liabilities' from the stated section. Do not calculate or replace it from other rows, because the revised template does not designate this field as formula-driven.</t>
        </is>
      </c>
      <c r="E459" s="2" t="inlineStr">
        <is>
          <t>Contingent liabilities</t>
        </is>
      </c>
      <c r="F459" s="2" t="inlineStr">
        <is>
          <t>Contingent liabilities</t>
        </is>
      </c>
      <c r="G459" s="2" t="inlineStr">
        <is>
          <t>^Contingent\s+liabilities$</t>
        </is>
      </c>
      <c r="H459" s="2" t="inlineStr"/>
      <c r="I459" s="2" t="inlineStr">
        <is>
          <t>Amounts or disclosures explicitly reported for Contingent liabilities in Notes / notes.</t>
        </is>
      </c>
      <c r="J459" s="2" t="inlineStr">
        <is>
          <t>Do not substitute another section, period, entity scope, currency or unit; do not double count a parent and its children.</t>
        </is>
      </c>
      <c r="K459" s="2" t="inlineStr"/>
      <c r="L459" s="2" t="inlineStr">
        <is>
          <t>as_reported</t>
        </is>
      </c>
      <c r="M459" s="2" t="inlineStr">
        <is>
          <t>direct_exclusive</t>
        </is>
      </c>
      <c r="N459" s="2" t="n">
        <v>90</v>
      </c>
      <c r="O459" s="2" t="inlineStr">
        <is>
          <t>normalized_exact_then_regex</t>
        </is>
      </c>
      <c r="P459" s="3" t="inlineStr">
        <is>
          <t>extract</t>
        </is>
      </c>
      <c r="Q459" s="2" t="inlineStr">
        <is>
          <t>text_or_enum</t>
        </is>
      </c>
      <c r="R459" s="2" t="inlineStr">
        <is>
          <t>as_disclosed</t>
        </is>
      </c>
      <c r="S459" s="2" t="inlineStr">
        <is>
          <t>allowed_with_provenance</t>
        </is>
      </c>
      <c r="T459" s="2" t="b">
        <v>0</v>
      </c>
      <c r="U459" s="2" t="b">
        <v>0</v>
      </c>
      <c r="V459" s="2" t="inlineStr"/>
      <c r="W459" s="2" t="inlineStr"/>
      <c r="X459" s="2" t="inlineStr">
        <is>
          <t>Decompose only from explicit face or note evidence; never fabricate a split.</t>
        </is>
      </c>
      <c r="Y459" s="2" t="inlineStr">
        <is>
          <t>Aggregate only mutually exclusive facts with identical period, scope, currency and unit.</t>
        </is>
      </c>
      <c r="Z459" s="2" t="inlineStr">
        <is>
          <t>Bind only to Notes / notes.</t>
        </is>
      </c>
      <c r="AA459" s="2" t="inlineStr"/>
      <c r="AB459" s="2" t="b">
        <v>1</v>
      </c>
      <c r="AC459" s="2" t="inlineStr"/>
      <c r="AD459" s="2" t="inlineStr">
        <is>
          <t>Exact field from Notes!A10; value cell B10.</t>
        </is>
      </c>
      <c r="AE459" s="2" t="inlineStr">
        <is>
          <t>Notes may support direct extraction or decomposition with provenance. Formula outputs must be derived only from template dependencies.</t>
        </is>
      </c>
      <c r="AF459" s="2" t="inlineStr"/>
      <c r="AG459" s="2" t="inlineStr">
        <is>
          <t>[]</t>
        </is>
      </c>
      <c r="AH459" s="2" t="inlineStr">
        <is>
          <t>Contingent liabilities</t>
        </is>
      </c>
      <c r="AI459" s="2" t="inlineStr"/>
      <c r="AJ459" s="2" t="inlineStr">
        <is>
          <t>{"template_sheet": "Notes", "template_row": 10, "template_cell": "B10", "template_value_or_formula": "Illustrative disclosure: guarantees and litigation exposures total HKD 75; outcome remains uncertain.", "calculation_type": "reported_input", "dependencies": [], "source_template": "Copy of Output_CSV Template.xlsx"}</t>
        </is>
      </c>
    </row>
    <row r="460">
      <c r="A460" s="2" t="inlineStr">
        <is>
          <t>notes__auditors_opinion</t>
        </is>
      </c>
      <c r="B460" s="2" t="inlineStr">
        <is>
          <t>Auditor's opinion</t>
        </is>
      </c>
      <c r="C460" s="2" t="inlineStr">
        <is>
          <t>notes</t>
        </is>
      </c>
      <c r="D460" s="2" t="inlineStr">
        <is>
          <t>Extract the reported value for 'Auditor's opinion' from the stated section. Do not calculate or replace it from other rows, because the revised template does not designate this field as formula-driven.</t>
        </is>
      </c>
      <c r="E460" s="2" t="inlineStr">
        <is>
          <t>Auditor's opinion</t>
        </is>
      </c>
      <c r="F460" s="2" t="inlineStr">
        <is>
          <t>Auditor's opinion</t>
        </is>
      </c>
      <c r="G460" s="2" t="inlineStr">
        <is>
          <t>^Auditor's\s+opinion$</t>
        </is>
      </c>
      <c r="H460" s="2" t="inlineStr"/>
      <c r="I460" s="2" t="inlineStr">
        <is>
          <t>Amounts or disclosures explicitly reported for Auditor's opinion in Notes / notes.</t>
        </is>
      </c>
      <c r="J460" s="2" t="inlineStr">
        <is>
          <t>Do not substitute another section, period, entity scope, currency or unit; do not double count a parent and its children.</t>
        </is>
      </c>
      <c r="K460" s="2" t="inlineStr"/>
      <c r="L460" s="2" t="inlineStr">
        <is>
          <t>as_reported</t>
        </is>
      </c>
      <c r="M460" s="2" t="inlineStr">
        <is>
          <t>direct_exclusive</t>
        </is>
      </c>
      <c r="N460" s="2" t="n">
        <v>90</v>
      </c>
      <c r="O460" s="2" t="inlineStr">
        <is>
          <t>normalized_exact_then_regex</t>
        </is>
      </c>
      <c r="P460" s="3" t="inlineStr">
        <is>
          <t>extract</t>
        </is>
      </c>
      <c r="Q460" s="2" t="inlineStr">
        <is>
          <t>text_or_enum</t>
        </is>
      </c>
      <c r="R460" s="2" t="inlineStr">
        <is>
          <t>as_disclosed</t>
        </is>
      </c>
      <c r="S460" s="2" t="inlineStr">
        <is>
          <t>allowed_with_provenance</t>
        </is>
      </c>
      <c r="T460" s="2" t="b">
        <v>0</v>
      </c>
      <c r="U460" s="2" t="b">
        <v>0</v>
      </c>
      <c r="V460" s="2" t="inlineStr"/>
      <c r="W460" s="2" t="inlineStr"/>
      <c r="X460" s="2" t="inlineStr">
        <is>
          <t>Decompose only from explicit face or note evidence; never fabricate a split.</t>
        </is>
      </c>
      <c r="Y460" s="2" t="inlineStr">
        <is>
          <t>Aggregate only mutually exclusive facts with identical period, scope, currency and unit.</t>
        </is>
      </c>
      <c r="Z460" s="2" t="inlineStr">
        <is>
          <t>Bind only to Notes / notes.</t>
        </is>
      </c>
      <c r="AA460" s="2" t="inlineStr"/>
      <c r="AB460" s="2" t="b">
        <v>1</v>
      </c>
      <c r="AC460" s="2" t="inlineStr"/>
      <c r="AD460" s="2" t="inlineStr">
        <is>
          <t>Exact field from Notes!A11; value cell B11.</t>
        </is>
      </c>
      <c r="AE460" s="2" t="inlineStr">
        <is>
          <t>Notes may support direct extraction or decomposition with provenance. Formula outputs must be derived only from template dependencies.</t>
        </is>
      </c>
      <c r="AF460" s="2" t="inlineStr"/>
      <c r="AG460" s="2" t="inlineStr">
        <is>
          <t>[]</t>
        </is>
      </c>
      <c r="AH460" s="2" t="inlineStr">
        <is>
          <t>Auditor's opinion</t>
        </is>
      </c>
      <c r="AI460" s="2" t="inlineStr"/>
      <c r="AJ460" s="2" t="inlineStr">
        <is>
          <t>{"template_sheet": "Notes", "template_row": 11, "template_cell": "B11", "template_value_or_formula": "Unqualified opinion — illustrative dummy text only.", "calculation_type": "reported_input", "dependencies": [], "source_template": "Copy of Output_CSV Template.xlsx"}</t>
        </is>
      </c>
    </row>
    <row r="461">
      <c r="A461" s="2" t="inlineStr">
        <is>
          <t>notes__notes</t>
        </is>
      </c>
      <c r="B461" s="2" t="inlineStr">
        <is>
          <t>其他Notes</t>
        </is>
      </c>
      <c r="C461" s="2" t="inlineStr">
        <is>
          <t>notes</t>
        </is>
      </c>
      <c r="D461" s="2" t="inlineStr">
        <is>
          <t>Extract the reported value for '其他Notes' from the stated section. Do not calculate or replace it from other rows, because the revised template does not designate this field as formula-driven.</t>
        </is>
      </c>
      <c r="E461" s="2" t="inlineStr">
        <is>
          <t>其他Notes</t>
        </is>
      </c>
      <c r="F461" s="2" t="inlineStr">
        <is>
          <t>其他Notes</t>
        </is>
      </c>
      <c r="G461" s="2" t="inlineStr">
        <is>
          <t>^其他Notes$</t>
        </is>
      </c>
      <c r="H461" s="2" t="inlineStr"/>
      <c r="I461" s="2" t="inlineStr">
        <is>
          <t>Amounts or disclosures explicitly reported for 其他Notes in Notes / notes.</t>
        </is>
      </c>
      <c r="J461" s="2" t="inlineStr">
        <is>
          <t>Do not substitute another section, period, entity scope, currency or unit; do not double count a parent and its children.</t>
        </is>
      </c>
      <c r="K461" s="2" t="inlineStr"/>
      <c r="L461" s="2" t="inlineStr">
        <is>
          <t>as_reported</t>
        </is>
      </c>
      <c r="M461" s="2" t="inlineStr">
        <is>
          <t>direct_exclusive</t>
        </is>
      </c>
      <c r="N461" s="2" t="n">
        <v>90</v>
      </c>
      <c r="O461" s="2" t="inlineStr">
        <is>
          <t>normalized_exact_then_regex</t>
        </is>
      </c>
      <c r="P461" s="3" t="inlineStr">
        <is>
          <t>extract</t>
        </is>
      </c>
      <c r="Q461" s="2" t="inlineStr">
        <is>
          <t>text_or_enum</t>
        </is>
      </c>
      <c r="R461" s="2" t="inlineStr">
        <is>
          <t>as_disclosed</t>
        </is>
      </c>
      <c r="S461" s="2" t="inlineStr">
        <is>
          <t>allowed_with_provenance</t>
        </is>
      </c>
      <c r="T461" s="2" t="b">
        <v>0</v>
      </c>
      <c r="U461" s="2" t="b">
        <v>0</v>
      </c>
      <c r="V461" s="2" t="inlineStr"/>
      <c r="W461" s="2" t="inlineStr"/>
      <c r="X461" s="2" t="inlineStr">
        <is>
          <t>Decompose only from explicit face or note evidence; never fabricate a split.</t>
        </is>
      </c>
      <c r="Y461" s="2" t="inlineStr">
        <is>
          <t>Aggregate only mutually exclusive facts with identical period, scope, currency and unit.</t>
        </is>
      </c>
      <c r="Z461" s="2" t="inlineStr">
        <is>
          <t>Bind only to Notes / notes.</t>
        </is>
      </c>
      <c r="AA461" s="2" t="inlineStr"/>
      <c r="AB461" s="2" t="b">
        <v>1</v>
      </c>
      <c r="AC461" s="2" t="inlineStr"/>
      <c r="AD461" s="2" t="inlineStr">
        <is>
          <t>Exact field from Notes!A12; value cell B12.</t>
        </is>
      </c>
      <c r="AE461" s="2" t="inlineStr">
        <is>
          <t>Notes may support direct extraction or decomposition with provenance. Formula outputs must be derived only from template dependencies.</t>
        </is>
      </c>
      <c r="AF461" s="2" t="inlineStr"/>
      <c r="AG461" s="2" t="inlineStr">
        <is>
          <t>[]</t>
        </is>
      </c>
      <c r="AH461" s="2" t="inlineStr">
        <is>
          <t>其他Notes</t>
        </is>
      </c>
      <c r="AI461" s="2" t="inlineStr"/>
      <c r="AJ461" s="2" t="inlineStr">
        <is>
          <t>{"template_sheet": "Notes", "template_row": 12, "template_cell": "B12", "template_value_or_formula": "Illustrative placeholder for other financial statement notes.", "calculation_type": "reported_input", "dependencies": [], "source_template": "Copy of Output_CSV Template.xlsx"}</t>
        </is>
      </c>
    </row>
    <row r="462">
      <c r="A462" s="2" t="inlineStr">
        <is>
          <t>notes__confirmed_with_rm</t>
        </is>
      </c>
      <c r="B462" s="2" t="inlineStr">
        <is>
          <t>Confirmed with RM</t>
        </is>
      </c>
      <c r="C462" s="2" t="inlineStr">
        <is>
          <t>notes</t>
        </is>
      </c>
      <c r="D462" s="2" t="inlineStr">
        <is>
          <t>Extract the reported value for 'Confirmed with RM' from the stated section. Do not calculate or replace it from other rows, because the revised template does not designate this field as formula-driven.</t>
        </is>
      </c>
      <c r="E462" s="2" t="inlineStr">
        <is>
          <t>Confirmed with RM</t>
        </is>
      </c>
      <c r="F462" s="2" t="inlineStr">
        <is>
          <t>Confirmed with RM</t>
        </is>
      </c>
      <c r="G462" s="2" t="inlineStr">
        <is>
          <t>^Confirmed\s+with\s+RM$</t>
        </is>
      </c>
      <c r="H462" s="2" t="inlineStr"/>
      <c r="I462" s="2" t="inlineStr">
        <is>
          <t>Amounts or disclosures explicitly reported for Confirmed with RM in Notes / notes.</t>
        </is>
      </c>
      <c r="J462" s="2" t="inlineStr">
        <is>
          <t>Do not substitute another section, period, entity scope, currency or unit; do not double count a parent and its children.</t>
        </is>
      </c>
      <c r="K462" s="2" t="inlineStr"/>
      <c r="L462" s="2" t="inlineStr">
        <is>
          <t>as_reported</t>
        </is>
      </c>
      <c r="M462" s="2" t="inlineStr">
        <is>
          <t>direct_exclusive</t>
        </is>
      </c>
      <c r="N462" s="2" t="n">
        <v>90</v>
      </c>
      <c r="O462" s="2" t="inlineStr">
        <is>
          <t>normalized_exact_then_regex</t>
        </is>
      </c>
      <c r="P462" s="3" t="inlineStr">
        <is>
          <t>extract</t>
        </is>
      </c>
      <c r="Q462" s="2" t="inlineStr">
        <is>
          <t>text_or_enum</t>
        </is>
      </c>
      <c r="R462" s="2" t="inlineStr">
        <is>
          <t>as_disclosed</t>
        </is>
      </c>
      <c r="S462" s="2" t="inlineStr">
        <is>
          <t>allowed_with_provenance</t>
        </is>
      </c>
      <c r="T462" s="2" t="b">
        <v>0</v>
      </c>
      <c r="U462" s="2" t="b">
        <v>0</v>
      </c>
      <c r="V462" s="2" t="inlineStr"/>
      <c r="W462" s="2" t="inlineStr"/>
      <c r="X462" s="2" t="inlineStr">
        <is>
          <t>Decompose only from explicit face or note evidence; never fabricate a split.</t>
        </is>
      </c>
      <c r="Y462" s="2" t="inlineStr">
        <is>
          <t>Aggregate only mutually exclusive facts with identical period, scope, currency and unit.</t>
        </is>
      </c>
      <c r="Z462" s="2" t="inlineStr">
        <is>
          <t>Bind only to Notes / notes.</t>
        </is>
      </c>
      <c r="AA462" s="2" t="inlineStr"/>
      <c r="AB462" s="2" t="b">
        <v>1</v>
      </c>
      <c r="AC462" s="2" t="inlineStr"/>
      <c r="AD462" s="2" t="inlineStr">
        <is>
          <t>Exact field from Notes!A13; value cell B13.</t>
        </is>
      </c>
      <c r="AE462" s="2" t="inlineStr">
        <is>
          <t>Notes may support direct extraction or decomposition with provenance. Formula outputs must be derived only from template dependencies.</t>
        </is>
      </c>
      <c r="AF462" s="2" t="inlineStr"/>
      <c r="AG462" s="2" t="inlineStr">
        <is>
          <t>[]</t>
        </is>
      </c>
      <c r="AH462" s="2" t="inlineStr">
        <is>
          <t>Confirmed with RM</t>
        </is>
      </c>
      <c r="AI462" s="2" t="inlineStr"/>
      <c r="AJ462" s="2" t="inlineStr">
        <is>
          <t>{"template_sheet": "Notes", "template_row": 13, "template_cell": "B13", "template_value_or_formula": "Pending relationship-manager confirmation — illustrative status.", "calculation_type": "reported_input", "dependencies": [], "source_template": "Copy of Output_CSV Template.xlsx"}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showGridLines="0" workbookViewId="0">
      <pane ySplit="1" topLeftCell="A2" activePane="bottomLeft" state="frozen"/>
      <selection pane="bottomLeft" activeCell="A1" sqref="A1"/>
    </sheetView>
  </sheetViews>
  <sheetFormatPr baseColWidth="8" defaultRowHeight="15"/>
  <cols>
    <col width="19" customWidth="1" min="1" max="1"/>
    <col width="19" customWidth="1" min="2" max="2"/>
    <col width="26" customWidth="1" min="3" max="3"/>
    <col width="48" customWidth="1" min="4" max="4"/>
  </cols>
  <sheetData>
    <row r="1" ht="30" customHeight="1">
      <c r="A1" s="1" t="inlineStr">
        <is>
          <t>Section key</t>
        </is>
      </c>
      <c r="B1" s="1" t="inlineStr">
        <is>
          <t>Section label</t>
        </is>
      </c>
      <c r="C1" s="1" t="inlineStr">
        <is>
          <t>Template sheet</t>
        </is>
      </c>
      <c r="D1" s="1" t="inlineStr">
        <is>
          <t>Binding rule</t>
        </is>
      </c>
    </row>
    <row r="2">
      <c r="A2" s="2" t="inlineStr">
        <is>
          <t>general</t>
        </is>
      </c>
      <c r="B2" s="2" t="inlineStr">
        <is>
          <t>General</t>
        </is>
      </c>
      <c r="C2" s="2" t="inlineStr">
        <is>
          <t>Statement Setup</t>
        </is>
      </c>
      <c r="D2" s="2" t="inlineStr">
        <is>
          <t>Bind only to Statement Setup / general.</t>
        </is>
      </c>
    </row>
    <row r="3">
      <c r="A3" s="2" t="inlineStr">
        <is>
          <t>bs_nca</t>
        </is>
      </c>
      <c r="B3" s="2" t="inlineStr">
        <is>
          <t>Bs Nca</t>
        </is>
      </c>
      <c r="C3" s="2" t="inlineStr">
        <is>
          <t>Balance Sheet</t>
        </is>
      </c>
      <c r="D3" s="2" t="inlineStr">
        <is>
          <t>Bind only to Balance Sheet / bs_nca.</t>
        </is>
      </c>
    </row>
    <row r="4">
      <c r="A4" s="2" t="inlineStr">
        <is>
          <t>bs_ca</t>
        </is>
      </c>
      <c r="B4" s="2" t="inlineStr">
        <is>
          <t>Bs Ca</t>
        </is>
      </c>
      <c r="C4" s="2" t="inlineStr">
        <is>
          <t>Balance Sheet</t>
        </is>
      </c>
      <c r="D4" s="2" t="inlineStr">
        <is>
          <t>Bind only to Balance Sheet / bs_ca.</t>
        </is>
      </c>
    </row>
    <row r="5">
      <c r="A5" s="2" t="inlineStr">
        <is>
          <t>bs_equity</t>
        </is>
      </c>
      <c r="B5" s="2" t="inlineStr">
        <is>
          <t>Bs Equity</t>
        </is>
      </c>
      <c r="C5" s="2" t="inlineStr">
        <is>
          <t>Balance Sheet</t>
        </is>
      </c>
      <c r="D5" s="2" t="inlineStr">
        <is>
          <t>Bind only to Balance Sheet / bs_equity.</t>
        </is>
      </c>
    </row>
    <row r="6">
      <c r="A6" s="2" t="inlineStr">
        <is>
          <t>bs_ncl</t>
        </is>
      </c>
      <c r="B6" s="2" t="inlineStr">
        <is>
          <t>Bs Ncl</t>
        </is>
      </c>
      <c r="C6" s="2" t="inlineStr">
        <is>
          <t>Balance Sheet</t>
        </is>
      </c>
      <c r="D6" s="2" t="inlineStr">
        <is>
          <t>Bind only to Balance Sheet / bs_ncl.</t>
        </is>
      </c>
    </row>
    <row r="7">
      <c r="A7" s="2" t="inlineStr">
        <is>
          <t>bs_cl</t>
        </is>
      </c>
      <c r="B7" s="2" t="inlineStr">
        <is>
          <t>Bs Cl</t>
        </is>
      </c>
      <c r="C7" s="2" t="inlineStr">
        <is>
          <t>Balance Sheet</t>
        </is>
      </c>
      <c r="D7" s="2" t="inlineStr">
        <is>
          <t>Bind only to Balance Sheet / bs_cl.</t>
        </is>
      </c>
    </row>
    <row r="8">
      <c r="A8" s="2" t="inlineStr">
        <is>
          <t>is_pl</t>
        </is>
      </c>
      <c r="B8" s="2" t="inlineStr">
        <is>
          <t>Is Pl</t>
        </is>
      </c>
      <c r="C8" s="2" t="inlineStr">
        <is>
          <t>Income Statement</t>
        </is>
      </c>
      <c r="D8" s="2" t="inlineStr">
        <is>
          <t>Bind only to Income Statement / is_pl.</t>
        </is>
      </c>
    </row>
    <row r="9">
      <c r="A9" s="2" t="inlineStr">
        <is>
          <t>is_oci</t>
        </is>
      </c>
      <c r="B9" s="2" t="inlineStr">
        <is>
          <t>Is Oci</t>
        </is>
      </c>
      <c r="C9" s="2" t="inlineStr">
        <is>
          <t>Income Statement</t>
        </is>
      </c>
      <c r="D9" s="2" t="inlineStr">
        <is>
          <t>Bind only to Income Statement / is_oci.</t>
        </is>
      </c>
    </row>
    <row r="10">
      <c r="A10" s="2" t="inlineStr">
        <is>
          <t>is_retained</t>
        </is>
      </c>
      <c r="B10" s="2" t="inlineStr">
        <is>
          <t>Is Retained</t>
        </is>
      </c>
      <c r="C10" s="2" t="inlineStr">
        <is>
          <t>Income Statement</t>
        </is>
      </c>
      <c r="D10" s="2" t="inlineStr">
        <is>
          <t>Bind only to Income Statement / is_retained.</t>
        </is>
      </c>
    </row>
    <row r="11">
      <c r="A11" s="2" t="inlineStr">
        <is>
          <t>cf_oper_indirect</t>
        </is>
      </c>
      <c r="B11" s="2" t="inlineStr">
        <is>
          <t>Cf Oper Indirect</t>
        </is>
      </c>
      <c r="C11" s="2" t="inlineStr">
        <is>
          <t>Cash Flow</t>
        </is>
      </c>
      <c r="D11" s="2" t="inlineStr">
        <is>
          <t>Bind only to Cash Flow / cf_oper_indirect.</t>
        </is>
      </c>
    </row>
    <row r="12">
      <c r="A12" s="2" t="inlineStr">
        <is>
          <t>cf_oper_direct</t>
        </is>
      </c>
      <c r="B12" s="2" t="inlineStr">
        <is>
          <t>Cf Oper Direct</t>
        </is>
      </c>
      <c r="C12" s="2" t="inlineStr">
        <is>
          <t>Cash Flow</t>
        </is>
      </c>
      <c r="D12" s="2" t="inlineStr">
        <is>
          <t>Bind only to Cash Flow / cf_oper_direct.</t>
        </is>
      </c>
    </row>
    <row r="13">
      <c r="A13" s="2" t="inlineStr">
        <is>
          <t>cf_investing</t>
        </is>
      </c>
      <c r="B13" s="2" t="inlineStr">
        <is>
          <t>Cf Investing</t>
        </is>
      </c>
      <c r="C13" s="2" t="inlineStr">
        <is>
          <t>Cash Flow</t>
        </is>
      </c>
      <c r="D13" s="2" t="inlineStr">
        <is>
          <t>Bind only to Cash Flow / cf_investing.</t>
        </is>
      </c>
    </row>
    <row r="14">
      <c r="A14" s="2" t="inlineStr">
        <is>
          <t>cf_financing</t>
        </is>
      </c>
      <c r="B14" s="2" t="inlineStr">
        <is>
          <t>Cf Financing</t>
        </is>
      </c>
      <c r="C14" s="2" t="inlineStr">
        <is>
          <t>Cash Flow</t>
        </is>
      </c>
      <c r="D14" s="2" t="inlineStr">
        <is>
          <t>Bind only to Cash Flow / cf_financing.</t>
        </is>
      </c>
    </row>
    <row r="15">
      <c r="A15" s="2" t="inlineStr">
        <is>
          <t>supplemental_data</t>
        </is>
      </c>
      <c r="B15" s="2" t="inlineStr">
        <is>
          <t>Supplemental Data</t>
        </is>
      </c>
      <c r="C15" s="2" t="inlineStr">
        <is>
          <t>Covenants &amp; Supplemental</t>
        </is>
      </c>
      <c r="D15" s="2" t="inlineStr">
        <is>
          <t>Bind only to Covenants &amp; Supplemental / supplemental_data.</t>
        </is>
      </c>
    </row>
    <row r="16">
      <c r="A16" s="2" t="inlineStr">
        <is>
          <t>off_balance_sheet</t>
        </is>
      </c>
      <c r="B16" s="2" t="inlineStr">
        <is>
          <t>Off Balance Sheet</t>
        </is>
      </c>
      <c r="C16" s="2" t="inlineStr">
        <is>
          <t>Covenants &amp; Supplemental</t>
        </is>
      </c>
      <c r="D16" s="2" t="inlineStr">
        <is>
          <t>Bind only to Covenants &amp; Supplemental / off_balance_sheet.</t>
        </is>
      </c>
    </row>
    <row r="17">
      <c r="A17" s="2" t="inlineStr">
        <is>
          <t>credit_compliance</t>
        </is>
      </c>
      <c r="B17" s="2" t="inlineStr">
        <is>
          <t>Credit Compliance</t>
        </is>
      </c>
      <c r="C17" s="2" t="inlineStr">
        <is>
          <t>Covenants &amp; Supplemental</t>
        </is>
      </c>
      <c r="D17" s="2" t="inlineStr">
        <is>
          <t>Bind only to Covenants &amp; Supplemental / credit_compliance.</t>
        </is>
      </c>
    </row>
    <row r="18">
      <c r="A18" s="2" t="inlineStr">
        <is>
          <t>commitments</t>
        </is>
      </c>
      <c r="B18" s="2" t="inlineStr">
        <is>
          <t>Commitments</t>
        </is>
      </c>
      <c r="C18" s="2" t="inlineStr">
        <is>
          <t>Covenants &amp; Supplemental</t>
        </is>
      </c>
      <c r="D18" s="2" t="inlineStr">
        <is>
          <t>Bind only to Covenants &amp; Supplemental / commitments.</t>
        </is>
      </c>
    </row>
    <row r="19">
      <c r="A19" s="2" t="inlineStr">
        <is>
          <t>notes</t>
        </is>
      </c>
      <c r="B19" s="2" t="inlineStr">
        <is>
          <t>Notes</t>
        </is>
      </c>
      <c r="C19" s="2" t="inlineStr">
        <is>
          <t>Notes</t>
        </is>
      </c>
      <c r="D19" s="2" t="inlineStr">
        <is>
          <t>Bind only to Notes / notes.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
  <sheetViews>
    <sheetView showGridLines="0" workbookViewId="0">
      <pane ySplit="1" topLeftCell="A2" activePane="bottomLeft" state="frozen"/>
      <selection pane="bottomLeft" activeCell="A1" sqref="A1"/>
    </sheetView>
  </sheetViews>
  <sheetFormatPr baseColWidth="8" defaultRowHeight="15"/>
  <cols>
    <col width="48" customWidth="1" min="1" max="1"/>
    <col width="36" customWidth="1" min="2" max="2"/>
    <col width="30" customWidth="1" min="3" max="3"/>
    <col width="48" customWidth="1" min="4" max="4"/>
    <col width="48" customWidth="1" min="5" max="5"/>
    <col width="17" customWidth="1" min="6" max="6"/>
  </cols>
  <sheetData>
    <row r="1" ht="30" customHeight="1">
      <c r="A1" s="1" t="inlineStr">
        <is>
          <t>Canonical key</t>
        </is>
      </c>
      <c r="B1" s="1" t="inlineStr">
        <is>
          <t>Label</t>
        </is>
      </c>
      <c r="C1" s="1" t="inlineStr">
        <is>
          <t>Template cell</t>
        </is>
      </c>
      <c r="D1" s="1" t="inlineStr">
        <is>
          <t>Formula</t>
        </is>
      </c>
      <c r="E1" s="1" t="inlineStr">
        <is>
          <t>Dependency keys</t>
        </is>
      </c>
      <c r="F1" s="1" t="inlineStr">
        <is>
          <t>Extraction mode</t>
        </is>
      </c>
    </row>
    <row r="2">
      <c r="A2" s="2" t="inlineStr">
        <is>
          <t>bs_nca__gross_fixed_assets</t>
        </is>
      </c>
      <c r="B2" s="2" t="inlineStr">
        <is>
          <t>Gross Fixed Assets</t>
        </is>
      </c>
      <c r="C2" s="2" t="inlineStr">
        <is>
          <t>Balance Sheet!B14</t>
        </is>
      </c>
      <c r="D2" s="2">
        <f>SUM(B6:B13)</f>
        <v/>
      </c>
      <c r="E2" s="2" t="inlineStr">
        <is>
          <t>bs_nca__land | bs_nca__construction_in_progress</t>
        </is>
      </c>
      <c r="F2" s="2" t="inlineStr">
        <is>
          <t>derive</t>
        </is>
      </c>
    </row>
    <row r="3">
      <c r="A3" s="2" t="inlineStr">
        <is>
          <t>bs_nca__accum_deprec_and_impairment</t>
        </is>
      </c>
      <c r="B3" s="2" t="inlineStr">
        <is>
          <t>Accum Deprec &amp; Impairment(-)</t>
        </is>
      </c>
      <c r="C3" s="2" t="inlineStr">
        <is>
          <t>Balance Sheet!B15</t>
        </is>
      </c>
      <c r="D3" s="2">
        <f>-ROUND(B14*35%,0)</f>
        <v/>
      </c>
      <c r="E3" s="2" t="inlineStr">
        <is>
          <t>bs_nca__gross_fixed_assets</t>
        </is>
      </c>
      <c r="F3" s="2" t="inlineStr">
        <is>
          <t>derive</t>
        </is>
      </c>
    </row>
    <row r="4">
      <c r="A4" s="2" t="inlineStr">
        <is>
          <t>bs_nca__net_fixed_assets</t>
        </is>
      </c>
      <c r="B4" s="2" t="inlineStr">
        <is>
          <t>Net Fixed Assets</t>
        </is>
      </c>
      <c r="C4" s="2" t="inlineStr">
        <is>
          <t>Balance Sheet!B16</t>
        </is>
      </c>
      <c r="D4" s="2">
        <f>B14+B15</f>
        <v/>
      </c>
      <c r="E4" s="2" t="inlineStr">
        <is>
          <t>bs_nca__gross_fixed_assets | bs_nca__accum_deprec_and_impairment</t>
        </is>
      </c>
      <c r="F4" s="2" t="inlineStr">
        <is>
          <t>derive</t>
        </is>
      </c>
    </row>
    <row r="5">
      <c r="A5" s="2" t="inlineStr">
        <is>
          <t>bs_nca__accum_intgbl_assets_amort</t>
        </is>
      </c>
      <c r="B5" s="2" t="inlineStr">
        <is>
          <t>Accum Intgbl Assets Amort(-)</t>
        </is>
      </c>
      <c r="C5" s="2" t="inlineStr">
        <is>
          <t>Balance Sheet!B25</t>
        </is>
      </c>
      <c r="D5" s="2">
        <f>-ROUND(SUM(B17:B24)*20%,0)</f>
        <v/>
      </c>
      <c r="E5" s="2" t="inlineStr">
        <is>
          <t>bs_nca__goodwill | bs_nca__other_intangible_assets</t>
        </is>
      </c>
      <c r="F5" s="2" t="inlineStr">
        <is>
          <t>derive</t>
        </is>
      </c>
    </row>
    <row r="6">
      <c r="A6" s="2" t="inlineStr">
        <is>
          <t>bs_nca__net_intangibles</t>
        </is>
      </c>
      <c r="B6" s="2" t="inlineStr">
        <is>
          <t>Net Intangibles</t>
        </is>
      </c>
      <c r="C6" s="2" t="inlineStr">
        <is>
          <t>Balance Sheet!B26</t>
        </is>
      </c>
      <c r="D6" s="2">
        <f>SUM(B17:B25)</f>
        <v/>
      </c>
      <c r="E6" s="2" t="inlineStr">
        <is>
          <t>bs_nca__goodwill | bs_nca__accum_intgbl_assets_amort</t>
        </is>
      </c>
      <c r="F6" s="2" t="inlineStr">
        <is>
          <t>derive</t>
        </is>
      </c>
    </row>
    <row r="7">
      <c r="A7" s="2" t="inlineStr">
        <is>
          <t>bs_nca__total_non_current_assets</t>
        </is>
      </c>
      <c r="B7" s="2" t="inlineStr">
        <is>
          <t>Total Non-Current Assets</t>
        </is>
      </c>
      <c r="C7" s="2" t="inlineStr">
        <is>
          <t>Balance Sheet!B59</t>
        </is>
      </c>
      <c r="D7" s="2">
        <f>B16+B26+SUM(B27:B58)</f>
        <v/>
      </c>
      <c r="E7" s="2" t="inlineStr">
        <is>
          <t>bs_nca__net_fixed_assets | bs_nca__net_intangibles | bs_nca__investment_property_net | bs_nca__restricted_cash</t>
        </is>
      </c>
      <c r="F7" s="2" t="inlineStr">
        <is>
          <t>derive</t>
        </is>
      </c>
    </row>
    <row r="8">
      <c r="A8" s="2" t="inlineStr">
        <is>
          <t>bs_ca__inventories</t>
        </is>
      </c>
      <c r="B8" s="2" t="inlineStr">
        <is>
          <t>Inventories</t>
        </is>
      </c>
      <c r="C8" s="2" t="inlineStr">
        <is>
          <t>Balance Sheet!B65</t>
        </is>
      </c>
      <c r="D8" s="2">
        <f>SUM(B62:B64)</f>
        <v/>
      </c>
      <c r="E8" s="2" t="inlineStr">
        <is>
          <t>bs_ca__raw_materials | bs_ca__finished_goods</t>
        </is>
      </c>
      <c r="F8" s="2" t="inlineStr">
        <is>
          <t>derive</t>
        </is>
      </c>
    </row>
    <row r="9">
      <c r="A9" s="2" t="inlineStr">
        <is>
          <t>bs_ca__allow_for_doubtful_accounts</t>
        </is>
      </c>
      <c r="B9" s="2" t="inlineStr">
        <is>
          <t>Allow for Doubtful Accounts(-)</t>
        </is>
      </c>
      <c r="C9" s="2" t="inlineStr">
        <is>
          <t>Balance Sheet!B95</t>
        </is>
      </c>
      <c r="D9" s="2">
        <f>-ROUND(B94*5%,0)</f>
        <v/>
      </c>
      <c r="E9" s="2" t="inlineStr">
        <is>
          <t>bs_ca__trade_receivables_gross</t>
        </is>
      </c>
      <c r="F9" s="2" t="inlineStr">
        <is>
          <t>derive</t>
        </is>
      </c>
    </row>
    <row r="10">
      <c r="A10" s="2" t="inlineStr">
        <is>
          <t>bs_ca__net_trade_receivables</t>
        </is>
      </c>
      <c r="B10" s="2" t="inlineStr">
        <is>
          <t>Net Trade Receivables</t>
        </is>
      </c>
      <c r="C10" s="2" t="inlineStr">
        <is>
          <t>Balance Sheet!B96</t>
        </is>
      </c>
      <c r="D10" s="2">
        <f>B94+B95</f>
        <v/>
      </c>
      <c r="E10" s="2" t="inlineStr">
        <is>
          <t>bs_ca__trade_receivables_gross | bs_ca__allow_for_doubtful_accounts</t>
        </is>
      </c>
      <c r="F10" s="2" t="inlineStr">
        <is>
          <t>derive</t>
        </is>
      </c>
    </row>
    <row r="11">
      <c r="A11" s="2" t="inlineStr">
        <is>
          <t>bs_ca__total_current_assets</t>
        </is>
      </c>
      <c r="B11" s="2" t="inlineStr">
        <is>
          <t>Total Current Assets</t>
        </is>
      </c>
      <c r="C11" s="2" t="inlineStr">
        <is>
          <t>Balance Sheet!B105</t>
        </is>
      </c>
      <c r="D11" s="2">
        <f>B61+B65+SUM(B66:B93)+B96+SUM(B97:B104)</f>
        <v/>
      </c>
      <c r="E11" s="2" t="inlineStr">
        <is>
          <t>bs_ca__operating_lease_receivables | bs_ca__inventories | bs_ca__due_from_jvs_and_partnerships | bs_ca__trade_and_other_receivables | bs_ca__net_trade_receivables | bs_ca__subscribed_capital_called_not_paid | bs_ca__cash_in_hand_and_at_banks</t>
        </is>
      </c>
      <c r="F11" s="2" t="inlineStr">
        <is>
          <t>derive</t>
        </is>
      </c>
    </row>
    <row r="12">
      <c r="A12" s="2" t="inlineStr">
        <is>
          <t>bs_ca__total_assets</t>
        </is>
      </c>
      <c r="B12" s="2" t="inlineStr">
        <is>
          <t>Total Assets</t>
        </is>
      </c>
      <c r="C12" s="2" t="inlineStr">
        <is>
          <t>Balance Sheet!B106</t>
        </is>
      </c>
      <c r="D12" s="2">
        <f>B59+B105</f>
        <v/>
      </c>
      <c r="E12" s="2" t="inlineStr">
        <is>
          <t>bs_nca__total_non_current_assets | bs_ca__total_current_assets</t>
        </is>
      </c>
      <c r="F12" s="2" t="inlineStr">
        <is>
          <t>derive</t>
        </is>
      </c>
    </row>
    <row r="13">
      <c r="A13" s="2" t="inlineStr">
        <is>
          <t>bs_equity__permanent_equity</t>
        </is>
      </c>
      <c r="B13" s="2" t="inlineStr">
        <is>
          <t>Permanent Equity</t>
        </is>
      </c>
      <c r="C13" s="2" t="inlineStr">
        <is>
          <t>Balance Sheet!B113</t>
        </is>
      </c>
      <c r="D13" s="2">
        <f>SUM(B108:B112)</f>
        <v/>
      </c>
      <c r="E13" s="2" t="inlineStr">
        <is>
          <t>bs_equity__common_share_capital | bs_equity__capital_and_restricted_reserves</t>
        </is>
      </c>
      <c r="F13" s="2" t="inlineStr">
        <is>
          <t>derive</t>
        </is>
      </c>
    </row>
    <row r="14">
      <c r="A14" s="2" t="inlineStr">
        <is>
          <t>bs_equity__retained_profits</t>
        </is>
      </c>
      <c r="B14" s="2" t="inlineStr">
        <is>
          <t>Retained Profits</t>
        </is>
      </c>
      <c r="C14" s="2" t="inlineStr">
        <is>
          <t>Balance Sheet!B118</t>
        </is>
      </c>
      <c r="D14" s="2">
        <f>B106-B165-B217-B127-B113-SUM(B114:B117)-SUM(B119:B125)</f>
        <v/>
      </c>
      <c r="E14" s="2" t="inlineStr">
        <is>
          <t>bs_ca__total_assets | bs_ncl__total_non_current_liabilities | bs_cl__total_current_liabilities | bs_equity__minority_interest_equity | bs_equity__permanent_equity | bs_equity__revaluation_reserves | bs_equity__auditor_adj_on_retained_profits | bs_equity__treasury_shares | bs_equity__accum_oth_eqty_rsrv_inc</t>
        </is>
      </c>
      <c r="F14" s="2" t="inlineStr">
        <is>
          <t>derive</t>
        </is>
      </c>
    </row>
    <row r="15">
      <c r="A15" s="2" t="inlineStr">
        <is>
          <t>bs_equity__total_equity_and_reserves</t>
        </is>
      </c>
      <c r="B15" s="2" t="inlineStr">
        <is>
          <t>Total Equity &amp; Reserves</t>
        </is>
      </c>
      <c r="C15" s="2" t="inlineStr">
        <is>
          <t>Balance Sheet!B128</t>
        </is>
      </c>
      <c r="D15" s="2">
        <f>B126+B127</f>
        <v/>
      </c>
      <c r="E15" s="2" t="inlineStr">
        <is>
          <t>bs_equity__minority_interest_equity</t>
        </is>
      </c>
      <c r="F15" s="2" t="inlineStr">
        <is>
          <t>derive</t>
        </is>
      </c>
    </row>
    <row r="16">
      <c r="A16" s="2" t="inlineStr">
        <is>
          <t>bs_ncl__total_non_current_liabilities</t>
        </is>
      </c>
      <c r="B16" s="2" t="inlineStr">
        <is>
          <t>Total Non-Current Liabilities</t>
        </is>
      </c>
      <c r="C16" s="2" t="inlineStr">
        <is>
          <t>Balance Sheet!B165</t>
        </is>
      </c>
      <c r="D16" s="2">
        <f>SUM(B130:B164)</f>
        <v/>
      </c>
      <c r="E16" s="2" t="inlineStr">
        <is>
          <t>bs_ncl__ltd_bank | bs_ncl__other_provisions_ltp</t>
        </is>
      </c>
      <c r="F16" s="2" t="inlineStr">
        <is>
          <t>derive</t>
        </is>
      </c>
    </row>
    <row r="17">
      <c r="A17" s="2" t="inlineStr">
        <is>
          <t>bs_cl__total_current_liabilities</t>
        </is>
      </c>
      <c r="B17" s="2" t="inlineStr">
        <is>
          <t>Total Current Liabilities</t>
        </is>
      </c>
      <c r="C17" s="2" t="inlineStr">
        <is>
          <t>Balance Sheet!B217</t>
        </is>
      </c>
      <c r="D17" s="2">
        <f>SUM(B167:B216)</f>
        <v/>
      </c>
      <c r="E17" s="2" t="inlineStr">
        <is>
          <t>bs_cl__cpltd_bank | bs_cl__other_provisions_cp</t>
        </is>
      </c>
      <c r="F17" s="2" t="inlineStr">
        <is>
          <t>derive</t>
        </is>
      </c>
    </row>
    <row r="18">
      <c r="A18" s="2" t="inlineStr">
        <is>
          <t>bs_cl__total_liabilities</t>
        </is>
      </c>
      <c r="B18" s="2" t="inlineStr">
        <is>
          <t>Total Liabilities</t>
        </is>
      </c>
      <c r="C18" s="2" t="inlineStr">
        <is>
          <t>Balance Sheet!B219</t>
        </is>
      </c>
      <c r="D18" s="2">
        <f>B165+B217</f>
        <v/>
      </c>
      <c r="E18" s="2" t="inlineStr">
        <is>
          <t>bs_ncl__total_non_current_liabilities | bs_cl__total_current_liabilities</t>
        </is>
      </c>
      <c r="F18" s="2" t="inlineStr">
        <is>
          <t>derive</t>
        </is>
      </c>
    </row>
    <row r="19">
      <c r="A19" s="2" t="inlineStr">
        <is>
          <t>bs_cl__total_equity_and_liabilities</t>
        </is>
      </c>
      <c r="B19" s="2" t="inlineStr">
        <is>
          <t>Total Equity and Liabilities</t>
        </is>
      </c>
      <c r="C19" s="2" t="inlineStr">
        <is>
          <t>Balance Sheet!B220</t>
        </is>
      </c>
      <c r="D19" s="2">
        <f>B128+B219</f>
        <v/>
      </c>
      <c r="E19" s="2" t="inlineStr">
        <is>
          <t>bs_equity__total_equity_and_reserves | bs_cl__total_liabilities</t>
        </is>
      </c>
      <c r="F19" s="2" t="inlineStr">
        <is>
          <t>derive</t>
        </is>
      </c>
    </row>
    <row r="20">
      <c r="A20" s="2" t="inlineStr">
        <is>
          <t>is_pl__total_cost_of_sales</t>
        </is>
      </c>
      <c r="B20" s="2" t="inlineStr">
        <is>
          <t>Total Cost of Sales</t>
        </is>
      </c>
      <c r="C20" s="2" t="inlineStr">
        <is>
          <t>Income Statement!B17</t>
        </is>
      </c>
      <c r="D20" s="2">
        <f>SUM(B10:B16)</f>
        <v/>
      </c>
      <c r="E20" s="2" t="inlineStr">
        <is>
          <t>is_pl__derivatives_cos | is_pl__deprec_and_impairment_cos</t>
        </is>
      </c>
      <c r="F20" s="2" t="inlineStr">
        <is>
          <t>derive</t>
        </is>
      </c>
    </row>
    <row r="21">
      <c r="A21" s="2" t="inlineStr">
        <is>
          <t>is_pl__gross_profit</t>
        </is>
      </c>
      <c r="B21" s="2" t="inlineStr">
        <is>
          <t>Gross Profit</t>
        </is>
      </c>
      <c r="C21" s="2" t="inlineStr">
        <is>
          <t>Income Statement!B18</t>
        </is>
      </c>
      <c r="D21" s="2">
        <f>SUM(B6:B9)-B17</f>
        <v/>
      </c>
      <c r="E21" s="2" t="inlineStr">
        <is>
          <t>is_pl__sales_revenues | is_pl__expenses_own_work_capitalized | is_pl__total_cost_of_sales</t>
        </is>
      </c>
      <c r="F21" s="2" t="inlineStr">
        <is>
          <t>derive</t>
        </is>
      </c>
    </row>
    <row r="22">
      <c r="A22" s="2" t="inlineStr">
        <is>
          <t>is_pl__net_operating_profit</t>
        </is>
      </c>
      <c r="B22" s="2" t="inlineStr">
        <is>
          <t>Net Operating Profit</t>
        </is>
      </c>
      <c r="C22" s="2" t="inlineStr">
        <is>
          <t>Income Statement!B48</t>
        </is>
      </c>
      <c r="D22" s="2">
        <f>B18+SUM(B19:B23)-SUM(B24:B47)</f>
        <v/>
      </c>
      <c r="E22" s="2" t="inlineStr">
        <is>
          <t>is_pl__gross_profit | is_pl__rents_and_royalty_income | is_pl__grants_and_subsidies | is_pl__selling_and_marketing_expenses | is_pl__capitalized_costs</t>
        </is>
      </c>
      <c r="F22" s="2" t="inlineStr">
        <is>
          <t>derive</t>
        </is>
      </c>
    </row>
    <row r="23">
      <c r="A23" s="2" t="inlineStr">
        <is>
          <t>is_pl__net_interest_income_expense</t>
        </is>
      </c>
      <c r="B23" s="2" t="inlineStr">
        <is>
          <t>Net Interest Income(Expense)</t>
        </is>
      </c>
      <c r="C23" s="2" t="inlineStr">
        <is>
          <t>Income Statement!B64</t>
        </is>
      </c>
      <c r="D23" s="2">
        <f>SUM(B49:B52)-SUM(B53:B63)</f>
        <v/>
      </c>
      <c r="E23" s="2" t="inlineStr">
        <is>
          <t>is_pl__interest_income_from_derivatives | is_pl__interest_income | is_pl__interest_on_lease_liabilities | is_pl__deferred_interest_expense</t>
        </is>
      </c>
      <c r="F23" s="2" t="inlineStr">
        <is>
          <t>derive</t>
        </is>
      </c>
    </row>
    <row r="24">
      <c r="A24" s="2" t="inlineStr">
        <is>
          <t>is_pl__net_other_financial_inc_exp</t>
        </is>
      </c>
      <c r="B24" s="2" t="inlineStr">
        <is>
          <t>Net Other Financial Inc(Exp)</t>
        </is>
      </c>
      <c r="C24" s="2" t="inlineStr">
        <is>
          <t>Income Statement!B78</t>
        </is>
      </c>
      <c r="D24" s="2">
        <f>SUM(B65:B77)</f>
        <v/>
      </c>
      <c r="E24" s="2" t="inlineStr">
        <is>
          <t>is_pl__income_loss_from_related_party | is_pl__fmv_adj_on_fncl_assets</t>
        </is>
      </c>
      <c r="F24" s="2" t="inlineStr">
        <is>
          <t>derive</t>
        </is>
      </c>
    </row>
    <row r="25">
      <c r="A25" s="2" t="inlineStr">
        <is>
          <t>is_pl__other_income_expense</t>
        </is>
      </c>
      <c r="B25" s="2" t="inlineStr">
        <is>
          <t>Other Income(Expense)</t>
        </is>
      </c>
      <c r="C25" s="2" t="inlineStr">
        <is>
          <t>Income Statement!B87</t>
        </is>
      </c>
      <c r="D25" s="2">
        <f>SUM(B79:B86)</f>
        <v/>
      </c>
      <c r="E25" s="2" t="inlineStr">
        <is>
          <t>is_pl__gain_loss_disp_of_fixed_assets | is_pl__other_non_oper_inc_exp_nc</t>
        </is>
      </c>
      <c r="F25" s="2" t="inlineStr">
        <is>
          <t>derive</t>
        </is>
      </c>
    </row>
    <row r="26">
      <c r="A26" s="2" t="inlineStr">
        <is>
          <t>is_pl__profit_loss_before_tax</t>
        </is>
      </c>
      <c r="B26" s="2" t="inlineStr">
        <is>
          <t>Profit(Loss) Before Tax</t>
        </is>
      </c>
      <c r="C26" s="2" t="inlineStr">
        <is>
          <t>Income Statement!B88</t>
        </is>
      </c>
      <c r="D26" s="2">
        <f>B48+B64+B78+B87</f>
        <v/>
      </c>
      <c r="E26" s="2" t="inlineStr">
        <is>
          <t>is_pl__net_operating_profit | is_pl__net_interest_income_expense | is_pl__net_other_financial_inc_exp | is_pl__other_income_expense</t>
        </is>
      </c>
      <c r="F26" s="2" t="inlineStr">
        <is>
          <t>derive</t>
        </is>
      </c>
    </row>
    <row r="27">
      <c r="A27" s="2" t="inlineStr">
        <is>
          <t>is_pl__total_income_tax</t>
        </is>
      </c>
      <c r="B27" s="2" t="inlineStr">
        <is>
          <t>Total Income Tax</t>
        </is>
      </c>
      <c r="C27" s="2" t="inlineStr">
        <is>
          <t>Income Statement!B92</t>
        </is>
      </c>
      <c r="D27" s="2">
        <f>SUM(B89:B91)</f>
        <v/>
      </c>
      <c r="E27" s="2" t="inlineStr">
        <is>
          <t>is_pl__current_income_taxes | is_pl__prior_year_tax_adj</t>
        </is>
      </c>
      <c r="F27" s="2" t="inlineStr">
        <is>
          <t>derive</t>
        </is>
      </c>
    </row>
    <row r="28">
      <c r="A28" s="2" t="inlineStr">
        <is>
          <t>is_pl__profit_loss_bef_extraord_items</t>
        </is>
      </c>
      <c r="B28" s="2" t="inlineStr">
        <is>
          <t>Profit(Loss) Bef Extraord Items</t>
        </is>
      </c>
      <c r="C28" s="2" t="inlineStr">
        <is>
          <t>Income Statement!B93</t>
        </is>
      </c>
      <c r="D28" s="2">
        <f>B88-B92</f>
        <v/>
      </c>
      <c r="E28" s="2" t="inlineStr">
        <is>
          <t>is_pl__profit_loss_before_tax | is_pl__total_income_tax</t>
        </is>
      </c>
      <c r="F28" s="2" t="inlineStr">
        <is>
          <t>derive</t>
        </is>
      </c>
    </row>
    <row r="29">
      <c r="A29" s="2" t="inlineStr">
        <is>
          <t>is_pl__profit_for_the_year</t>
        </is>
      </c>
      <c r="B29" s="2" t="inlineStr">
        <is>
          <t>Profit for the year</t>
        </is>
      </c>
      <c r="C29" s="2" t="inlineStr">
        <is>
          <t>Income Statement!B97</t>
        </is>
      </c>
      <c r="D29" s="2">
        <f>B93+SUM(B94:B96)</f>
        <v/>
      </c>
      <c r="E29" s="2" t="inlineStr">
        <is>
          <t>is_pl__profit_loss_bef_extraord_items | is_pl__extraordinary_income_exp | is_pl__minority_interests_pl</t>
        </is>
      </c>
      <c r="F29" s="2" t="inlineStr">
        <is>
          <t>derive</t>
        </is>
      </c>
    </row>
    <row r="30">
      <c r="A30" s="2" t="inlineStr">
        <is>
          <t>is_oci__total_other_comprehensive_income</t>
        </is>
      </c>
      <c r="B30" s="2" t="inlineStr">
        <is>
          <t>Total Other Comprehensive Income</t>
        </is>
      </c>
      <c r="C30" s="2" t="inlineStr">
        <is>
          <t>Income Statement!B106</t>
        </is>
      </c>
      <c r="D30" s="2">
        <f>SUM(B99:B105)</f>
        <v/>
      </c>
      <c r="E30" s="2" t="inlineStr">
        <is>
          <t>is_oci__unreal_gain_loss_fixed_assets | is_oci__other_equity_and_reserves_adj</t>
        </is>
      </c>
      <c r="F30" s="2" t="inlineStr">
        <is>
          <t>derive</t>
        </is>
      </c>
    </row>
    <row r="31">
      <c r="A31" s="2" t="inlineStr">
        <is>
          <t>cf_oper_indirect__cash_flows_oper_activ_indirect</t>
        </is>
      </c>
      <c r="B31" s="2" t="inlineStr">
        <is>
          <t>Cash Flows Oper Activ(Indirect)</t>
        </is>
      </c>
      <c r="C31" s="2" t="inlineStr">
        <is>
          <t>Cash Flow!B37</t>
        </is>
      </c>
      <c r="D31" s="2">
        <f>SUM(B6:B36)</f>
        <v/>
      </c>
      <c r="E31" s="2" t="inlineStr">
        <is>
          <t>cf_oper_indirect__net_profit_loss | cf_oper_indirect__other_non_cash_adjs_oper</t>
        </is>
      </c>
      <c r="F31" s="2" t="inlineStr">
        <is>
          <t>derive</t>
        </is>
      </c>
    </row>
    <row r="32">
      <c r="A32" s="2" t="inlineStr">
        <is>
          <t>cf_oper_direct__cash_flows_oper_activ_direct</t>
        </is>
      </c>
      <c r="B32" s="2" t="inlineStr">
        <is>
          <t>Cash Flows Oper Activ(Direct)</t>
        </is>
      </c>
      <c r="C32" s="2" t="inlineStr">
        <is>
          <t>Cash Flow!B44</t>
        </is>
      </c>
      <c r="D32" s="2">
        <f>SUM(B39:B43)</f>
        <v/>
      </c>
      <c r="E32" s="2" t="inlineStr">
        <is>
          <t>cf_oper_direct__cash_receipts_from_customers | cf_oper_direct__borrowing_costs_paid</t>
        </is>
      </c>
      <c r="F32" s="2" t="inlineStr">
        <is>
          <t>derive</t>
        </is>
      </c>
    </row>
    <row r="33">
      <c r="A33" s="2" t="inlineStr">
        <is>
          <t>cf_investing__cash_flows_from_invest_activities</t>
        </is>
      </c>
      <c r="B33" s="2" t="inlineStr">
        <is>
          <t>Cash Flows from Invest Activities</t>
        </is>
      </c>
      <c r="C33" s="2" t="inlineStr">
        <is>
          <t>Cash Flow!B66</t>
        </is>
      </c>
      <c r="D33" s="2">
        <f>SUM(B46:B65)</f>
        <v/>
      </c>
      <c r="E33" s="2" t="inlineStr">
        <is>
          <t>cf_investing__purchase_intangible_assets | cf_investing__other_invest_cash_flows</t>
        </is>
      </c>
      <c r="F33" s="2" t="inlineStr">
        <is>
          <t>derive</t>
        </is>
      </c>
    </row>
    <row r="34">
      <c r="A34" s="2" t="inlineStr">
        <is>
          <t>cf_financing__cash_flows_from_finance_activities</t>
        </is>
      </c>
      <c r="B34" s="2" t="inlineStr">
        <is>
          <t>Cash Flows from Finance Activities</t>
        </is>
      </c>
      <c r="C34" s="2" t="inlineStr">
        <is>
          <t>Cash Flow!B81</t>
        </is>
      </c>
      <c r="D34" s="2">
        <f>SUM(B68:B80)</f>
        <v/>
      </c>
      <c r="E34" s="2" t="inlineStr">
        <is>
          <t>cf_financing__net_proceeds_issuance_of_capital | cf_financing__other_financing_cash_flows</t>
        </is>
      </c>
      <c r="F34" s="2" t="inlineStr">
        <is>
          <t>derive</t>
        </is>
      </c>
    </row>
    <row r="35">
      <c r="A35" s="2" t="inlineStr">
        <is>
          <t>cf_financing__end_of_period_cash_and_cash_equiv</t>
        </is>
      </c>
      <c r="B35" s="2" t="inlineStr">
        <is>
          <t>End of Period-Cash &amp; Cash Equiv</t>
        </is>
      </c>
      <c r="C35" s="2" t="inlineStr">
        <is>
          <t>Cash Flow!B84</t>
        </is>
      </c>
      <c r="D35" s="2">
        <f>B83+B37+B66+B81+B82</f>
        <v/>
      </c>
      <c r="E35" s="2" t="inlineStr">
        <is>
          <t>cf_financing__beg_of_period_cash_and_cash_equiv | cf_oper_indirect__cash_flows_oper_activ_indirect | cf_investing__cash_flows_from_invest_activities | cf_financing__cash_flows_from_finance_activities | cf_financing__net_foreign_exchange_difference</t>
        </is>
      </c>
      <c r="F35" s="2" t="inlineStr">
        <is>
          <t>derive</t>
        </is>
      </c>
    </row>
    <row r="36">
      <c r="A36" s="2" t="inlineStr">
        <is>
          <t>cf_financing__unexplained_adjustment_to_cash</t>
        </is>
      </c>
      <c r="B36" s="2" t="inlineStr">
        <is>
          <t>Unexplained Adjustment to Cash</t>
        </is>
      </c>
      <c r="C36" s="2" t="inlineStr">
        <is>
          <t>Cash Flow!B85</t>
        </is>
      </c>
      <c r="D36" s="2">
        <f>B84-B83-B37-B66-B81-B82</f>
        <v/>
      </c>
      <c r="E36" s="2" t="inlineStr">
        <is>
          <t>cf_financing__end_of_period_cash_and_cash_equiv | cf_financing__beg_of_period_cash_and_cash_equiv | cf_oper_indirect__cash_flows_oper_activ_indirect | cf_investing__cash_flows_from_invest_activities | cf_financing__cash_flows_from_finance_activities | cf_financing__net_foreign_exchange_difference</t>
        </is>
      </c>
      <c r="F36" s="2" t="inlineStr">
        <is>
          <t>derive</t>
        </is>
      </c>
    </row>
    <row r="37">
      <c r="A37" s="2" t="inlineStr">
        <is>
          <t>commitments__capital_commitments</t>
        </is>
      </c>
      <c r="B37" s="2" t="inlineStr">
        <is>
          <t>Capital Commitments</t>
        </is>
      </c>
      <c r="C37" s="2" t="inlineStr">
        <is>
          <t>Covenants &amp; Supplemental!B49</t>
        </is>
      </c>
      <c r="D37" s="2">
        <f>SUM(B45:B48)</f>
        <v/>
      </c>
      <c r="E37" s="2" t="inlineStr">
        <is>
          <t>commitments__capital_commitments_for_fixed_assets | commitments__capital_commitments_for_investments</t>
        </is>
      </c>
      <c r="F37" s="2" t="inlineStr">
        <is>
          <t>derive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62"/>
  <sheetViews>
    <sheetView showGridLines="0"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48" customWidth="1" min="4" max="4"/>
    <col width="48" customWidth="1" min="5" max="5"/>
    <col width="29" customWidth="1" min="6" max="6"/>
    <col width="16" customWidth="1" min="7" max="7"/>
    <col width="26" customWidth="1" min="8" max="8"/>
  </cols>
  <sheetData>
    <row r="1" ht="30" customHeight="1">
      <c r="A1" s="1" t="inlineStr">
        <is>
          <t>Template sheet</t>
        </is>
      </c>
      <c r="B1" s="1" t="inlineStr">
        <is>
          <t>Row</t>
        </is>
      </c>
      <c r="C1" s="1" t="inlineStr">
        <is>
          <t>Cell</t>
        </is>
      </c>
      <c r="D1" s="1" t="inlineStr">
        <is>
          <t>Label</t>
        </is>
      </c>
      <c r="E1" s="1" t="inlineStr">
        <is>
          <t>Canonical key</t>
        </is>
      </c>
      <c r="F1" s="1" t="inlineStr">
        <is>
          <t>Cell content</t>
        </is>
      </c>
      <c r="G1" s="1" t="inlineStr">
        <is>
          <t>Classification</t>
        </is>
      </c>
      <c r="H1" s="1" t="inlineStr">
        <is>
          <t>Ontology extraction mode</t>
        </is>
      </c>
    </row>
    <row r="2">
      <c r="A2" s="2" t="inlineStr">
        <is>
          <t>Statement Setup</t>
        </is>
      </c>
      <c r="B2" s="2" t="n">
        <v>5</v>
      </c>
      <c r="C2" s="2" t="inlineStr">
        <is>
          <t>B5</t>
        </is>
      </c>
      <c r="D2" s="2" t="inlineStr">
        <is>
          <t>Customer's Name</t>
        </is>
      </c>
      <c r="E2" s="2" t="inlineStr">
        <is>
          <t>general__customers_name</t>
        </is>
      </c>
      <c r="F2" s="2" t="inlineStr">
        <is>
          <t>AA</t>
        </is>
      </c>
      <c r="G2" s="2" t="inlineStr">
        <is>
          <t>reported_input</t>
        </is>
      </c>
      <c r="H2" s="2" t="inlineStr">
        <is>
          <t>extract</t>
        </is>
      </c>
    </row>
    <row r="3">
      <c r="A3" s="2" t="inlineStr">
        <is>
          <t>Statement Setup</t>
        </is>
      </c>
      <c r="B3" s="2" t="n">
        <v>6</v>
      </c>
      <c r="C3" s="2" t="inlineStr">
        <is>
          <t>B6</t>
        </is>
      </c>
      <c r="D3" s="2" t="inlineStr">
        <is>
          <t>Customer Statement Type</t>
        </is>
      </c>
      <c r="E3" s="2" t="inlineStr">
        <is>
          <t>general__customer_statement_type</t>
        </is>
      </c>
      <c r="F3" s="2" t="inlineStr">
        <is>
          <t>Consolidated</t>
        </is>
      </c>
      <c r="G3" s="2" t="inlineStr">
        <is>
          <t>reported_input</t>
        </is>
      </c>
      <c r="H3" s="2" t="inlineStr">
        <is>
          <t>extract</t>
        </is>
      </c>
    </row>
    <row r="4">
      <c r="A4" s="2" t="inlineStr">
        <is>
          <t>Statement Setup</t>
        </is>
      </c>
      <c r="B4" s="2" t="n">
        <v>7</v>
      </c>
      <c r="C4" s="2" t="inlineStr">
        <is>
          <t>B7</t>
        </is>
      </c>
      <c r="D4" s="2" t="inlineStr">
        <is>
          <t>Rounding</t>
        </is>
      </c>
      <c r="E4" s="2" t="inlineStr">
        <is>
          <t>general__rounding</t>
        </is>
      </c>
      <c r="F4" s="2" t="inlineStr">
        <is>
          <t>ACTUAL</t>
        </is>
      </c>
      <c r="G4" s="2" t="inlineStr">
        <is>
          <t>reported_input</t>
        </is>
      </c>
      <c r="H4" s="2" t="inlineStr">
        <is>
          <t>extract</t>
        </is>
      </c>
    </row>
    <row r="5">
      <c r="A5" s="2" t="inlineStr">
        <is>
          <t>Statement Setup</t>
        </is>
      </c>
      <c r="B5" s="2" t="n">
        <v>8</v>
      </c>
      <c r="C5" s="2" t="inlineStr">
        <is>
          <t>B8</t>
        </is>
      </c>
      <c r="D5" s="2" t="inlineStr">
        <is>
          <t>Source Currency</t>
        </is>
      </c>
      <c r="E5" s="2" t="inlineStr">
        <is>
          <t>general__source_currency</t>
        </is>
      </c>
      <c r="F5" s="2" t="inlineStr">
        <is>
          <t>HKD</t>
        </is>
      </c>
      <c r="G5" s="2" t="inlineStr">
        <is>
          <t>reported_input</t>
        </is>
      </c>
      <c r="H5" s="2" t="inlineStr">
        <is>
          <t>extract</t>
        </is>
      </c>
    </row>
    <row r="6">
      <c r="A6" s="2" t="inlineStr">
        <is>
          <t>Statement Setup</t>
        </is>
      </c>
      <c r="B6" s="2" t="n">
        <v>9</v>
      </c>
      <c r="C6" s="2" t="inlineStr">
        <is>
          <t>B9</t>
        </is>
      </c>
      <c r="D6" s="2" t="inlineStr">
        <is>
          <t>Target Currency</t>
        </is>
      </c>
      <c r="E6" s="2" t="inlineStr">
        <is>
          <t>general__target_currency</t>
        </is>
      </c>
      <c r="F6" s="2" t="inlineStr">
        <is>
          <t>HKD</t>
        </is>
      </c>
      <c r="G6" s="2" t="inlineStr">
        <is>
          <t>reported_input</t>
        </is>
      </c>
      <c r="H6" s="2" t="inlineStr">
        <is>
          <t>extract</t>
        </is>
      </c>
    </row>
    <row r="7">
      <c r="A7" s="2" t="inlineStr">
        <is>
          <t>Statement Setup</t>
        </is>
      </c>
      <c r="B7" s="2" t="n">
        <v>10</v>
      </c>
      <c r="C7" s="2" t="inlineStr">
        <is>
          <t>B10</t>
        </is>
      </c>
      <c r="D7" s="2" t="inlineStr">
        <is>
          <t>Statement Date</t>
        </is>
      </c>
      <c r="E7" s="2" t="inlineStr">
        <is>
          <t>general__statement_date</t>
        </is>
      </c>
      <c r="F7" s="2" t="inlineStr">
        <is>
          <t>31/12/2020</t>
        </is>
      </c>
      <c r="G7" s="2" t="inlineStr">
        <is>
          <t>reported_input</t>
        </is>
      </c>
      <c r="H7" s="2" t="inlineStr">
        <is>
          <t>extract</t>
        </is>
      </c>
    </row>
    <row r="8">
      <c r="A8" s="2" t="inlineStr">
        <is>
          <t>Statement Setup</t>
        </is>
      </c>
      <c r="B8" s="2" t="n">
        <v>11</v>
      </c>
      <c r="C8" s="2" t="inlineStr">
        <is>
          <t>B11</t>
        </is>
      </c>
      <c r="D8" s="2" t="inlineStr">
        <is>
          <t>Periods</t>
        </is>
      </c>
      <c r="E8" s="2" t="inlineStr">
        <is>
          <t>general__periods</t>
        </is>
      </c>
      <c r="F8" s="2" t="inlineStr">
        <is>
          <t>12</t>
        </is>
      </c>
      <c r="G8" s="2" t="inlineStr">
        <is>
          <t>reported_input</t>
        </is>
      </c>
      <c r="H8" s="2" t="inlineStr">
        <is>
          <t>extract</t>
        </is>
      </c>
    </row>
    <row r="9">
      <c r="A9" s="2" t="inlineStr">
        <is>
          <t>Statement Setup</t>
        </is>
      </c>
      <c r="B9" s="2" t="n">
        <v>12</v>
      </c>
      <c r="C9" s="2" t="inlineStr">
        <is>
          <t>B12</t>
        </is>
      </c>
      <c r="D9" s="2" t="inlineStr">
        <is>
          <t>Total Assets</t>
        </is>
      </c>
      <c r="E9" s="2" t="inlineStr">
        <is>
          <t>general__total_assets</t>
        </is>
      </c>
      <c r="F9" s="2" t="inlineStr">
        <is>
          <t>2120</t>
        </is>
      </c>
      <c r="G9" s="2" t="inlineStr">
        <is>
          <t>reported_input</t>
        </is>
      </c>
      <c r="H9" s="2" t="inlineStr">
        <is>
          <t>extract</t>
        </is>
      </c>
    </row>
    <row r="10">
      <c r="A10" s="2" t="inlineStr">
        <is>
          <t>Statement Setup</t>
        </is>
      </c>
      <c r="B10" s="2" t="n">
        <v>13</v>
      </c>
      <c r="C10" s="2" t="inlineStr">
        <is>
          <t>B13</t>
        </is>
      </c>
      <c r="D10" s="2" t="inlineStr">
        <is>
          <t>Total Equity &amp; Reserves &amp; Liab</t>
        </is>
      </c>
      <c r="E10" s="2" t="inlineStr">
        <is>
          <t>general__total_equity_and_reserves_and_liab</t>
        </is>
      </c>
      <c r="F10" s="2" t="inlineStr">
        <is>
          <t>2120</t>
        </is>
      </c>
      <c r="G10" s="2" t="inlineStr">
        <is>
          <t>reported_input</t>
        </is>
      </c>
      <c r="H10" s="2" t="inlineStr">
        <is>
          <t>extract</t>
        </is>
      </c>
    </row>
    <row r="11">
      <c r="A11" s="2" t="inlineStr">
        <is>
          <t>Statement Setup</t>
        </is>
      </c>
      <c r="B11" s="2" t="n">
        <v>14</v>
      </c>
      <c r="C11" s="2" t="inlineStr">
        <is>
          <t>B14</t>
        </is>
      </c>
      <c r="D11" s="2" t="inlineStr">
        <is>
          <t>Total Income &amp; Expenses</t>
        </is>
      </c>
      <c r="E11" s="2" t="inlineStr">
        <is>
          <t>general__total_income_and_expenses</t>
        </is>
      </c>
      <c r="F11" s="2" t="inlineStr">
        <is>
          <t>209</t>
        </is>
      </c>
      <c r="G11" s="2" t="inlineStr">
        <is>
          <t>reported_input</t>
        </is>
      </c>
      <c r="H11" s="2" t="inlineStr">
        <is>
          <t>extract</t>
        </is>
      </c>
    </row>
    <row r="12">
      <c r="A12" s="2" t="inlineStr">
        <is>
          <t>Statement Setup</t>
        </is>
      </c>
      <c r="B12" s="2" t="n">
        <v>15</v>
      </c>
      <c r="C12" s="2" t="inlineStr">
        <is>
          <t>B15</t>
        </is>
      </c>
      <c r="D12" s="2" t="inlineStr">
        <is>
          <t>Difference</t>
        </is>
      </c>
      <c r="E12" s="2" t="inlineStr">
        <is>
          <t>general__difference</t>
        </is>
      </c>
      <c r="F12" s="2" t="inlineStr">
        <is>
          <t>0</t>
        </is>
      </c>
      <c r="G12" s="2" t="inlineStr">
        <is>
          <t>reported_input</t>
        </is>
      </c>
      <c r="H12" s="2" t="inlineStr">
        <is>
          <t>extract</t>
        </is>
      </c>
    </row>
    <row r="13">
      <c r="A13" s="2" t="inlineStr">
        <is>
          <t>Statement Setup</t>
        </is>
      </c>
      <c r="B13" s="2" t="n">
        <v>16</v>
      </c>
      <c r="C13" s="2" t="inlineStr">
        <is>
          <t>B16</t>
        </is>
      </c>
      <c r="D13" s="2" t="inlineStr">
        <is>
          <t>Unexplained Adj to Ret Profits</t>
        </is>
      </c>
      <c r="E13" s="2" t="inlineStr">
        <is>
          <t>general__unexplained_adj_to_ret_profits</t>
        </is>
      </c>
      <c r="F13" s="2" t="inlineStr">
        <is>
          <t>0</t>
        </is>
      </c>
      <c r="G13" s="2" t="inlineStr">
        <is>
          <t>reported_input</t>
        </is>
      </c>
      <c r="H13" s="2" t="inlineStr">
        <is>
          <t>extract</t>
        </is>
      </c>
    </row>
    <row r="14">
      <c r="A14" s="2" t="inlineStr">
        <is>
          <t>Statement Setup</t>
        </is>
      </c>
      <c r="B14" s="2" t="n">
        <v>17</v>
      </c>
      <c r="C14" s="2" t="inlineStr">
        <is>
          <t>B17</t>
        </is>
      </c>
      <c r="D14" s="2" t="inlineStr">
        <is>
          <t>Audit Opinion(Stmt Source)</t>
        </is>
      </c>
      <c r="E14" s="2" t="inlineStr">
        <is>
          <t>general__audit_opinion_stmt_source</t>
        </is>
      </c>
      <c r="F14" s="2" t="inlineStr">
        <is>
          <t>Unqualified</t>
        </is>
      </c>
      <c r="G14" s="2" t="inlineStr">
        <is>
          <t>reported_input</t>
        </is>
      </c>
      <c r="H14" s="2" t="inlineStr">
        <is>
          <t>extract</t>
        </is>
      </c>
    </row>
    <row r="15">
      <c r="A15" s="2" t="inlineStr">
        <is>
          <t>Statement Setup</t>
        </is>
      </c>
      <c r="B15" s="2" t="n">
        <v>18</v>
      </c>
      <c r="C15" s="2" t="inlineStr">
        <is>
          <t>B18</t>
        </is>
      </c>
      <c r="D15" s="2" t="inlineStr">
        <is>
          <t>Accounting Standard</t>
        </is>
      </c>
      <c r="E15" s="2" t="inlineStr">
        <is>
          <t>general__accounting_standard</t>
        </is>
      </c>
      <c r="F15" s="2" t="inlineStr">
        <is>
          <t>IFRS</t>
        </is>
      </c>
      <c r="G15" s="2" t="inlineStr">
        <is>
          <t>reported_input</t>
        </is>
      </c>
      <c r="H15" s="2" t="inlineStr">
        <is>
          <t>extract</t>
        </is>
      </c>
    </row>
    <row r="16">
      <c r="A16" s="2" t="inlineStr">
        <is>
          <t>Statement Setup</t>
        </is>
      </c>
      <c r="B16" s="2" t="n">
        <v>19</v>
      </c>
      <c r="C16" s="2" t="inlineStr">
        <is>
          <t>B19</t>
        </is>
      </c>
      <c r="D16" s="2" t="inlineStr">
        <is>
          <t>Accountant</t>
        </is>
      </c>
      <c r="E16" s="2" t="inlineStr">
        <is>
          <t>general__accountant</t>
        </is>
      </c>
      <c r="F16" s="2" t="inlineStr">
        <is>
          <t>BB</t>
        </is>
      </c>
      <c r="G16" s="2" t="inlineStr">
        <is>
          <t>reported_input</t>
        </is>
      </c>
      <c r="H16" s="2" t="inlineStr">
        <is>
          <t>extract</t>
        </is>
      </c>
    </row>
    <row r="17">
      <c r="A17" s="2" t="inlineStr">
        <is>
          <t>Statement Setup</t>
        </is>
      </c>
      <c r="B17" s="2" t="n">
        <v>20</v>
      </c>
      <c r="C17" s="2" t="inlineStr">
        <is>
          <t>B20</t>
        </is>
      </c>
      <c r="D17" s="2" t="inlineStr">
        <is>
          <t>Analyst</t>
        </is>
      </c>
      <c r="E17" s="2" t="inlineStr">
        <is>
          <t>general__analyst</t>
        </is>
      </c>
      <c r="F17" s="2" t="inlineStr">
        <is>
          <t>CC</t>
        </is>
      </c>
      <c r="G17" s="2" t="inlineStr">
        <is>
          <t>reported_input</t>
        </is>
      </c>
      <c r="H17" s="2" t="inlineStr">
        <is>
          <t>extract</t>
        </is>
      </c>
    </row>
    <row r="18">
      <c r="A18" s="2" t="inlineStr">
        <is>
          <t>Statement Setup</t>
        </is>
      </c>
      <c r="B18" s="2" t="n">
        <v>21</v>
      </c>
      <c r="C18" s="2" t="inlineStr">
        <is>
          <t>B21</t>
        </is>
      </c>
      <c r="D18" s="2" t="inlineStr">
        <is>
          <t>Statement type</t>
        </is>
      </c>
      <c r="E18" s="2" t="inlineStr">
        <is>
          <t>general__statement_type</t>
        </is>
      </c>
      <c r="F18" s="2" t="inlineStr">
        <is>
          <t>Annual</t>
        </is>
      </c>
      <c r="G18" s="2" t="inlineStr">
        <is>
          <t>reported_input</t>
        </is>
      </c>
      <c r="H18" s="2" t="inlineStr">
        <is>
          <t>extract</t>
        </is>
      </c>
    </row>
    <row r="19">
      <c r="A19" s="2" t="inlineStr">
        <is>
          <t>Statement Setup</t>
        </is>
      </c>
      <c r="B19" s="2" t="n">
        <v>22</v>
      </c>
      <c r="C19" s="2" t="inlineStr">
        <is>
          <t>B22</t>
        </is>
      </c>
      <c r="D19" s="2" t="inlineStr">
        <is>
          <t>Status</t>
        </is>
      </c>
      <c r="E19" s="2" t="inlineStr">
        <is>
          <t>general__status</t>
        </is>
      </c>
      <c r="F19" s="2" t="inlineStr">
        <is>
          <t>Work In Progress</t>
        </is>
      </c>
      <c r="G19" s="2" t="inlineStr">
        <is>
          <t>reported_input</t>
        </is>
      </c>
      <c r="H19" s="2" t="inlineStr">
        <is>
          <t>extract</t>
        </is>
      </c>
    </row>
    <row r="20">
      <c r="A20" s="2" t="inlineStr">
        <is>
          <t>Statement Setup</t>
        </is>
      </c>
      <c r="B20" s="2" t="n">
        <v>23</v>
      </c>
      <c r="C20" s="2" t="inlineStr">
        <is>
          <t>B23</t>
        </is>
      </c>
      <c r="D20" s="2" t="inlineStr">
        <is>
          <t>Reconcile To</t>
        </is>
      </c>
      <c r="E20" s="2" t="inlineStr">
        <is>
          <t>general__reconcile_to</t>
        </is>
      </c>
      <c r="F20" s="2" t="inlineStr">
        <is>
          <t>31/12/2019</t>
        </is>
      </c>
      <c r="G20" s="2" t="inlineStr">
        <is>
          <t>reported_input</t>
        </is>
      </c>
      <c r="H20" s="2" t="inlineStr">
        <is>
          <t>extract</t>
        </is>
      </c>
    </row>
    <row r="21">
      <c r="A21" s="2" t="inlineStr">
        <is>
          <t>Balance Sheet</t>
        </is>
      </c>
      <c r="B21" s="2" t="n">
        <v>6</v>
      </c>
      <c r="C21" s="2" t="inlineStr">
        <is>
          <t>B6</t>
        </is>
      </c>
      <c r="D21" s="2" t="inlineStr">
        <is>
          <t>Land</t>
        </is>
      </c>
      <c r="E21" s="2" t="inlineStr">
        <is>
          <t>bs_nca__land</t>
        </is>
      </c>
      <c r="F21" s="2" t="inlineStr">
        <is>
          <t>26</t>
        </is>
      </c>
      <c r="G21" s="2" t="inlineStr">
        <is>
          <t>reported_input</t>
        </is>
      </c>
      <c r="H21" s="2" t="inlineStr">
        <is>
          <t>extract</t>
        </is>
      </c>
    </row>
    <row r="22">
      <c r="A22" s="2" t="inlineStr">
        <is>
          <t>Balance Sheet</t>
        </is>
      </c>
      <c r="B22" s="2" t="n">
        <v>7</v>
      </c>
      <c r="C22" s="2" t="inlineStr">
        <is>
          <t>B7</t>
        </is>
      </c>
      <c r="D22" s="2" t="inlineStr">
        <is>
          <t>Buildings</t>
        </is>
      </c>
      <c r="E22" s="2" t="inlineStr">
        <is>
          <t>bs_nca__buildings</t>
        </is>
      </c>
      <c r="F22" s="2" t="inlineStr">
        <is>
          <t>43</t>
        </is>
      </c>
      <c r="G22" s="2" t="inlineStr">
        <is>
          <t>reported_input</t>
        </is>
      </c>
      <c r="H22" s="2" t="inlineStr">
        <is>
          <t>extract</t>
        </is>
      </c>
    </row>
    <row r="23">
      <c r="A23" s="2" t="inlineStr">
        <is>
          <t>Balance Sheet</t>
        </is>
      </c>
      <c r="B23" s="2" t="n">
        <v>8</v>
      </c>
      <c r="C23" s="2" t="inlineStr">
        <is>
          <t>B8</t>
        </is>
      </c>
      <c r="D23" s="2" t="inlineStr">
        <is>
          <t>Leasehold Improvements</t>
        </is>
      </c>
      <c r="E23" s="2" t="inlineStr">
        <is>
          <t>bs_nca__leasehold_improvements</t>
        </is>
      </c>
      <c r="F23" s="2" t="inlineStr">
        <is>
          <t>17</t>
        </is>
      </c>
      <c r="G23" s="2" t="inlineStr">
        <is>
          <t>reported_input</t>
        </is>
      </c>
      <c r="H23" s="2" t="inlineStr">
        <is>
          <t>extract</t>
        </is>
      </c>
    </row>
    <row r="24">
      <c r="A24" s="2" t="inlineStr">
        <is>
          <t>Balance Sheet</t>
        </is>
      </c>
      <c r="B24" s="2" t="n">
        <v>9</v>
      </c>
      <c r="C24" s="2" t="inlineStr">
        <is>
          <t>B9</t>
        </is>
      </c>
      <c r="D24" s="2" t="inlineStr">
        <is>
          <t>Plant &amp; Equipment</t>
        </is>
      </c>
      <c r="E24" s="2" t="inlineStr">
        <is>
          <t>bs_nca__plant_and_equipment</t>
        </is>
      </c>
      <c r="F24" s="2" t="inlineStr">
        <is>
          <t>34</t>
        </is>
      </c>
      <c r="G24" s="2" t="inlineStr">
        <is>
          <t>reported_input</t>
        </is>
      </c>
      <c r="H24" s="2" t="inlineStr">
        <is>
          <t>extract</t>
        </is>
      </c>
    </row>
    <row r="25">
      <c r="A25" s="2" t="inlineStr">
        <is>
          <t>Balance Sheet</t>
        </is>
      </c>
      <c r="B25" s="2" t="n">
        <v>10</v>
      </c>
      <c r="C25" s="2" t="inlineStr">
        <is>
          <t>B10</t>
        </is>
      </c>
      <c r="D25" s="2" t="inlineStr">
        <is>
          <t>Furniture &amp; Fixtures</t>
        </is>
      </c>
      <c r="E25" s="2" t="inlineStr">
        <is>
          <t>bs_nca__furniture_and_fixtures</t>
        </is>
      </c>
      <c r="F25" s="2" t="inlineStr">
        <is>
          <t>51</t>
        </is>
      </c>
      <c r="G25" s="2" t="inlineStr">
        <is>
          <t>reported_input</t>
        </is>
      </c>
      <c r="H25" s="2" t="inlineStr">
        <is>
          <t>extract</t>
        </is>
      </c>
    </row>
    <row r="26">
      <c r="A26" s="2" t="inlineStr">
        <is>
          <t>Balance Sheet</t>
        </is>
      </c>
      <c r="B26" s="2" t="n">
        <v>11</v>
      </c>
      <c r="C26" s="2" t="inlineStr">
        <is>
          <t>B11</t>
        </is>
      </c>
      <c r="D26" s="2" t="inlineStr">
        <is>
          <t>Vehicles &amp; Transport Equipment</t>
        </is>
      </c>
      <c r="E26" s="2" t="inlineStr">
        <is>
          <t>bs_nca__vehicles_and_transport_equipment</t>
        </is>
      </c>
      <c r="F26" s="2" t="inlineStr">
        <is>
          <t>25</t>
        </is>
      </c>
      <c r="G26" s="2" t="inlineStr">
        <is>
          <t>reported_input</t>
        </is>
      </c>
      <c r="H26" s="2" t="inlineStr">
        <is>
          <t>extract</t>
        </is>
      </c>
    </row>
    <row r="27">
      <c r="A27" s="2" t="inlineStr">
        <is>
          <t>Balance Sheet</t>
        </is>
      </c>
      <c r="B27" s="2" t="n">
        <v>12</v>
      </c>
      <c r="C27" s="2" t="inlineStr">
        <is>
          <t>B12</t>
        </is>
      </c>
      <c r="D27" s="2" t="inlineStr">
        <is>
          <t>Other Fixed Assets</t>
        </is>
      </c>
      <c r="E27" s="2" t="inlineStr">
        <is>
          <t>bs_nca__other_fixed_assets</t>
        </is>
      </c>
      <c r="F27" s="2" t="inlineStr">
        <is>
          <t>42</t>
        </is>
      </c>
      <c r="G27" s="2" t="inlineStr">
        <is>
          <t>reported_input</t>
        </is>
      </c>
      <c r="H27" s="2" t="inlineStr">
        <is>
          <t>extract</t>
        </is>
      </c>
    </row>
    <row r="28">
      <c r="A28" s="2" t="inlineStr">
        <is>
          <t>Balance Sheet</t>
        </is>
      </c>
      <c r="B28" s="2" t="n">
        <v>13</v>
      </c>
      <c r="C28" s="2" t="inlineStr">
        <is>
          <t>B13</t>
        </is>
      </c>
      <c r="D28" s="2" t="inlineStr">
        <is>
          <t>Construction in Progress</t>
        </is>
      </c>
      <c r="E28" s="2" t="inlineStr">
        <is>
          <t>bs_nca__construction_in_progress</t>
        </is>
      </c>
      <c r="F28" s="2" t="inlineStr">
        <is>
          <t>16</t>
        </is>
      </c>
      <c r="G28" s="2" t="inlineStr">
        <is>
          <t>reported_input</t>
        </is>
      </c>
      <c r="H28" s="2" t="inlineStr">
        <is>
          <t>extract</t>
        </is>
      </c>
    </row>
    <row r="29">
      <c r="A29" s="2" t="inlineStr">
        <is>
          <t>Balance Sheet</t>
        </is>
      </c>
      <c r="B29" s="2" t="n">
        <v>14</v>
      </c>
      <c r="C29" s="2" t="inlineStr">
        <is>
          <t>B14</t>
        </is>
      </c>
      <c r="D29" s="2" t="inlineStr">
        <is>
          <t>Gross Fixed Assets</t>
        </is>
      </c>
      <c r="E29" s="2" t="inlineStr">
        <is>
          <t>bs_nca__gross_fixed_assets</t>
        </is>
      </c>
      <c r="F29" s="2">
        <f>SUM(B6:B13)</f>
        <v/>
      </c>
      <c r="G29" s="2" t="inlineStr">
        <is>
          <t>formula</t>
        </is>
      </c>
      <c r="H29" s="2" t="inlineStr">
        <is>
          <t>derive</t>
        </is>
      </c>
    </row>
    <row r="30">
      <c r="A30" s="2" t="inlineStr">
        <is>
          <t>Balance Sheet</t>
        </is>
      </c>
      <c r="B30" s="2" t="n">
        <v>15</v>
      </c>
      <c r="C30" s="2" t="inlineStr">
        <is>
          <t>B15</t>
        </is>
      </c>
      <c r="D30" s="2" t="inlineStr">
        <is>
          <t>Accum Deprec &amp; Impairment(-)</t>
        </is>
      </c>
      <c r="E30" s="2" t="inlineStr">
        <is>
          <t>bs_nca__accum_deprec_and_impairment</t>
        </is>
      </c>
      <c r="F30" s="2">
        <f>-ROUND(B14*35%,0)</f>
        <v/>
      </c>
      <c r="G30" s="2" t="inlineStr">
        <is>
          <t>formula</t>
        </is>
      </c>
      <c r="H30" s="2" t="inlineStr">
        <is>
          <t>derive</t>
        </is>
      </c>
    </row>
    <row r="31">
      <c r="A31" s="2" t="inlineStr">
        <is>
          <t>Balance Sheet</t>
        </is>
      </c>
      <c r="B31" s="2" t="n">
        <v>16</v>
      </c>
      <c r="C31" s="2" t="inlineStr">
        <is>
          <t>B16</t>
        </is>
      </c>
      <c r="D31" s="2" t="inlineStr">
        <is>
          <t>Net Fixed Assets</t>
        </is>
      </c>
      <c r="E31" s="2" t="inlineStr">
        <is>
          <t>bs_nca__net_fixed_assets</t>
        </is>
      </c>
      <c r="F31" s="2">
        <f>B14+B15</f>
        <v/>
      </c>
      <c r="G31" s="2" t="inlineStr">
        <is>
          <t>formula</t>
        </is>
      </c>
      <c r="H31" s="2" t="inlineStr">
        <is>
          <t>derive</t>
        </is>
      </c>
    </row>
    <row r="32">
      <c r="A32" s="2" t="inlineStr">
        <is>
          <t>Balance Sheet</t>
        </is>
      </c>
      <c r="B32" s="2" t="n">
        <v>17</v>
      </c>
      <c r="C32" s="2" t="inlineStr">
        <is>
          <t>B17</t>
        </is>
      </c>
      <c r="D32" s="2" t="inlineStr">
        <is>
          <t>Goodwill</t>
        </is>
      </c>
      <c r="E32" s="2" t="inlineStr">
        <is>
          <t>bs_nca__goodwill</t>
        </is>
      </c>
      <c r="F32" s="2" t="inlineStr">
        <is>
          <t>41</t>
        </is>
      </c>
      <c r="G32" s="2" t="inlineStr">
        <is>
          <t>reported_input</t>
        </is>
      </c>
      <c r="H32" s="2" t="inlineStr">
        <is>
          <t>extract</t>
        </is>
      </c>
    </row>
    <row r="33">
      <c r="A33" s="2" t="inlineStr">
        <is>
          <t>Balance Sheet</t>
        </is>
      </c>
      <c r="B33" s="2" t="n">
        <v>18</v>
      </c>
      <c r="C33" s="2" t="inlineStr">
        <is>
          <t>B18</t>
        </is>
      </c>
      <c r="D33" s="2" t="inlineStr">
        <is>
          <t>Accum Goodwill Amortized(-)</t>
        </is>
      </c>
      <c r="E33" s="2" t="inlineStr">
        <is>
          <t>bs_nca__accum_goodwill_amortized</t>
        </is>
      </c>
      <c r="F33" s="2" t="inlineStr">
        <is>
          <t>15</t>
        </is>
      </c>
      <c r="G33" s="2" t="inlineStr">
        <is>
          <t>reported_input</t>
        </is>
      </c>
      <c r="H33" s="2" t="inlineStr">
        <is>
          <t>extract</t>
        </is>
      </c>
    </row>
    <row r="34">
      <c r="A34" s="2" t="inlineStr">
        <is>
          <t>Balance Sheet</t>
        </is>
      </c>
      <c r="B34" s="2" t="n">
        <v>19</v>
      </c>
      <c r="C34" s="2" t="inlineStr">
        <is>
          <t>B19</t>
        </is>
      </c>
      <c r="D34" s="2" t="inlineStr">
        <is>
          <t>Land use rights</t>
        </is>
      </c>
      <c r="E34" s="2" t="inlineStr">
        <is>
          <t>bs_nca__land_use_rights</t>
        </is>
      </c>
      <c r="F34" s="2" t="inlineStr">
        <is>
          <t>32</t>
        </is>
      </c>
      <c r="G34" s="2" t="inlineStr">
        <is>
          <t>reported_input</t>
        </is>
      </c>
      <c r="H34" s="2" t="inlineStr">
        <is>
          <t>extract</t>
        </is>
      </c>
    </row>
    <row r="35">
      <c r="A35" s="2" t="inlineStr">
        <is>
          <t>Balance Sheet</t>
        </is>
      </c>
      <c r="B35" s="2" t="n">
        <v>20</v>
      </c>
      <c r="C35" s="2" t="inlineStr">
        <is>
          <t>B20</t>
        </is>
      </c>
      <c r="D35" s="2" t="inlineStr">
        <is>
          <t>Concessions, Licenses &amp; Trdmrks</t>
        </is>
      </c>
      <c r="E35" s="2" t="inlineStr">
        <is>
          <t>bs_nca__concessions_licenses_and_trdmrks</t>
        </is>
      </c>
      <c r="F35" s="2" t="inlineStr">
        <is>
          <t>49</t>
        </is>
      </c>
      <c r="G35" s="2" t="inlineStr">
        <is>
          <t>reported_input</t>
        </is>
      </c>
      <c r="H35" s="2" t="inlineStr">
        <is>
          <t>extract</t>
        </is>
      </c>
    </row>
    <row r="36">
      <c r="A36" s="2" t="inlineStr">
        <is>
          <t>Balance Sheet</t>
        </is>
      </c>
      <c r="B36" s="2" t="n">
        <v>21</v>
      </c>
      <c r="C36" s="2" t="inlineStr">
        <is>
          <t>B21</t>
        </is>
      </c>
      <c r="D36" s="2" t="inlineStr">
        <is>
          <t>Patents</t>
        </is>
      </c>
      <c r="E36" s="2" t="inlineStr">
        <is>
          <t>bs_nca__patents</t>
        </is>
      </c>
      <c r="F36" s="2" t="inlineStr">
        <is>
          <t>23</t>
        </is>
      </c>
      <c r="G36" s="2" t="inlineStr">
        <is>
          <t>reported_input</t>
        </is>
      </c>
      <c r="H36" s="2" t="inlineStr">
        <is>
          <t>extract</t>
        </is>
      </c>
    </row>
    <row r="37">
      <c r="A37" s="2" t="inlineStr">
        <is>
          <t>Balance Sheet</t>
        </is>
      </c>
      <c r="B37" s="2" t="n">
        <v>22</v>
      </c>
      <c r="C37" s="2" t="inlineStr">
        <is>
          <t>B22</t>
        </is>
      </c>
      <c r="D37" s="2" t="inlineStr">
        <is>
          <t>Start-Up Capitalized Expenses</t>
        </is>
      </c>
      <c r="E37" s="2" t="inlineStr">
        <is>
          <t>bs_nca__start_up_capitalized_expenses</t>
        </is>
      </c>
      <c r="F37" s="2" t="inlineStr">
        <is>
          <t>40</t>
        </is>
      </c>
      <c r="G37" s="2" t="inlineStr">
        <is>
          <t>reported_input</t>
        </is>
      </c>
      <c r="H37" s="2" t="inlineStr">
        <is>
          <t>extract</t>
        </is>
      </c>
    </row>
    <row r="38">
      <c r="A38" s="2" t="inlineStr">
        <is>
          <t>Balance Sheet</t>
        </is>
      </c>
      <c r="B38" s="2" t="n">
        <v>23</v>
      </c>
      <c r="C38" s="2" t="inlineStr">
        <is>
          <t>B23</t>
        </is>
      </c>
      <c r="D38" s="2" t="inlineStr">
        <is>
          <t>R&amp;D Capitalized Expenses</t>
        </is>
      </c>
      <c r="E38" s="2" t="inlineStr">
        <is>
          <t>bs_nca__r_and_d_capitalized_expenses</t>
        </is>
      </c>
      <c r="F38" s="2" t="inlineStr">
        <is>
          <t>14</t>
        </is>
      </c>
      <c r="G38" s="2" t="inlineStr">
        <is>
          <t>reported_input</t>
        </is>
      </c>
      <c r="H38" s="2" t="inlineStr">
        <is>
          <t>extract</t>
        </is>
      </c>
    </row>
    <row r="39">
      <c r="A39" s="2" t="inlineStr">
        <is>
          <t>Balance Sheet</t>
        </is>
      </c>
      <c r="B39" s="2" t="n">
        <v>24</v>
      </c>
      <c r="C39" s="2" t="inlineStr">
        <is>
          <t>B24</t>
        </is>
      </c>
      <c r="D39" s="2" t="inlineStr">
        <is>
          <t>Other Intangible Assets</t>
        </is>
      </c>
      <c r="E39" s="2" t="inlineStr">
        <is>
          <t>bs_nca__other_intangible_assets</t>
        </is>
      </c>
      <c r="F39" s="2" t="inlineStr">
        <is>
          <t>31</t>
        </is>
      </c>
      <c r="G39" s="2" t="inlineStr">
        <is>
          <t>reported_input</t>
        </is>
      </c>
      <c r="H39" s="2" t="inlineStr">
        <is>
          <t>extract</t>
        </is>
      </c>
    </row>
    <row r="40">
      <c r="A40" s="2" t="inlineStr">
        <is>
          <t>Balance Sheet</t>
        </is>
      </c>
      <c r="B40" s="2" t="n">
        <v>25</v>
      </c>
      <c r="C40" s="2" t="inlineStr">
        <is>
          <t>B25</t>
        </is>
      </c>
      <c r="D40" s="2" t="inlineStr">
        <is>
          <t>Accum Intgbl Assets Amort(-)</t>
        </is>
      </c>
      <c r="E40" s="2" t="inlineStr">
        <is>
          <t>bs_nca__accum_intgbl_assets_amort</t>
        </is>
      </c>
      <c r="F40" s="2">
        <f>-ROUND(SUM(B17:B24)*20%,0)</f>
        <v/>
      </c>
      <c r="G40" s="2" t="inlineStr">
        <is>
          <t>formula</t>
        </is>
      </c>
      <c r="H40" s="2" t="inlineStr">
        <is>
          <t>derive</t>
        </is>
      </c>
    </row>
    <row r="41">
      <c r="A41" s="2" t="inlineStr">
        <is>
          <t>Balance Sheet</t>
        </is>
      </c>
      <c r="B41" s="2" t="n">
        <v>26</v>
      </c>
      <c r="C41" s="2" t="inlineStr">
        <is>
          <t>B26</t>
        </is>
      </c>
      <c r="D41" s="2" t="inlineStr">
        <is>
          <t>Net Intangibles</t>
        </is>
      </c>
      <c r="E41" s="2" t="inlineStr">
        <is>
          <t>bs_nca__net_intangibles</t>
        </is>
      </c>
      <c r="F41" s="2">
        <f>SUM(B17:B25)</f>
        <v/>
      </c>
      <c r="G41" s="2" t="inlineStr">
        <is>
          <t>formula</t>
        </is>
      </c>
      <c r="H41" s="2" t="inlineStr">
        <is>
          <t>derive</t>
        </is>
      </c>
    </row>
    <row r="42">
      <c r="A42" s="2" t="inlineStr">
        <is>
          <t>Balance Sheet</t>
        </is>
      </c>
      <c r="B42" s="2" t="n">
        <v>27</v>
      </c>
      <c r="C42" s="2" t="inlineStr">
        <is>
          <t>B27</t>
        </is>
      </c>
      <c r="D42" s="2" t="inlineStr">
        <is>
          <t>Investment Property(Net)</t>
        </is>
      </c>
      <c r="E42" s="2" t="inlineStr">
        <is>
          <t>bs_nca__investment_property_net</t>
        </is>
      </c>
      <c r="F42" s="2" t="inlineStr">
        <is>
          <t>39</t>
        </is>
      </c>
      <c r="G42" s="2" t="inlineStr">
        <is>
          <t>reported_input</t>
        </is>
      </c>
      <c r="H42" s="2" t="inlineStr">
        <is>
          <t>extract</t>
        </is>
      </c>
    </row>
    <row r="43">
      <c r="A43" s="2" t="inlineStr">
        <is>
          <t>Balance Sheet</t>
        </is>
      </c>
      <c r="B43" s="2" t="n">
        <v>28</v>
      </c>
      <c r="C43" s="2" t="inlineStr">
        <is>
          <t>B28</t>
        </is>
      </c>
      <c r="D43" s="2" t="inlineStr">
        <is>
          <t>Investment in Subsidiaries</t>
        </is>
      </c>
      <c r="E43" s="2" t="inlineStr">
        <is>
          <t>bs_nca__investment_in_subsidiaries</t>
        </is>
      </c>
      <c r="F43" s="2" t="inlineStr">
        <is>
          <t>13</t>
        </is>
      </c>
      <c r="G43" s="2" t="inlineStr">
        <is>
          <t>reported_input</t>
        </is>
      </c>
      <c r="H43" s="2" t="inlineStr">
        <is>
          <t>extract</t>
        </is>
      </c>
    </row>
    <row r="44">
      <c r="A44" s="2" t="inlineStr">
        <is>
          <t>Balance Sheet</t>
        </is>
      </c>
      <c r="B44" s="2" t="n">
        <v>29</v>
      </c>
      <c r="C44" s="2" t="inlineStr">
        <is>
          <t>B29</t>
        </is>
      </c>
      <c r="D44" s="2" t="inlineStr">
        <is>
          <t>Investments in Associates</t>
        </is>
      </c>
      <c r="E44" s="2" t="inlineStr">
        <is>
          <t>bs_nca__investments_in_associates</t>
        </is>
      </c>
      <c r="F44" s="2" t="inlineStr">
        <is>
          <t>30</t>
        </is>
      </c>
      <c r="G44" s="2" t="inlineStr">
        <is>
          <t>reported_input</t>
        </is>
      </c>
      <c r="H44" s="2" t="inlineStr">
        <is>
          <t>extract</t>
        </is>
      </c>
    </row>
    <row r="45">
      <c r="A45" s="2" t="inlineStr">
        <is>
          <t>Balance Sheet</t>
        </is>
      </c>
      <c r="B45" s="2" t="n">
        <v>30</v>
      </c>
      <c r="C45" s="2" t="inlineStr">
        <is>
          <t>B30</t>
        </is>
      </c>
      <c r="D45" s="2" t="inlineStr">
        <is>
          <t>Invest in JVs &amp; Partnerships</t>
        </is>
      </c>
      <c r="E45" s="2" t="inlineStr">
        <is>
          <t>bs_nca__invest_in_jvs_and_partnerships</t>
        </is>
      </c>
      <c r="F45" s="2" t="inlineStr">
        <is>
          <t>47</t>
        </is>
      </c>
      <c r="G45" s="2" t="inlineStr">
        <is>
          <t>reported_input</t>
        </is>
      </c>
      <c r="H45" s="2" t="inlineStr">
        <is>
          <t>extract</t>
        </is>
      </c>
    </row>
    <row r="46">
      <c r="A46" s="2" t="inlineStr">
        <is>
          <t>Balance Sheet</t>
        </is>
      </c>
      <c r="B46" s="2" t="n">
        <v>31</v>
      </c>
      <c r="C46" s="2" t="inlineStr">
        <is>
          <t>B31</t>
        </is>
      </c>
      <c r="D46" s="2" t="inlineStr">
        <is>
          <t>Entrusted loan receivables- related parties(LTP)</t>
        </is>
      </c>
      <c r="E46" s="2" t="inlineStr">
        <is>
          <t>bs_nca__entrusted_loan_receivables_related_parties_ltp</t>
        </is>
      </c>
      <c r="F46" s="2" t="inlineStr">
        <is>
          <t>21</t>
        </is>
      </c>
      <c r="G46" s="2" t="inlineStr">
        <is>
          <t>reported_input</t>
        </is>
      </c>
      <c r="H46" s="2" t="inlineStr">
        <is>
          <t>extract</t>
        </is>
      </c>
    </row>
    <row r="47">
      <c r="A47" s="2" t="inlineStr">
        <is>
          <t>Balance Sheet</t>
        </is>
      </c>
      <c r="B47" s="2" t="n">
        <v>32</v>
      </c>
      <c r="C47" s="2" t="inlineStr">
        <is>
          <t>B32</t>
        </is>
      </c>
      <c r="D47" s="2" t="inlineStr">
        <is>
          <t>Due from directors</t>
        </is>
      </c>
      <c r="E47" s="2" t="inlineStr">
        <is>
          <t>bs_nca__due_from_directors</t>
        </is>
      </c>
      <c r="F47" s="2" t="inlineStr">
        <is>
          <t>38</t>
        </is>
      </c>
      <c r="G47" s="2" t="inlineStr">
        <is>
          <t>reported_input</t>
        </is>
      </c>
      <c r="H47" s="2" t="inlineStr">
        <is>
          <t>extract</t>
        </is>
      </c>
    </row>
    <row r="48">
      <c r="A48" s="2" t="inlineStr">
        <is>
          <t>Balance Sheet</t>
        </is>
      </c>
      <c r="B48" s="2" t="n">
        <v>33</v>
      </c>
      <c r="C48" s="2" t="inlineStr">
        <is>
          <t>B33</t>
        </is>
      </c>
      <c r="D48" s="2" t="inlineStr">
        <is>
          <t>Due from subsidiaries</t>
        </is>
      </c>
      <c r="E48" s="2" t="inlineStr">
        <is>
          <t>bs_nca__due_from_subsidiaries</t>
        </is>
      </c>
      <c r="F48" s="2" t="inlineStr">
        <is>
          <t>12</t>
        </is>
      </c>
      <c r="G48" s="2" t="inlineStr">
        <is>
          <t>reported_input</t>
        </is>
      </c>
      <c r="H48" s="2" t="inlineStr">
        <is>
          <t>extract</t>
        </is>
      </c>
    </row>
    <row r="49">
      <c r="A49" s="2" t="inlineStr">
        <is>
          <t>Balance Sheet</t>
        </is>
      </c>
      <c r="B49" s="2" t="n">
        <v>34</v>
      </c>
      <c r="C49" s="2" t="inlineStr">
        <is>
          <t>B34</t>
        </is>
      </c>
      <c r="D49" s="2" t="inlineStr">
        <is>
          <t>Due from Related Parties(LTP)</t>
        </is>
      </c>
      <c r="E49" s="2" t="inlineStr">
        <is>
          <t>bs_nca__due_from_related_parties_ltp</t>
        </is>
      </c>
      <c r="F49" s="2" t="inlineStr">
        <is>
          <t>29</t>
        </is>
      </c>
      <c r="G49" s="2" t="inlineStr">
        <is>
          <t>reported_input</t>
        </is>
      </c>
      <c r="H49" s="2" t="inlineStr">
        <is>
          <t>extract</t>
        </is>
      </c>
    </row>
    <row r="50">
      <c r="A50" s="2" t="inlineStr">
        <is>
          <t>Balance Sheet</t>
        </is>
      </c>
      <c r="B50" s="2" t="n">
        <v>35</v>
      </c>
      <c r="C50" s="2" t="inlineStr">
        <is>
          <t>B35</t>
        </is>
      </c>
      <c r="D50" s="2" t="inlineStr">
        <is>
          <t>Entrusted loan receivables- shareholders(LTP)</t>
        </is>
      </c>
      <c r="E50" s="2" t="inlineStr">
        <is>
          <t>bs_nca__entrusted_loan_receivables_shareholders_ltp</t>
        </is>
      </c>
      <c r="F50" s="2" t="inlineStr">
        <is>
          <t>46</t>
        </is>
      </c>
      <c r="G50" s="2" t="inlineStr">
        <is>
          <t>reported_input</t>
        </is>
      </c>
      <c r="H50" s="2" t="inlineStr">
        <is>
          <t>extract</t>
        </is>
      </c>
    </row>
    <row r="51">
      <c r="A51" s="2" t="inlineStr">
        <is>
          <t>Balance Sheet</t>
        </is>
      </c>
      <c r="B51" s="2" t="n">
        <v>36</v>
      </c>
      <c r="C51" s="2" t="inlineStr">
        <is>
          <t>B36</t>
        </is>
      </c>
      <c r="D51" s="2" t="inlineStr">
        <is>
          <t>Due from MI</t>
        </is>
      </c>
      <c r="E51" s="2" t="inlineStr">
        <is>
          <t>bs_nca__due_from_mi</t>
        </is>
      </c>
      <c r="F51" s="2" t="inlineStr">
        <is>
          <t>20</t>
        </is>
      </c>
      <c r="G51" s="2" t="inlineStr">
        <is>
          <t>reported_input</t>
        </is>
      </c>
      <c r="H51" s="2" t="inlineStr">
        <is>
          <t>extract</t>
        </is>
      </c>
    </row>
    <row r="52">
      <c r="A52" s="2" t="inlineStr">
        <is>
          <t>Balance Sheet</t>
        </is>
      </c>
      <c r="B52" s="2" t="n">
        <v>37</v>
      </c>
      <c r="C52" s="2" t="inlineStr">
        <is>
          <t>B37</t>
        </is>
      </c>
      <c r="D52" s="2" t="inlineStr">
        <is>
          <t>Due from S'holder(LTP)</t>
        </is>
      </c>
      <c r="E52" s="2" t="inlineStr">
        <is>
          <t>bs_nca__due_from_sholder_ltp</t>
        </is>
      </c>
      <c r="F52" s="2" t="inlineStr">
        <is>
          <t>37</t>
        </is>
      </c>
      <c r="G52" s="2" t="inlineStr">
        <is>
          <t>reported_input</t>
        </is>
      </c>
      <c r="H52" s="2" t="inlineStr">
        <is>
          <t>extract</t>
        </is>
      </c>
    </row>
    <row r="53">
      <c r="A53" s="2" t="inlineStr">
        <is>
          <t>Balance Sheet</t>
        </is>
      </c>
      <c r="B53" s="2" t="n">
        <v>38</v>
      </c>
      <c r="C53" s="2" t="inlineStr">
        <is>
          <t>B38</t>
        </is>
      </c>
      <c r="D53" s="2" t="inlineStr">
        <is>
          <t>Wealth management products(LTP) (from Secur&amp;Fincl)</t>
        </is>
      </c>
      <c r="E53" s="2" t="inlineStr">
        <is>
          <t>bs_nca__wealth_management_products_ltp_from_secur_and_fincl</t>
        </is>
      </c>
      <c r="F53" s="2" t="inlineStr">
        <is>
          <t>11</t>
        </is>
      </c>
      <c r="G53" s="2" t="inlineStr">
        <is>
          <t>reported_input</t>
        </is>
      </c>
      <c r="H53" s="2" t="inlineStr">
        <is>
          <t>extract</t>
        </is>
      </c>
    </row>
    <row r="54">
      <c r="A54" s="2" t="inlineStr">
        <is>
          <t>Balance Sheet</t>
        </is>
      </c>
      <c r="B54" s="2" t="n">
        <v>39</v>
      </c>
      <c r="C54" s="2" t="inlineStr">
        <is>
          <t>B39</t>
        </is>
      </c>
      <c r="D54" s="2" t="inlineStr">
        <is>
          <t>Secur &amp; Other Fincl Assets(LTP)</t>
        </is>
      </c>
      <c r="E54" s="2" t="inlineStr">
        <is>
          <t>bs_nca__secur_and_other_fincl_assets_ltp</t>
        </is>
      </c>
      <c r="F54" s="2" t="inlineStr">
        <is>
          <t>28</t>
        </is>
      </c>
      <c r="G54" s="2" t="inlineStr">
        <is>
          <t>reported_input</t>
        </is>
      </c>
      <c r="H54" s="2" t="inlineStr">
        <is>
          <t>extract</t>
        </is>
      </c>
    </row>
    <row r="55">
      <c r="A55" s="2" t="inlineStr">
        <is>
          <t>Balance Sheet</t>
        </is>
      </c>
      <c r="B55" s="2" t="n">
        <v>40</v>
      </c>
      <c r="C55" s="2" t="inlineStr">
        <is>
          <t>B40</t>
        </is>
      </c>
      <c r="D55" s="2" t="inlineStr">
        <is>
          <t>Futures(NCA)</t>
        </is>
      </c>
      <c r="E55" s="2" t="inlineStr">
        <is>
          <t>bs_nca__futures_nca</t>
        </is>
      </c>
      <c r="F55" s="2" t="inlineStr">
        <is>
          <t>45</t>
        </is>
      </c>
      <c r="G55" s="2" t="inlineStr">
        <is>
          <t>reported_input</t>
        </is>
      </c>
      <c r="H55" s="2" t="inlineStr">
        <is>
          <t>extract</t>
        </is>
      </c>
    </row>
    <row r="56">
      <c r="A56" s="2" t="inlineStr">
        <is>
          <t>Balance Sheet</t>
        </is>
      </c>
      <c r="B56" s="2" t="n">
        <v>41</v>
      </c>
      <c r="C56" s="2" t="inlineStr">
        <is>
          <t>B41</t>
        </is>
      </c>
      <c r="D56" s="2" t="inlineStr">
        <is>
          <t>Options(NCA)</t>
        </is>
      </c>
      <c r="E56" s="2" t="inlineStr">
        <is>
          <t>bs_nca__options_nca</t>
        </is>
      </c>
      <c r="F56" s="2" t="inlineStr">
        <is>
          <t>19</t>
        </is>
      </c>
      <c r="G56" s="2" t="inlineStr">
        <is>
          <t>reported_input</t>
        </is>
      </c>
      <c r="H56" s="2" t="inlineStr">
        <is>
          <t>extract</t>
        </is>
      </c>
    </row>
    <row r="57">
      <c r="A57" s="2" t="inlineStr">
        <is>
          <t>Balance Sheet</t>
        </is>
      </c>
      <c r="B57" s="2" t="n">
        <v>42</v>
      </c>
      <c r="C57" s="2" t="inlineStr">
        <is>
          <t>B42</t>
        </is>
      </c>
      <c r="D57" s="2" t="inlineStr">
        <is>
          <t>Forwards(NCA)</t>
        </is>
      </c>
      <c r="E57" s="2" t="inlineStr">
        <is>
          <t>bs_nca__forwards_nca</t>
        </is>
      </c>
      <c r="F57" s="2" t="inlineStr">
        <is>
          <t>36</t>
        </is>
      </c>
      <c r="G57" s="2" t="inlineStr">
        <is>
          <t>reported_input</t>
        </is>
      </c>
      <c r="H57" s="2" t="inlineStr">
        <is>
          <t>extract</t>
        </is>
      </c>
    </row>
    <row r="58">
      <c r="A58" s="2" t="inlineStr">
        <is>
          <t>Balance Sheet</t>
        </is>
      </c>
      <c r="B58" s="2" t="n">
        <v>43</v>
      </c>
      <c r="C58" s="2" t="inlineStr">
        <is>
          <t>B43</t>
        </is>
      </c>
      <c r="D58" s="2" t="inlineStr">
        <is>
          <t>Commodities(NCA)</t>
        </is>
      </c>
      <c r="E58" s="2" t="inlineStr">
        <is>
          <t>bs_nca__commodities_nca</t>
        </is>
      </c>
      <c r="F58" s="2" t="inlineStr">
        <is>
          <t>10</t>
        </is>
      </c>
      <c r="G58" s="2" t="inlineStr">
        <is>
          <t>reported_input</t>
        </is>
      </c>
      <c r="H58" s="2" t="inlineStr">
        <is>
          <t>extract</t>
        </is>
      </c>
    </row>
    <row r="59">
      <c r="A59" s="2" t="inlineStr">
        <is>
          <t>Balance Sheet</t>
        </is>
      </c>
      <c r="B59" s="2" t="n">
        <v>44</v>
      </c>
      <c r="C59" s="2" t="inlineStr">
        <is>
          <t>B44</t>
        </is>
      </c>
      <c r="D59" s="2" t="inlineStr">
        <is>
          <t>Swaps(NCA)</t>
        </is>
      </c>
      <c r="E59" s="2" t="inlineStr">
        <is>
          <t>bs_nca__swaps_nca</t>
        </is>
      </c>
      <c r="F59" s="2" t="inlineStr">
        <is>
          <t>27</t>
        </is>
      </c>
      <c r="G59" s="2" t="inlineStr">
        <is>
          <t>reported_input</t>
        </is>
      </c>
      <c r="H59" s="2" t="inlineStr">
        <is>
          <t>extract</t>
        </is>
      </c>
    </row>
    <row r="60">
      <c r="A60" s="2" t="inlineStr">
        <is>
          <t>Balance Sheet</t>
        </is>
      </c>
      <c r="B60" s="2" t="n">
        <v>45</v>
      </c>
      <c r="C60" s="2" t="inlineStr">
        <is>
          <t>B45</t>
        </is>
      </c>
      <c r="D60" s="2" t="inlineStr">
        <is>
          <t>Deriv &amp; Hedg Assets(LTP)</t>
        </is>
      </c>
      <c r="E60" s="2" t="inlineStr">
        <is>
          <t>bs_nca__deriv_and_hedg_assets_ltp</t>
        </is>
      </c>
      <c r="F60" s="2" t="inlineStr">
        <is>
          <t>44</t>
        </is>
      </c>
      <c r="G60" s="2" t="inlineStr">
        <is>
          <t>reported_input</t>
        </is>
      </c>
      <c r="H60" s="2" t="inlineStr">
        <is>
          <t>extract</t>
        </is>
      </c>
    </row>
    <row r="61">
      <c r="A61" s="2" t="inlineStr">
        <is>
          <t>Balance Sheet</t>
        </is>
      </c>
      <c r="B61" s="2" t="n">
        <v>46</v>
      </c>
      <c r="C61" s="2" t="inlineStr">
        <is>
          <t>B46</t>
        </is>
      </c>
      <c r="D61" s="2" t="inlineStr">
        <is>
          <t>Rtrmnt Plan Actuarial Surplus</t>
        </is>
      </c>
      <c r="E61" s="2" t="inlineStr">
        <is>
          <t>bs_nca__rtrmnt_plan_actuarial_surplus</t>
        </is>
      </c>
      <c r="F61" s="2" t="inlineStr">
        <is>
          <t>18</t>
        </is>
      </c>
      <c r="G61" s="2" t="inlineStr">
        <is>
          <t>reported_input</t>
        </is>
      </c>
      <c r="H61" s="2" t="inlineStr">
        <is>
          <t>extract</t>
        </is>
      </c>
    </row>
    <row r="62">
      <c r="A62" s="2" t="inlineStr">
        <is>
          <t>Balance Sheet</t>
        </is>
      </c>
      <c r="B62" s="2" t="n">
        <v>47</v>
      </c>
      <c r="C62" s="2" t="inlineStr">
        <is>
          <t>B47</t>
        </is>
      </c>
      <c r="D62" s="2" t="inlineStr">
        <is>
          <t>Wealth management products(LTP) (from OtherAsset)</t>
        </is>
      </c>
      <c r="E62" s="2" t="inlineStr">
        <is>
          <t>bs_nca__wealth_management_products_ltp_from_otherasset</t>
        </is>
      </c>
      <c r="F62" s="2" t="inlineStr">
        <is>
          <t>35</t>
        </is>
      </c>
      <c r="G62" s="2" t="inlineStr">
        <is>
          <t>reported_input</t>
        </is>
      </c>
      <c r="H62" s="2" t="inlineStr">
        <is>
          <t>extract</t>
        </is>
      </c>
    </row>
    <row r="63">
      <c r="A63" s="2" t="inlineStr">
        <is>
          <t>Balance Sheet</t>
        </is>
      </c>
      <c r="B63" s="2" t="n">
        <v>48</v>
      </c>
      <c r="C63" s="2" t="inlineStr">
        <is>
          <t>B48</t>
        </is>
      </c>
      <c r="D63" s="2" t="inlineStr">
        <is>
          <t>Pledged Deposits(LTP)</t>
        </is>
      </c>
      <c r="E63" s="2" t="inlineStr">
        <is>
          <t>bs_nca__pledged_deposits_ltp</t>
        </is>
      </c>
      <c r="F63" s="2" t="inlineStr">
        <is>
          <t>52</t>
        </is>
      </c>
      <c r="G63" s="2" t="inlineStr">
        <is>
          <t>reported_input</t>
        </is>
      </c>
      <c r="H63" s="2" t="inlineStr">
        <is>
          <t>extract</t>
        </is>
      </c>
    </row>
    <row r="64">
      <c r="A64" s="2" t="inlineStr">
        <is>
          <t>Balance Sheet</t>
        </is>
      </c>
      <c r="B64" s="2" t="n">
        <v>49</v>
      </c>
      <c r="C64" s="2" t="inlineStr">
        <is>
          <t>B49</t>
        </is>
      </c>
      <c r="D64" s="2" t="inlineStr">
        <is>
          <t>Pledged Secur &amp; Other Fincl Assets(LTP)</t>
        </is>
      </c>
      <c r="E64" s="2" t="inlineStr">
        <is>
          <t>bs_nca__pledged_secur_and_other_fincl_assets_ltp</t>
        </is>
      </c>
      <c r="F64" s="2" t="inlineStr">
        <is>
          <t>26</t>
        </is>
      </c>
      <c r="G64" s="2" t="inlineStr">
        <is>
          <t>reported_input</t>
        </is>
      </c>
      <c r="H64" s="2" t="inlineStr">
        <is>
          <t>extract</t>
        </is>
      </c>
    </row>
    <row r="65">
      <c r="A65" s="2" t="inlineStr">
        <is>
          <t>Balance Sheet</t>
        </is>
      </c>
      <c r="B65" s="2" t="n">
        <v>50</v>
      </c>
      <c r="C65" s="2" t="inlineStr">
        <is>
          <t>B50</t>
        </is>
      </c>
      <c r="D65" s="2" t="inlineStr">
        <is>
          <t>Other Non-Current Assets</t>
        </is>
      </c>
      <c r="E65" s="2" t="inlineStr">
        <is>
          <t>bs_nca__other_non_current_assets</t>
        </is>
      </c>
      <c r="F65" s="2" t="inlineStr">
        <is>
          <t>43</t>
        </is>
      </c>
      <c r="G65" s="2" t="inlineStr">
        <is>
          <t>reported_input</t>
        </is>
      </c>
      <c r="H65" s="2" t="inlineStr">
        <is>
          <t>extract</t>
        </is>
      </c>
    </row>
    <row r="66">
      <c r="A66" s="2" t="inlineStr">
        <is>
          <t>Balance Sheet</t>
        </is>
      </c>
      <c r="B66" s="2" t="n">
        <v>51</v>
      </c>
      <c r="C66" s="2" t="inlineStr">
        <is>
          <t>B51</t>
        </is>
      </c>
      <c r="D66" s="2" t="inlineStr">
        <is>
          <t>Deferred Tax Assets</t>
        </is>
      </c>
      <c r="E66" s="2" t="inlineStr">
        <is>
          <t>bs_nca__deferred_tax_assets</t>
        </is>
      </c>
      <c r="F66" s="2" t="inlineStr">
        <is>
          <t>17</t>
        </is>
      </c>
      <c r="G66" s="2" t="inlineStr">
        <is>
          <t>reported_input</t>
        </is>
      </c>
      <c r="H66" s="2" t="inlineStr">
        <is>
          <t>extract</t>
        </is>
      </c>
    </row>
    <row r="67">
      <c r="A67" s="2" t="inlineStr">
        <is>
          <t>Balance Sheet</t>
        </is>
      </c>
      <c r="B67" s="2" t="n">
        <v>52</v>
      </c>
      <c r="C67" s="2" t="inlineStr">
        <is>
          <t>B52</t>
        </is>
      </c>
      <c r="D67" s="2" t="inlineStr">
        <is>
          <t>Entrusted loan receivables- third parties(LTP)</t>
        </is>
      </c>
      <c r="E67" s="2" t="inlineStr">
        <is>
          <t>bs_nca__entrusted_loan_receivables_third_parties_ltp</t>
        </is>
      </c>
      <c r="F67" s="2" t="inlineStr">
        <is>
          <t>34</t>
        </is>
      </c>
      <c r="G67" s="2" t="inlineStr">
        <is>
          <t>reported_input</t>
        </is>
      </c>
      <c r="H67" s="2" t="inlineStr">
        <is>
          <t>extract</t>
        </is>
      </c>
    </row>
    <row r="68">
      <c r="A68" s="2" t="inlineStr">
        <is>
          <t>Balance Sheet</t>
        </is>
      </c>
      <c r="B68" s="2" t="n">
        <v>53</v>
      </c>
      <c r="C68" s="2" t="inlineStr">
        <is>
          <t>B53</t>
        </is>
      </c>
      <c r="D68" s="2" t="inlineStr">
        <is>
          <t>Wealth management products(LTP) (from Receivables)</t>
        </is>
      </c>
      <c r="E68" s="2" t="inlineStr">
        <is>
          <t>bs_nca__wealth_management_products_ltp_from_receivables</t>
        </is>
      </c>
      <c r="F68" s="2" t="inlineStr">
        <is>
          <t>51</t>
        </is>
      </c>
      <c r="G68" s="2" t="inlineStr">
        <is>
          <t>reported_input</t>
        </is>
      </c>
      <c r="H68" s="2" t="inlineStr">
        <is>
          <t>extract</t>
        </is>
      </c>
    </row>
    <row r="69">
      <c r="A69" s="2" t="inlineStr">
        <is>
          <t>Balance Sheet</t>
        </is>
      </c>
      <c r="B69" s="2" t="n">
        <v>54</v>
      </c>
      <c r="C69" s="2" t="inlineStr">
        <is>
          <t>B54</t>
        </is>
      </c>
      <c r="D69" s="2" t="inlineStr">
        <is>
          <t>Reverse repo(LTP)</t>
        </is>
      </c>
      <c r="E69" s="2" t="inlineStr">
        <is>
          <t>bs_nca__reverse_repo_ltp</t>
        </is>
      </c>
      <c r="F69" s="2" t="inlineStr">
        <is>
          <t>25</t>
        </is>
      </c>
      <c r="G69" s="2" t="inlineStr">
        <is>
          <t>reported_input</t>
        </is>
      </c>
      <c r="H69" s="2" t="inlineStr">
        <is>
          <t>extract</t>
        </is>
      </c>
    </row>
    <row r="70">
      <c r="A70" s="2" t="inlineStr">
        <is>
          <t>Balance Sheet</t>
        </is>
      </c>
      <c r="B70" s="2" t="n">
        <v>55</v>
      </c>
      <c r="C70" s="2" t="inlineStr">
        <is>
          <t>B55</t>
        </is>
      </c>
      <c r="D70" s="2" t="inlineStr">
        <is>
          <t>Other Receivables(LTP)</t>
        </is>
      </c>
      <c r="E70" s="2" t="inlineStr">
        <is>
          <t>bs_nca__other_receivables_ltp</t>
        </is>
      </c>
      <c r="F70" s="2" t="inlineStr">
        <is>
          <t>42</t>
        </is>
      </c>
      <c r="G70" s="2" t="inlineStr">
        <is>
          <t>reported_input</t>
        </is>
      </c>
      <c r="H70" s="2" t="inlineStr">
        <is>
          <t>extract</t>
        </is>
      </c>
    </row>
    <row r="71">
      <c r="A71" s="2" t="inlineStr">
        <is>
          <t>Balance Sheet</t>
        </is>
      </c>
      <c r="B71" s="2" t="n">
        <v>56</v>
      </c>
      <c r="C71" s="2" t="inlineStr">
        <is>
          <t>B56</t>
        </is>
      </c>
      <c r="D71" s="2" t="inlineStr">
        <is>
          <t>Prepaid land lease payments(LTP)</t>
        </is>
      </c>
      <c r="E71" s="2" t="inlineStr">
        <is>
          <t>bs_nca__prepaid_land_lease_payments_ltp</t>
        </is>
      </c>
      <c r="F71" s="2" t="inlineStr">
        <is>
          <t>16</t>
        </is>
      </c>
      <c r="G71" s="2" t="inlineStr">
        <is>
          <t>reported_input</t>
        </is>
      </c>
      <c r="H71" s="2" t="inlineStr">
        <is>
          <t>extract</t>
        </is>
      </c>
    </row>
    <row r="72">
      <c r="A72" s="2" t="inlineStr">
        <is>
          <t>Balance Sheet</t>
        </is>
      </c>
      <c r="B72" s="2" t="n">
        <v>57</v>
      </c>
      <c r="C72" s="2" t="inlineStr">
        <is>
          <t>B57</t>
        </is>
      </c>
      <c r="D72" s="2" t="inlineStr">
        <is>
          <t>Prepayments(LTP)</t>
        </is>
      </c>
      <c r="E72" s="2" t="inlineStr">
        <is>
          <t>bs_nca__prepayments_ltp</t>
        </is>
      </c>
      <c r="F72" s="2" t="inlineStr">
        <is>
          <t>33</t>
        </is>
      </c>
      <c r="G72" s="2" t="inlineStr">
        <is>
          <t>reported_input</t>
        </is>
      </c>
      <c r="H72" s="2" t="inlineStr">
        <is>
          <t>extract</t>
        </is>
      </c>
    </row>
    <row r="73">
      <c r="A73" s="2" t="inlineStr">
        <is>
          <t>Balance Sheet</t>
        </is>
      </c>
      <c r="B73" s="2" t="n">
        <v>58</v>
      </c>
      <c r="C73" s="2" t="inlineStr">
        <is>
          <t>B58</t>
        </is>
      </c>
      <c r="D73" s="2" t="inlineStr">
        <is>
          <t>Restricted Cash</t>
        </is>
      </c>
      <c r="E73" s="2" t="inlineStr">
        <is>
          <t>bs_nca__restricted_cash</t>
        </is>
      </c>
      <c r="F73" s="2" t="inlineStr">
        <is>
          <t>50</t>
        </is>
      </c>
      <c r="G73" s="2" t="inlineStr">
        <is>
          <t>reported_input</t>
        </is>
      </c>
      <c r="H73" s="2" t="inlineStr">
        <is>
          <t>extract</t>
        </is>
      </c>
    </row>
    <row r="74">
      <c r="A74" s="2" t="inlineStr">
        <is>
          <t>Balance Sheet</t>
        </is>
      </c>
      <c r="B74" s="2" t="n">
        <v>59</v>
      </c>
      <c r="C74" s="2" t="inlineStr">
        <is>
          <t>B59</t>
        </is>
      </c>
      <c r="D74" s="2" t="inlineStr">
        <is>
          <t>Total Non-Current Assets</t>
        </is>
      </c>
      <c r="E74" s="2" t="inlineStr">
        <is>
          <t>bs_nca__total_non_current_assets</t>
        </is>
      </c>
      <c r="F74" s="2">
        <f>B16+B26+SUM(B27:B58)</f>
        <v/>
      </c>
      <c r="G74" s="2" t="inlineStr">
        <is>
          <t>formula</t>
        </is>
      </c>
      <c r="H74" s="2" t="inlineStr">
        <is>
          <t>derive</t>
        </is>
      </c>
    </row>
    <row r="75">
      <c r="A75" s="2" t="inlineStr">
        <is>
          <t>Balance Sheet</t>
        </is>
      </c>
      <c r="B75" s="2" t="n">
        <v>61</v>
      </c>
      <c r="C75" s="2" t="inlineStr">
        <is>
          <t>B61</t>
        </is>
      </c>
      <c r="D75" s="2" t="inlineStr">
        <is>
          <t>Operating Lease Receivables</t>
        </is>
      </c>
      <c r="E75" s="2" t="inlineStr">
        <is>
          <t>bs_ca__operating_lease_receivables</t>
        </is>
      </c>
      <c r="F75" s="2" t="inlineStr">
        <is>
          <t>15</t>
        </is>
      </c>
      <c r="G75" s="2" t="inlineStr">
        <is>
          <t>reported_input</t>
        </is>
      </c>
      <c r="H75" s="2" t="inlineStr">
        <is>
          <t>extract</t>
        </is>
      </c>
    </row>
    <row r="76">
      <c r="A76" s="2" t="inlineStr">
        <is>
          <t>Balance Sheet</t>
        </is>
      </c>
      <c r="B76" s="2" t="n">
        <v>62</v>
      </c>
      <c r="C76" s="2" t="inlineStr">
        <is>
          <t>B62</t>
        </is>
      </c>
      <c r="D76" s="2" t="inlineStr">
        <is>
          <t>Raw materials</t>
        </is>
      </c>
      <c r="E76" s="2" t="inlineStr">
        <is>
          <t>bs_ca__raw_materials</t>
        </is>
      </c>
      <c r="F76" s="2" t="inlineStr">
        <is>
          <t>32</t>
        </is>
      </c>
      <c r="G76" s="2" t="inlineStr">
        <is>
          <t>reported_input</t>
        </is>
      </c>
      <c r="H76" s="2" t="inlineStr">
        <is>
          <t>extract</t>
        </is>
      </c>
    </row>
    <row r="77">
      <c r="A77" s="2" t="inlineStr">
        <is>
          <t>Balance Sheet</t>
        </is>
      </c>
      <c r="B77" s="2" t="n">
        <v>63</v>
      </c>
      <c r="C77" s="2" t="inlineStr">
        <is>
          <t>B63</t>
        </is>
      </c>
      <c r="D77" s="2" t="inlineStr">
        <is>
          <t>WIP</t>
        </is>
      </c>
      <c r="E77" s="2" t="inlineStr">
        <is>
          <t>bs_ca__wip</t>
        </is>
      </c>
      <c r="F77" s="2" t="inlineStr">
        <is>
          <t>49</t>
        </is>
      </c>
      <c r="G77" s="2" t="inlineStr">
        <is>
          <t>reported_input</t>
        </is>
      </c>
      <c r="H77" s="2" t="inlineStr">
        <is>
          <t>extract</t>
        </is>
      </c>
    </row>
    <row r="78">
      <c r="A78" s="2" t="inlineStr">
        <is>
          <t>Balance Sheet</t>
        </is>
      </c>
      <c r="B78" s="2" t="n">
        <v>64</v>
      </c>
      <c r="C78" s="2" t="inlineStr">
        <is>
          <t>B64</t>
        </is>
      </c>
      <c r="D78" s="2" t="inlineStr">
        <is>
          <t>Finished goods</t>
        </is>
      </c>
      <c r="E78" s="2" t="inlineStr">
        <is>
          <t>bs_ca__finished_goods</t>
        </is>
      </c>
      <c r="F78" s="2" t="inlineStr">
        <is>
          <t>23</t>
        </is>
      </c>
      <c r="G78" s="2" t="inlineStr">
        <is>
          <t>reported_input</t>
        </is>
      </c>
      <c r="H78" s="2" t="inlineStr">
        <is>
          <t>extract</t>
        </is>
      </c>
    </row>
    <row r="79">
      <c r="A79" s="2" t="inlineStr">
        <is>
          <t>Balance Sheet</t>
        </is>
      </c>
      <c r="B79" s="2" t="n">
        <v>65</v>
      </c>
      <c r="C79" s="2" t="inlineStr">
        <is>
          <t>B65</t>
        </is>
      </c>
      <c r="D79" s="2" t="inlineStr">
        <is>
          <t>Inventories</t>
        </is>
      </c>
      <c r="E79" s="2" t="inlineStr">
        <is>
          <t>bs_ca__inventories</t>
        </is>
      </c>
      <c r="F79" s="2">
        <f>SUM(B62:B64)</f>
        <v/>
      </c>
      <c r="G79" s="2" t="inlineStr">
        <is>
          <t>formula</t>
        </is>
      </c>
      <c r="H79" s="2" t="inlineStr">
        <is>
          <t>derive</t>
        </is>
      </c>
    </row>
    <row r="80">
      <c r="A80" s="2" t="inlineStr">
        <is>
          <t>Balance Sheet</t>
        </is>
      </c>
      <c r="B80" s="2" t="n">
        <v>66</v>
      </c>
      <c r="C80" s="2" t="inlineStr">
        <is>
          <t>B66</t>
        </is>
      </c>
      <c r="D80" s="2" t="inlineStr">
        <is>
          <t>Due from JVs &amp; Partnerships</t>
        </is>
      </c>
      <c r="E80" s="2" t="inlineStr">
        <is>
          <t>bs_ca__due_from_jvs_and_partnerships</t>
        </is>
      </c>
      <c r="F80" s="2" t="inlineStr">
        <is>
          <t>14</t>
        </is>
      </c>
      <c r="G80" s="2" t="inlineStr">
        <is>
          <t>reported_input</t>
        </is>
      </c>
      <c r="H80" s="2" t="inlineStr">
        <is>
          <t>extract</t>
        </is>
      </c>
    </row>
    <row r="81">
      <c r="A81" s="2" t="inlineStr">
        <is>
          <t>Balance Sheet</t>
        </is>
      </c>
      <c r="B81" s="2" t="n">
        <v>67</v>
      </c>
      <c r="C81" s="2" t="inlineStr">
        <is>
          <t>B67</t>
        </is>
      </c>
      <c r="D81" s="2" t="inlineStr">
        <is>
          <t>Entrusted loan receivables- related parties(CP)</t>
        </is>
      </c>
      <c r="E81" s="2" t="inlineStr">
        <is>
          <t>bs_ca__entrusted_loan_receivables_related_parties_cp</t>
        </is>
      </c>
      <c r="F81" s="2" t="inlineStr">
        <is>
          <t>31</t>
        </is>
      </c>
      <c r="G81" s="2" t="inlineStr">
        <is>
          <t>reported_input</t>
        </is>
      </c>
      <c r="H81" s="2" t="inlineStr">
        <is>
          <t>extract</t>
        </is>
      </c>
    </row>
    <row r="82">
      <c r="A82" s="2" t="inlineStr">
        <is>
          <t>Balance Sheet</t>
        </is>
      </c>
      <c r="B82" s="2" t="n">
        <v>68</v>
      </c>
      <c r="C82" s="2" t="inlineStr">
        <is>
          <t>B68</t>
        </is>
      </c>
      <c r="D82" s="2" t="inlineStr">
        <is>
          <t>Due from Related Parties(CP)</t>
        </is>
      </c>
      <c r="E82" s="2" t="inlineStr">
        <is>
          <t>bs_ca__due_from_related_parties_cp</t>
        </is>
      </c>
      <c r="F82" s="2" t="inlineStr">
        <is>
          <t>48</t>
        </is>
      </c>
      <c r="G82" s="2" t="inlineStr">
        <is>
          <t>reported_input</t>
        </is>
      </c>
      <c r="H82" s="2" t="inlineStr">
        <is>
          <t>extract</t>
        </is>
      </c>
    </row>
    <row r="83">
      <c r="A83" s="2" t="inlineStr">
        <is>
          <t>Balance Sheet</t>
        </is>
      </c>
      <c r="B83" s="2" t="n">
        <v>69</v>
      </c>
      <c r="C83" s="2" t="inlineStr">
        <is>
          <t>B69</t>
        </is>
      </c>
      <c r="D83" s="2" t="inlineStr">
        <is>
          <t>Entrusted loan receivables- shareholders(CP)</t>
        </is>
      </c>
      <c r="E83" s="2" t="inlineStr">
        <is>
          <t>bs_ca__entrusted_loan_receivables_shareholders_cp</t>
        </is>
      </c>
      <c r="F83" s="2" t="inlineStr">
        <is>
          <t>22</t>
        </is>
      </c>
      <c r="G83" s="2" t="inlineStr">
        <is>
          <t>reported_input</t>
        </is>
      </c>
      <c r="H83" s="2" t="inlineStr">
        <is>
          <t>extract</t>
        </is>
      </c>
    </row>
    <row r="84">
      <c r="A84" s="2" t="inlineStr">
        <is>
          <t>Balance Sheet</t>
        </is>
      </c>
      <c r="B84" s="2" t="n">
        <v>70</v>
      </c>
      <c r="C84" s="2" t="inlineStr">
        <is>
          <t>B70</t>
        </is>
      </c>
      <c r="D84" s="2" t="inlineStr">
        <is>
          <t>Due from S'holder(CP)</t>
        </is>
      </c>
      <c r="E84" s="2" t="inlineStr">
        <is>
          <t>bs_ca__due_from_sholder_cp</t>
        </is>
      </c>
      <c r="F84" s="2" t="inlineStr">
        <is>
          <t>39</t>
        </is>
      </c>
      <c r="G84" s="2" t="inlineStr">
        <is>
          <t>reported_input</t>
        </is>
      </c>
      <c r="H84" s="2" t="inlineStr">
        <is>
          <t>extract</t>
        </is>
      </c>
    </row>
    <row r="85">
      <c r="A85" s="2" t="inlineStr">
        <is>
          <t>Balance Sheet</t>
        </is>
      </c>
      <c r="B85" s="2" t="n">
        <v>71</v>
      </c>
      <c r="C85" s="2" t="inlineStr">
        <is>
          <t>B71</t>
        </is>
      </c>
      <c r="D85" s="2" t="inlineStr">
        <is>
          <t>Short Term Securities</t>
        </is>
      </c>
      <c r="E85" s="2" t="inlineStr">
        <is>
          <t>bs_ca__short_term_securities</t>
        </is>
      </c>
      <c r="F85" s="2" t="inlineStr">
        <is>
          <t>13</t>
        </is>
      </c>
      <c r="G85" s="2" t="inlineStr">
        <is>
          <t>reported_input</t>
        </is>
      </c>
      <c r="H85" s="2" t="inlineStr">
        <is>
          <t>extract</t>
        </is>
      </c>
    </row>
    <row r="86">
      <c r="A86" s="2" t="inlineStr">
        <is>
          <t>Balance Sheet</t>
        </is>
      </c>
      <c r="B86" s="2" t="n">
        <v>72</v>
      </c>
      <c r="C86" s="2" t="inlineStr">
        <is>
          <t>B72</t>
        </is>
      </c>
      <c r="D86" s="2" t="inlineStr">
        <is>
          <t>Wealth management products(CP) (from Secur&amp;Fincl)</t>
        </is>
      </c>
      <c r="E86" s="2" t="inlineStr">
        <is>
          <t>bs_ca__wealth_management_products_cp_from_secur_and_fincl</t>
        </is>
      </c>
      <c r="F86" s="2" t="inlineStr">
        <is>
          <t>30</t>
        </is>
      </c>
      <c r="G86" s="2" t="inlineStr">
        <is>
          <t>reported_input</t>
        </is>
      </c>
      <c r="H86" s="2" t="inlineStr">
        <is>
          <t>extract</t>
        </is>
      </c>
    </row>
    <row r="87">
      <c r="A87" s="2" t="inlineStr">
        <is>
          <t>Balance Sheet</t>
        </is>
      </c>
      <c r="B87" s="2" t="n">
        <v>73</v>
      </c>
      <c r="C87" s="2" t="inlineStr">
        <is>
          <t>B73</t>
        </is>
      </c>
      <c r="D87" s="2" t="inlineStr">
        <is>
          <t>Secur &amp; Other Fincl Assets(CP)</t>
        </is>
      </c>
      <c r="E87" s="2" t="inlineStr">
        <is>
          <t>bs_ca__secur_and_other_fincl_assets_cp</t>
        </is>
      </c>
      <c r="F87" s="2" t="inlineStr">
        <is>
          <t>47</t>
        </is>
      </c>
      <c r="G87" s="2" t="inlineStr">
        <is>
          <t>reported_input</t>
        </is>
      </c>
      <c r="H87" s="2" t="inlineStr">
        <is>
          <t>extract</t>
        </is>
      </c>
    </row>
    <row r="88">
      <c r="A88" s="2" t="inlineStr">
        <is>
          <t>Balance Sheet</t>
        </is>
      </c>
      <c r="B88" s="2" t="n">
        <v>74</v>
      </c>
      <c r="C88" s="2" t="inlineStr">
        <is>
          <t>B74</t>
        </is>
      </c>
      <c r="D88" s="2" t="inlineStr">
        <is>
          <t>Futures(CA)</t>
        </is>
      </c>
      <c r="E88" s="2" t="inlineStr">
        <is>
          <t>bs_ca__futures_ca</t>
        </is>
      </c>
      <c r="F88" s="2" t="inlineStr">
        <is>
          <t>21</t>
        </is>
      </c>
      <c r="G88" s="2" t="inlineStr">
        <is>
          <t>reported_input</t>
        </is>
      </c>
      <c r="H88" s="2" t="inlineStr">
        <is>
          <t>extract</t>
        </is>
      </c>
    </row>
    <row r="89">
      <c r="A89" s="2" t="inlineStr">
        <is>
          <t>Balance Sheet</t>
        </is>
      </c>
      <c r="B89" s="2" t="n">
        <v>75</v>
      </c>
      <c r="C89" s="2" t="inlineStr">
        <is>
          <t>B75</t>
        </is>
      </c>
      <c r="D89" s="2" t="inlineStr">
        <is>
          <t>Options(CA)</t>
        </is>
      </c>
      <c r="E89" s="2" t="inlineStr">
        <is>
          <t>bs_ca__options_ca</t>
        </is>
      </c>
      <c r="F89" s="2" t="inlineStr">
        <is>
          <t>38</t>
        </is>
      </c>
      <c r="G89" s="2" t="inlineStr">
        <is>
          <t>reported_input</t>
        </is>
      </c>
      <c r="H89" s="2" t="inlineStr">
        <is>
          <t>extract</t>
        </is>
      </c>
    </row>
    <row r="90">
      <c r="A90" s="2" t="inlineStr">
        <is>
          <t>Balance Sheet</t>
        </is>
      </c>
      <c r="B90" s="2" t="n">
        <v>76</v>
      </c>
      <c r="C90" s="2" t="inlineStr">
        <is>
          <t>B76</t>
        </is>
      </c>
      <c r="D90" s="2" t="inlineStr">
        <is>
          <t>Forwards(CA)</t>
        </is>
      </c>
      <c r="E90" s="2" t="inlineStr">
        <is>
          <t>bs_ca__forwards_ca</t>
        </is>
      </c>
      <c r="F90" s="2" t="inlineStr">
        <is>
          <t>12</t>
        </is>
      </c>
      <c r="G90" s="2" t="inlineStr">
        <is>
          <t>reported_input</t>
        </is>
      </c>
      <c r="H90" s="2" t="inlineStr">
        <is>
          <t>extract</t>
        </is>
      </c>
    </row>
    <row r="91">
      <c r="A91" s="2" t="inlineStr">
        <is>
          <t>Balance Sheet</t>
        </is>
      </c>
      <c r="B91" s="2" t="n">
        <v>77</v>
      </c>
      <c r="C91" s="2" t="inlineStr">
        <is>
          <t>B77</t>
        </is>
      </c>
      <c r="D91" s="2" t="inlineStr">
        <is>
          <t>Commodities(CA)</t>
        </is>
      </c>
      <c r="E91" s="2" t="inlineStr">
        <is>
          <t>bs_ca__commodities_ca</t>
        </is>
      </c>
      <c r="F91" s="2" t="inlineStr">
        <is>
          <t>29</t>
        </is>
      </c>
      <c r="G91" s="2" t="inlineStr">
        <is>
          <t>reported_input</t>
        </is>
      </c>
      <c r="H91" s="2" t="inlineStr">
        <is>
          <t>extract</t>
        </is>
      </c>
    </row>
    <row r="92">
      <c r="A92" s="2" t="inlineStr">
        <is>
          <t>Balance Sheet</t>
        </is>
      </c>
      <c r="B92" s="2" t="n">
        <v>78</v>
      </c>
      <c r="C92" s="2" t="inlineStr">
        <is>
          <t>B78</t>
        </is>
      </c>
      <c r="D92" s="2" t="inlineStr">
        <is>
          <t>Swaps(CA)</t>
        </is>
      </c>
      <c r="E92" s="2" t="inlineStr">
        <is>
          <t>bs_ca__swaps_ca</t>
        </is>
      </c>
      <c r="F92" s="2" t="inlineStr">
        <is>
          <t>46</t>
        </is>
      </c>
      <c r="G92" s="2" t="inlineStr">
        <is>
          <t>reported_input</t>
        </is>
      </c>
      <c r="H92" s="2" t="inlineStr">
        <is>
          <t>extract</t>
        </is>
      </c>
    </row>
    <row r="93">
      <c r="A93" s="2" t="inlineStr">
        <is>
          <t>Balance Sheet</t>
        </is>
      </c>
      <c r="B93" s="2" t="n">
        <v>79</v>
      </c>
      <c r="C93" s="2" t="inlineStr">
        <is>
          <t>B79</t>
        </is>
      </c>
      <c r="D93" s="2" t="inlineStr">
        <is>
          <t>Deriv &amp; Hedg Assets(CP)</t>
        </is>
      </c>
      <c r="E93" s="2" t="inlineStr">
        <is>
          <t>bs_ca__deriv_and_hedg_assets_cp</t>
        </is>
      </c>
      <c r="F93" s="2" t="inlineStr">
        <is>
          <t>20</t>
        </is>
      </c>
      <c r="G93" s="2" t="inlineStr">
        <is>
          <t>reported_input</t>
        </is>
      </c>
      <c r="H93" s="2" t="inlineStr">
        <is>
          <t>extract</t>
        </is>
      </c>
    </row>
    <row r="94">
      <c r="A94" s="2" t="inlineStr">
        <is>
          <t>Balance Sheet</t>
        </is>
      </c>
      <c r="B94" s="2" t="n">
        <v>80</v>
      </c>
      <c r="C94" s="2" t="inlineStr">
        <is>
          <t>B80</t>
        </is>
      </c>
      <c r="D94" s="2" t="inlineStr">
        <is>
          <t>Assets Plgd Under Securitization</t>
        </is>
      </c>
      <c r="E94" s="2" t="inlineStr">
        <is>
          <t>bs_ca__assets_plgd_under_securitization</t>
        </is>
      </c>
      <c r="F94" s="2" t="inlineStr">
        <is>
          <t>37</t>
        </is>
      </c>
      <c r="G94" s="2" t="inlineStr">
        <is>
          <t>reported_input</t>
        </is>
      </c>
      <c r="H94" s="2" t="inlineStr">
        <is>
          <t>extract</t>
        </is>
      </c>
    </row>
    <row r="95">
      <c r="A95" s="2" t="inlineStr">
        <is>
          <t>Balance Sheet</t>
        </is>
      </c>
      <c r="B95" s="2" t="n">
        <v>81</v>
      </c>
      <c r="C95" s="2" t="inlineStr">
        <is>
          <t>B81</t>
        </is>
      </c>
      <c r="D95" s="2" t="inlineStr">
        <is>
          <t>Current Tax Receivables</t>
        </is>
      </c>
      <c r="E95" s="2" t="inlineStr">
        <is>
          <t>bs_ca__current_tax_receivables</t>
        </is>
      </c>
      <c r="F95" s="2" t="inlineStr">
        <is>
          <t>11</t>
        </is>
      </c>
      <c r="G95" s="2" t="inlineStr">
        <is>
          <t>reported_input</t>
        </is>
      </c>
      <c r="H95" s="2" t="inlineStr">
        <is>
          <t>extract</t>
        </is>
      </c>
    </row>
    <row r="96">
      <c r="A96" s="2" t="inlineStr">
        <is>
          <t>Balance Sheet</t>
        </is>
      </c>
      <c r="B96" s="2" t="n">
        <v>82</v>
      </c>
      <c r="C96" s="2" t="inlineStr">
        <is>
          <t>B82</t>
        </is>
      </c>
      <c r="D96" s="2" t="inlineStr">
        <is>
          <t>Prepaid land lease payments(CP)</t>
        </is>
      </c>
      <c r="E96" s="2" t="inlineStr">
        <is>
          <t>bs_ca__prepaid_land_lease_payments_cp</t>
        </is>
      </c>
      <c r="F96" s="2" t="inlineStr">
        <is>
          <t>28</t>
        </is>
      </c>
      <c r="G96" s="2" t="inlineStr">
        <is>
          <t>reported_input</t>
        </is>
      </c>
      <c r="H96" s="2" t="inlineStr">
        <is>
          <t>extract</t>
        </is>
      </c>
    </row>
    <row r="97">
      <c r="A97" s="2" t="inlineStr">
        <is>
          <t>Balance Sheet</t>
        </is>
      </c>
      <c r="B97" s="2" t="n">
        <v>83</v>
      </c>
      <c r="C97" s="2" t="inlineStr">
        <is>
          <t>B83</t>
        </is>
      </c>
      <c r="D97" s="2" t="inlineStr">
        <is>
          <t>Prepayments(CP)</t>
        </is>
      </c>
      <c r="E97" s="2" t="inlineStr">
        <is>
          <t>bs_ca__prepayments_cp</t>
        </is>
      </c>
      <c r="F97" s="2" t="inlineStr">
        <is>
          <t>45</t>
        </is>
      </c>
      <c r="G97" s="2" t="inlineStr">
        <is>
          <t>reported_input</t>
        </is>
      </c>
      <c r="H97" s="2" t="inlineStr">
        <is>
          <t>extract</t>
        </is>
      </c>
    </row>
    <row r="98">
      <c r="A98" s="2" t="inlineStr">
        <is>
          <t>Balance Sheet</t>
        </is>
      </c>
      <c r="B98" s="2" t="n">
        <v>84</v>
      </c>
      <c r="C98" s="2" t="inlineStr">
        <is>
          <t>B84</t>
        </is>
      </c>
      <c r="D98" s="2" t="inlineStr">
        <is>
          <t>Assets Related to Disc Ops</t>
        </is>
      </c>
      <c r="E98" s="2" t="inlineStr">
        <is>
          <t>bs_ca__assets_related_to_disc_ops</t>
        </is>
      </c>
      <c r="F98" s="2" t="inlineStr">
        <is>
          <t>19</t>
        </is>
      </c>
      <c r="G98" s="2" t="inlineStr">
        <is>
          <t>reported_input</t>
        </is>
      </c>
      <c r="H98" s="2" t="inlineStr">
        <is>
          <t>extract</t>
        </is>
      </c>
    </row>
    <row r="99">
      <c r="A99" s="2" t="inlineStr">
        <is>
          <t>Balance Sheet</t>
        </is>
      </c>
      <c r="B99" s="2" t="n">
        <v>85</v>
      </c>
      <c r="C99" s="2" t="inlineStr">
        <is>
          <t>B85</t>
        </is>
      </c>
      <c r="D99" s="2" t="inlineStr">
        <is>
          <t>Pledged Deposits</t>
        </is>
      </c>
      <c r="E99" s="2" t="inlineStr">
        <is>
          <t>bs_ca__pledged_deposits</t>
        </is>
      </c>
      <c r="F99" s="2" t="inlineStr">
        <is>
          <t>36</t>
        </is>
      </c>
      <c r="G99" s="2" t="inlineStr">
        <is>
          <t>reported_input</t>
        </is>
      </c>
      <c r="H99" s="2" t="inlineStr">
        <is>
          <t>extract</t>
        </is>
      </c>
    </row>
    <row r="100">
      <c r="A100" s="2" t="inlineStr">
        <is>
          <t>Balance Sheet</t>
        </is>
      </c>
      <c r="B100" s="2" t="n">
        <v>86</v>
      </c>
      <c r="C100" s="2" t="inlineStr">
        <is>
          <t>B86</t>
        </is>
      </c>
      <c r="D100" s="2" t="inlineStr">
        <is>
          <t>Pledged Secur &amp; Other Fincl Assets(CP)</t>
        </is>
      </c>
      <c r="E100" s="2" t="inlineStr">
        <is>
          <t>bs_ca__pledged_secur_and_other_fincl_assets_cp</t>
        </is>
      </c>
      <c r="F100" s="2" t="inlineStr">
        <is>
          <t>10</t>
        </is>
      </c>
      <c r="G100" s="2" t="inlineStr">
        <is>
          <t>reported_input</t>
        </is>
      </c>
      <c r="H100" s="2" t="inlineStr">
        <is>
          <t>extract</t>
        </is>
      </c>
    </row>
    <row r="101">
      <c r="A101" s="2" t="inlineStr">
        <is>
          <t>Balance Sheet</t>
        </is>
      </c>
      <c r="B101" s="2" t="n">
        <v>87</v>
      </c>
      <c r="C101" s="2" t="inlineStr">
        <is>
          <t>B87</t>
        </is>
      </c>
      <c r="D101" s="2" t="inlineStr">
        <is>
          <t>Wealth management products(CP) (from OtherAsset)</t>
        </is>
      </c>
      <c r="E101" s="2" t="inlineStr">
        <is>
          <t>bs_ca__wealth_management_products_cp_from_otherasset</t>
        </is>
      </c>
      <c r="F101" s="2" t="inlineStr">
        <is>
          <t>27</t>
        </is>
      </c>
      <c r="G101" s="2" t="inlineStr">
        <is>
          <t>reported_input</t>
        </is>
      </c>
      <c r="H101" s="2" t="inlineStr">
        <is>
          <t>extract</t>
        </is>
      </c>
    </row>
    <row r="102">
      <c r="A102" s="2" t="inlineStr">
        <is>
          <t>Balance Sheet</t>
        </is>
      </c>
      <c r="B102" s="2" t="n">
        <v>88</v>
      </c>
      <c r="C102" s="2" t="inlineStr">
        <is>
          <t>B88</t>
        </is>
      </c>
      <c r="D102" s="2" t="inlineStr">
        <is>
          <t>Segregated Account(CA)</t>
        </is>
      </c>
      <c r="E102" s="2" t="inlineStr">
        <is>
          <t>bs_ca__segregated_account_ca</t>
        </is>
      </c>
      <c r="F102" s="2" t="inlineStr">
        <is>
          <t>44</t>
        </is>
      </c>
      <c r="G102" s="2" t="inlineStr">
        <is>
          <t>reported_input</t>
        </is>
      </c>
      <c r="H102" s="2" t="inlineStr">
        <is>
          <t>extract</t>
        </is>
      </c>
    </row>
    <row r="103">
      <c r="A103" s="2" t="inlineStr">
        <is>
          <t>Balance Sheet</t>
        </is>
      </c>
      <c r="B103" s="2" t="n">
        <v>89</v>
      </c>
      <c r="C103" s="2" t="inlineStr">
        <is>
          <t>B89</t>
        </is>
      </c>
      <c r="D103" s="2" t="inlineStr">
        <is>
          <t>Suspense Account(CA)</t>
        </is>
      </c>
      <c r="E103" s="2" t="inlineStr">
        <is>
          <t>bs_ca__suspense_account_ca</t>
        </is>
      </c>
      <c r="F103" s="2" t="inlineStr">
        <is>
          <t>18</t>
        </is>
      </c>
      <c r="G103" s="2" t="inlineStr">
        <is>
          <t>reported_input</t>
        </is>
      </c>
      <c r="H103" s="2" t="inlineStr">
        <is>
          <t>extract</t>
        </is>
      </c>
    </row>
    <row r="104">
      <c r="A104" s="2" t="inlineStr">
        <is>
          <t>Balance Sheet</t>
        </is>
      </c>
      <c r="B104" s="2" t="n">
        <v>90</v>
      </c>
      <c r="C104" s="2" t="inlineStr">
        <is>
          <t>B90</t>
        </is>
      </c>
      <c r="D104" s="2" t="inlineStr">
        <is>
          <t>Other Current Assets</t>
        </is>
      </c>
      <c r="E104" s="2" t="inlineStr">
        <is>
          <t>bs_ca__other_current_assets</t>
        </is>
      </c>
      <c r="F104" s="2" t="inlineStr">
        <is>
          <t>35</t>
        </is>
      </c>
      <c r="G104" s="2" t="inlineStr">
        <is>
          <t>reported_input</t>
        </is>
      </c>
      <c r="H104" s="2" t="inlineStr">
        <is>
          <t>extract</t>
        </is>
      </c>
    </row>
    <row r="105">
      <c r="A105" s="2" t="inlineStr">
        <is>
          <t>Balance Sheet</t>
        </is>
      </c>
      <c r="B105" s="2" t="n">
        <v>91</v>
      </c>
      <c r="C105" s="2" t="inlineStr">
        <is>
          <t>B91</t>
        </is>
      </c>
      <c r="D105" s="2" t="inlineStr">
        <is>
          <t>Trade receivables- related parties</t>
        </is>
      </c>
      <c r="E105" s="2" t="inlineStr">
        <is>
          <t>bs_ca__trade_receivables_related_parties</t>
        </is>
      </c>
      <c r="F105" s="2" t="inlineStr">
        <is>
          <t>52</t>
        </is>
      </c>
      <c r="G105" s="2" t="inlineStr">
        <is>
          <t>reported_input</t>
        </is>
      </c>
      <c r="H105" s="2" t="inlineStr">
        <is>
          <t>extract</t>
        </is>
      </c>
    </row>
    <row r="106">
      <c r="A106" s="2" t="inlineStr">
        <is>
          <t>Balance Sheet</t>
        </is>
      </c>
      <c r="B106" s="2" t="n">
        <v>92</v>
      </c>
      <c r="C106" s="2" t="inlineStr">
        <is>
          <t>B92</t>
        </is>
      </c>
      <c r="D106" s="2" t="inlineStr">
        <is>
          <t>Trade and other receivables- related parties</t>
        </is>
      </c>
      <c r="E106" s="2" t="inlineStr">
        <is>
          <t>bs_ca__trade_and_other_receivables_related_parties</t>
        </is>
      </c>
      <c r="F106" s="2" t="inlineStr">
        <is>
          <t>26</t>
        </is>
      </c>
      <c r="G106" s="2" t="inlineStr">
        <is>
          <t>reported_input</t>
        </is>
      </c>
      <c r="H106" s="2" t="inlineStr">
        <is>
          <t>extract</t>
        </is>
      </c>
    </row>
    <row r="107">
      <c r="A107" s="2" t="inlineStr">
        <is>
          <t>Balance Sheet</t>
        </is>
      </c>
      <c r="B107" s="2" t="n">
        <v>93</v>
      </c>
      <c r="C107" s="2" t="inlineStr">
        <is>
          <t>B93</t>
        </is>
      </c>
      <c r="D107" s="2" t="inlineStr">
        <is>
          <t>Trade and other receivables</t>
        </is>
      </c>
      <c r="E107" s="2" t="inlineStr">
        <is>
          <t>bs_ca__trade_and_other_receivables</t>
        </is>
      </c>
      <c r="F107" s="2" t="inlineStr">
        <is>
          <t>43</t>
        </is>
      </c>
      <c r="G107" s="2" t="inlineStr">
        <is>
          <t>reported_input</t>
        </is>
      </c>
      <c r="H107" s="2" t="inlineStr">
        <is>
          <t>extract</t>
        </is>
      </c>
    </row>
    <row r="108">
      <c r="A108" s="2" t="inlineStr">
        <is>
          <t>Balance Sheet</t>
        </is>
      </c>
      <c r="B108" s="2" t="n">
        <v>94</v>
      </c>
      <c r="C108" s="2" t="inlineStr">
        <is>
          <t>B94</t>
        </is>
      </c>
      <c r="D108" s="2" t="inlineStr">
        <is>
          <t>Trade Receivables(Gross)</t>
        </is>
      </c>
      <c r="E108" s="2" t="inlineStr">
        <is>
          <t>bs_ca__trade_receivables_gross</t>
        </is>
      </c>
      <c r="F108" s="2" t="inlineStr">
        <is>
          <t>17</t>
        </is>
      </c>
      <c r="G108" s="2" t="inlineStr">
        <is>
          <t>reported_input</t>
        </is>
      </c>
      <c r="H108" s="2" t="inlineStr">
        <is>
          <t>extract</t>
        </is>
      </c>
    </row>
    <row r="109">
      <c r="A109" s="2" t="inlineStr">
        <is>
          <t>Balance Sheet</t>
        </is>
      </c>
      <c r="B109" s="2" t="n">
        <v>95</v>
      </c>
      <c r="C109" s="2" t="inlineStr">
        <is>
          <t>B95</t>
        </is>
      </c>
      <c r="D109" s="2" t="inlineStr">
        <is>
          <t>Allow for Doubtful Accounts(-)</t>
        </is>
      </c>
      <c r="E109" s="2" t="inlineStr">
        <is>
          <t>bs_ca__allow_for_doubtful_accounts</t>
        </is>
      </c>
      <c r="F109" s="2">
        <f>-ROUND(B94*5%,0)</f>
        <v/>
      </c>
      <c r="G109" s="2" t="inlineStr">
        <is>
          <t>formula</t>
        </is>
      </c>
      <c r="H109" s="2" t="inlineStr">
        <is>
          <t>derive</t>
        </is>
      </c>
    </row>
    <row r="110">
      <c r="A110" s="2" t="inlineStr">
        <is>
          <t>Balance Sheet</t>
        </is>
      </c>
      <c r="B110" s="2" t="n">
        <v>96</v>
      </c>
      <c r="C110" s="2" t="inlineStr">
        <is>
          <t>B96</t>
        </is>
      </c>
      <c r="D110" s="2" t="inlineStr">
        <is>
          <t>Net Trade Receivables</t>
        </is>
      </c>
      <c r="E110" s="2" t="inlineStr">
        <is>
          <t>bs_ca__net_trade_receivables</t>
        </is>
      </c>
      <c r="F110" s="2">
        <f>B94+B95</f>
        <v/>
      </c>
      <c r="G110" s="2" t="inlineStr">
        <is>
          <t>formula</t>
        </is>
      </c>
      <c r="H110" s="2" t="inlineStr">
        <is>
          <t>derive</t>
        </is>
      </c>
    </row>
    <row r="111">
      <c r="A111" s="2" t="inlineStr">
        <is>
          <t>Balance Sheet</t>
        </is>
      </c>
      <c r="B111" s="2" t="n">
        <v>97</v>
      </c>
      <c r="C111" s="2" t="inlineStr">
        <is>
          <t>B97</t>
        </is>
      </c>
      <c r="D111" s="2" t="inlineStr">
        <is>
          <t>Subscribed Capital-Called Not Paid</t>
        </is>
      </c>
      <c r="E111" s="2" t="inlineStr">
        <is>
          <t>bs_ca__subscribed_capital_called_not_paid</t>
        </is>
      </c>
      <c r="F111" s="2" t="inlineStr">
        <is>
          <t>25</t>
        </is>
      </c>
      <c r="G111" s="2" t="inlineStr">
        <is>
          <t>reported_input</t>
        </is>
      </c>
      <c r="H111" s="2" t="inlineStr">
        <is>
          <t>extract</t>
        </is>
      </c>
    </row>
    <row r="112">
      <c r="A112" s="2" t="inlineStr">
        <is>
          <t>Balance Sheet</t>
        </is>
      </c>
      <c r="B112" s="2" t="n">
        <v>98</v>
      </c>
      <c r="C112" s="2" t="inlineStr">
        <is>
          <t>B98</t>
        </is>
      </c>
      <c r="D112" s="2" t="inlineStr">
        <is>
          <t>Entrusted loan receivables- third parties(CP)</t>
        </is>
      </c>
      <c r="E112" s="2" t="inlineStr">
        <is>
          <t>bs_ca__entrusted_loan_receivables_third_parties_cp</t>
        </is>
      </c>
      <c r="F112" s="2" t="inlineStr">
        <is>
          <t>42</t>
        </is>
      </c>
      <c r="G112" s="2" t="inlineStr">
        <is>
          <t>reported_input</t>
        </is>
      </c>
      <c r="H112" s="2" t="inlineStr">
        <is>
          <t>extract</t>
        </is>
      </c>
    </row>
    <row r="113">
      <c r="A113" s="2" t="inlineStr">
        <is>
          <t>Balance Sheet</t>
        </is>
      </c>
      <c r="B113" s="2" t="n">
        <v>99</v>
      </c>
      <c r="C113" s="2" t="inlineStr">
        <is>
          <t>B99</t>
        </is>
      </c>
      <c r="D113" s="2" t="inlineStr">
        <is>
          <t>Wealth management products(CP) (from Receivables)</t>
        </is>
      </c>
      <c r="E113" s="2" t="inlineStr">
        <is>
          <t>bs_ca__wealth_management_products_cp_from_receivables</t>
        </is>
      </c>
      <c r="F113" s="2" t="inlineStr">
        <is>
          <t>16</t>
        </is>
      </c>
      <c r="G113" s="2" t="inlineStr">
        <is>
          <t>reported_input</t>
        </is>
      </c>
      <c r="H113" s="2" t="inlineStr">
        <is>
          <t>extract</t>
        </is>
      </c>
    </row>
    <row r="114">
      <c r="A114" s="2" t="inlineStr">
        <is>
          <t>Balance Sheet</t>
        </is>
      </c>
      <c r="B114" s="2" t="n">
        <v>100</v>
      </c>
      <c r="C114" s="2" t="inlineStr">
        <is>
          <t>B100</t>
        </is>
      </c>
      <c r="D114" s="2" t="inlineStr">
        <is>
          <t>Reverse repo(CP)</t>
        </is>
      </c>
      <c r="E114" s="2" t="inlineStr">
        <is>
          <t>bs_ca__reverse_repo_cp</t>
        </is>
      </c>
      <c r="F114" s="2" t="inlineStr">
        <is>
          <t>33</t>
        </is>
      </c>
      <c r="G114" s="2" t="inlineStr">
        <is>
          <t>reported_input</t>
        </is>
      </c>
      <c r="H114" s="2" t="inlineStr">
        <is>
          <t>extract</t>
        </is>
      </c>
    </row>
    <row r="115">
      <c r="A115" s="2" t="inlineStr">
        <is>
          <t>Balance Sheet</t>
        </is>
      </c>
      <c r="B115" s="2" t="n">
        <v>101</v>
      </c>
      <c r="C115" s="2" t="inlineStr">
        <is>
          <t>B101</t>
        </is>
      </c>
      <c r="D115" s="2" t="inlineStr">
        <is>
          <t>Other Receivables(CP)</t>
        </is>
      </c>
      <c r="E115" s="2" t="inlineStr">
        <is>
          <t>bs_ca__other_receivables_cp</t>
        </is>
      </c>
      <c r="F115" s="2" t="inlineStr">
        <is>
          <t>50</t>
        </is>
      </c>
      <c r="G115" s="2" t="inlineStr">
        <is>
          <t>reported_input</t>
        </is>
      </c>
      <c r="H115" s="2" t="inlineStr">
        <is>
          <t>extract</t>
        </is>
      </c>
    </row>
    <row r="116">
      <c r="A116" s="2" t="inlineStr">
        <is>
          <t>Balance Sheet</t>
        </is>
      </c>
      <c r="B116" s="2" t="n">
        <v>102</v>
      </c>
      <c r="C116" s="2" t="inlineStr">
        <is>
          <t>B102</t>
        </is>
      </c>
      <c r="D116" s="2" t="inlineStr">
        <is>
          <t>Wealth management products(CP) (from cash equ.)</t>
        </is>
      </c>
      <c r="E116" s="2" t="inlineStr">
        <is>
          <t>bs_ca__wealth_management_products_cp_from_cash_equ</t>
        </is>
      </c>
      <c r="F116" s="2" t="inlineStr">
        <is>
          <t>24</t>
        </is>
      </c>
      <c r="G116" s="2" t="inlineStr">
        <is>
          <t>reported_input</t>
        </is>
      </c>
      <c r="H116" s="2" t="inlineStr">
        <is>
          <t>extract</t>
        </is>
      </c>
    </row>
    <row r="117">
      <c r="A117" s="2" t="inlineStr">
        <is>
          <t>Balance Sheet</t>
        </is>
      </c>
      <c r="B117" s="2" t="n">
        <v>103</v>
      </c>
      <c r="C117" s="2" t="inlineStr">
        <is>
          <t>B103</t>
        </is>
      </c>
      <c r="D117" s="2" t="inlineStr">
        <is>
          <t>Cash Equivalents</t>
        </is>
      </c>
      <c r="E117" s="2" t="inlineStr">
        <is>
          <t>bs_ca__cash_equivalents</t>
        </is>
      </c>
      <c r="F117" s="2" t="inlineStr">
        <is>
          <t>41</t>
        </is>
      </c>
      <c r="G117" s="2" t="inlineStr">
        <is>
          <t>reported_input</t>
        </is>
      </c>
      <c r="H117" s="2" t="inlineStr">
        <is>
          <t>extract</t>
        </is>
      </c>
    </row>
    <row r="118">
      <c r="A118" s="2" t="inlineStr">
        <is>
          <t>Balance Sheet</t>
        </is>
      </c>
      <c r="B118" s="2" t="n">
        <v>104</v>
      </c>
      <c r="C118" s="2" t="inlineStr">
        <is>
          <t>B104</t>
        </is>
      </c>
      <c r="D118" s="2" t="inlineStr">
        <is>
          <t>Cash in Hand and at Banks</t>
        </is>
      </c>
      <c r="E118" s="2" t="inlineStr">
        <is>
          <t>bs_ca__cash_in_hand_and_at_banks</t>
        </is>
      </c>
      <c r="F118" s="2" t="inlineStr">
        <is>
          <t>15</t>
        </is>
      </c>
      <c r="G118" s="2" t="inlineStr">
        <is>
          <t>reported_input</t>
        </is>
      </c>
      <c r="H118" s="2" t="inlineStr">
        <is>
          <t>extract</t>
        </is>
      </c>
    </row>
    <row r="119">
      <c r="A119" s="2" t="inlineStr">
        <is>
          <t>Balance Sheet</t>
        </is>
      </c>
      <c r="B119" s="2" t="n">
        <v>105</v>
      </c>
      <c r="C119" s="2" t="inlineStr">
        <is>
          <t>B105</t>
        </is>
      </c>
      <c r="D119" s="2" t="inlineStr">
        <is>
          <t>Total Current Assets</t>
        </is>
      </c>
      <c r="E119" s="2" t="inlineStr">
        <is>
          <t>bs_ca__total_current_assets</t>
        </is>
      </c>
      <c r="F119" s="2">
        <f>B61+B65+SUM(B66:B93)+B96+SUM(B97:B104)</f>
        <v/>
      </c>
      <c r="G119" s="2" t="inlineStr">
        <is>
          <t>formula</t>
        </is>
      </c>
      <c r="H119" s="2" t="inlineStr">
        <is>
          <t>derive</t>
        </is>
      </c>
    </row>
    <row r="120">
      <c r="A120" s="2" t="inlineStr">
        <is>
          <t>Balance Sheet</t>
        </is>
      </c>
      <c r="B120" s="2" t="n">
        <v>106</v>
      </c>
      <c r="C120" s="2" t="inlineStr">
        <is>
          <t>B106</t>
        </is>
      </c>
      <c r="D120" s="2" t="inlineStr">
        <is>
          <t>Total Assets</t>
        </is>
      </c>
      <c r="E120" s="2" t="inlineStr">
        <is>
          <t>bs_ca__total_assets</t>
        </is>
      </c>
      <c r="F120" s="2">
        <f>B59+B105</f>
        <v/>
      </c>
      <c r="G120" s="2" t="inlineStr">
        <is>
          <t>formula</t>
        </is>
      </c>
      <c r="H120" s="2" t="inlineStr">
        <is>
          <t>derive</t>
        </is>
      </c>
    </row>
    <row r="121">
      <c r="A121" s="2" t="inlineStr">
        <is>
          <t>Balance Sheet</t>
        </is>
      </c>
      <c r="B121" s="2" t="n">
        <v>108</v>
      </c>
      <c r="C121" s="2" t="inlineStr">
        <is>
          <t>B108</t>
        </is>
      </c>
      <c r="D121" s="2" t="inlineStr">
        <is>
          <t>Common Share Capital</t>
        </is>
      </c>
      <c r="E121" s="2" t="inlineStr">
        <is>
          <t>bs_equity__common_share_capital</t>
        </is>
      </c>
      <c r="F121" s="2" t="inlineStr">
        <is>
          <t>40</t>
        </is>
      </c>
      <c r="G121" s="2" t="inlineStr">
        <is>
          <t>reported_input</t>
        </is>
      </c>
      <c r="H121" s="2" t="inlineStr">
        <is>
          <t>extract</t>
        </is>
      </c>
    </row>
    <row r="122">
      <c r="A122" s="2" t="inlineStr">
        <is>
          <t>Balance Sheet</t>
        </is>
      </c>
      <c r="B122" s="2" t="n">
        <v>109</v>
      </c>
      <c r="C122" s="2" t="inlineStr">
        <is>
          <t>B109</t>
        </is>
      </c>
      <c r="D122" s="2" t="inlineStr">
        <is>
          <t>Pref Share Capital</t>
        </is>
      </c>
      <c r="E122" s="2" t="inlineStr">
        <is>
          <t>bs_equity__pref_share_capital</t>
        </is>
      </c>
      <c r="F122" s="2" t="inlineStr">
        <is>
          <t>14</t>
        </is>
      </c>
      <c r="G122" s="2" t="inlineStr">
        <is>
          <t>reported_input</t>
        </is>
      </c>
      <c r="H122" s="2" t="inlineStr">
        <is>
          <t>extract</t>
        </is>
      </c>
    </row>
    <row r="123">
      <c r="A123" s="2" t="inlineStr">
        <is>
          <t>Balance Sheet</t>
        </is>
      </c>
      <c r="B123" s="2" t="n">
        <v>110</v>
      </c>
      <c r="C123" s="2" t="inlineStr">
        <is>
          <t>B110</t>
        </is>
      </c>
      <c r="D123" s="2" t="inlineStr">
        <is>
          <t>Share Premium</t>
        </is>
      </c>
      <c r="E123" s="2" t="inlineStr">
        <is>
          <t>bs_equity__share_premium</t>
        </is>
      </c>
      <c r="F123" s="2" t="inlineStr">
        <is>
          <t>31</t>
        </is>
      </c>
      <c r="G123" s="2" t="inlineStr">
        <is>
          <t>reported_input</t>
        </is>
      </c>
      <c r="H123" s="2" t="inlineStr">
        <is>
          <t>extract</t>
        </is>
      </c>
    </row>
    <row r="124">
      <c r="A124" s="2" t="inlineStr">
        <is>
          <t>Balance Sheet</t>
        </is>
      </c>
      <c r="B124" s="2" t="n">
        <v>111</v>
      </c>
      <c r="C124" s="2" t="inlineStr">
        <is>
          <t>B111</t>
        </is>
      </c>
      <c r="D124" s="2" t="inlineStr">
        <is>
          <t>Special Items with Equity Character</t>
        </is>
      </c>
      <c r="E124" s="2" t="inlineStr">
        <is>
          <t>bs_equity__special_items_with_equity_character</t>
        </is>
      </c>
      <c r="F124" s="2" t="inlineStr">
        <is>
          <t>48</t>
        </is>
      </c>
      <c r="G124" s="2" t="inlineStr">
        <is>
          <t>reported_input</t>
        </is>
      </c>
      <c r="H124" s="2" t="inlineStr">
        <is>
          <t>extract</t>
        </is>
      </c>
    </row>
    <row r="125">
      <c r="A125" s="2" t="inlineStr">
        <is>
          <t>Balance Sheet</t>
        </is>
      </c>
      <c r="B125" s="2" t="n">
        <v>112</v>
      </c>
      <c r="C125" s="2" t="inlineStr">
        <is>
          <t>B112</t>
        </is>
      </c>
      <c r="D125" s="2" t="inlineStr">
        <is>
          <t>Capital &amp; Restricted Reserves</t>
        </is>
      </c>
      <c r="E125" s="2" t="inlineStr">
        <is>
          <t>bs_equity__capital_and_restricted_reserves</t>
        </is>
      </c>
      <c r="F125" s="2" t="inlineStr">
        <is>
          <t>22</t>
        </is>
      </c>
      <c r="G125" s="2" t="inlineStr">
        <is>
          <t>reported_input</t>
        </is>
      </c>
      <c r="H125" s="2" t="inlineStr">
        <is>
          <t>extract</t>
        </is>
      </c>
    </row>
    <row r="126">
      <c r="A126" s="2" t="inlineStr">
        <is>
          <t>Balance Sheet</t>
        </is>
      </c>
      <c r="B126" s="2" t="n">
        <v>113</v>
      </c>
      <c r="C126" s="2" t="inlineStr">
        <is>
          <t>B113</t>
        </is>
      </c>
      <c r="D126" s="2" t="inlineStr">
        <is>
          <t>Permanent Equity</t>
        </is>
      </c>
      <c r="E126" s="2" t="inlineStr">
        <is>
          <t>bs_equity__permanent_equity</t>
        </is>
      </c>
      <c r="F126" s="2">
        <f>SUM(B108:B112)</f>
        <v/>
      </c>
      <c r="G126" s="2" t="inlineStr">
        <is>
          <t>formula</t>
        </is>
      </c>
      <c r="H126" s="2" t="inlineStr">
        <is>
          <t>derive</t>
        </is>
      </c>
    </row>
    <row r="127">
      <c r="A127" s="2" t="inlineStr">
        <is>
          <t>Balance Sheet</t>
        </is>
      </c>
      <c r="B127" s="2" t="n">
        <v>114</v>
      </c>
      <c r="C127" s="2" t="inlineStr">
        <is>
          <t>B114</t>
        </is>
      </c>
      <c r="D127" s="2" t="inlineStr">
        <is>
          <t>Revaluation Reserves</t>
        </is>
      </c>
      <c r="E127" s="2" t="inlineStr">
        <is>
          <t>bs_equity__revaluation_reserves</t>
        </is>
      </c>
      <c r="F127" s="2" t="inlineStr">
        <is>
          <t>13</t>
        </is>
      </c>
      <c r="G127" s="2" t="inlineStr">
        <is>
          <t>reported_input</t>
        </is>
      </c>
      <c r="H127" s="2" t="inlineStr">
        <is>
          <t>extract</t>
        </is>
      </c>
    </row>
    <row r="128">
      <c r="A128" s="2" t="inlineStr">
        <is>
          <t>Balance Sheet</t>
        </is>
      </c>
      <c r="B128" s="2" t="n">
        <v>115</v>
      </c>
      <c r="C128" s="2" t="inlineStr">
        <is>
          <t>B115</t>
        </is>
      </c>
      <c r="D128" s="2" t="inlineStr">
        <is>
          <t>Hedging Reserves</t>
        </is>
      </c>
      <c r="E128" s="2" t="inlineStr">
        <is>
          <t>bs_equity__hedging_reserves</t>
        </is>
      </c>
      <c r="F128" s="2" t="inlineStr">
        <is>
          <t>30</t>
        </is>
      </c>
      <c r="G128" s="2" t="inlineStr">
        <is>
          <t>reported_input</t>
        </is>
      </c>
      <c r="H128" s="2" t="inlineStr">
        <is>
          <t>extract</t>
        </is>
      </c>
    </row>
    <row r="129">
      <c r="A129" s="2" t="inlineStr">
        <is>
          <t>Balance Sheet</t>
        </is>
      </c>
      <c r="B129" s="2" t="n">
        <v>116</v>
      </c>
      <c r="C129" s="2" t="inlineStr">
        <is>
          <t>B116</t>
        </is>
      </c>
      <c r="D129" s="2" t="inlineStr">
        <is>
          <t>Other Reserves</t>
        </is>
      </c>
      <c r="E129" s="2" t="inlineStr">
        <is>
          <t>bs_equity__other_reserves</t>
        </is>
      </c>
      <c r="F129" s="2" t="inlineStr">
        <is>
          <t>47</t>
        </is>
      </c>
      <c r="G129" s="2" t="inlineStr">
        <is>
          <t>reported_input</t>
        </is>
      </c>
      <c r="H129" s="2" t="inlineStr">
        <is>
          <t>extract</t>
        </is>
      </c>
    </row>
    <row r="130">
      <c r="A130" s="2" t="inlineStr">
        <is>
          <t>Balance Sheet</t>
        </is>
      </c>
      <c r="B130" s="2" t="n">
        <v>117</v>
      </c>
      <c r="C130" s="2" t="inlineStr">
        <is>
          <t>B117</t>
        </is>
      </c>
      <c r="D130" s="2" t="inlineStr">
        <is>
          <t>Auditor adj on retained profits</t>
        </is>
      </c>
      <c r="E130" s="2" t="inlineStr">
        <is>
          <t>bs_equity__auditor_adj_on_retained_profits</t>
        </is>
      </c>
      <c r="F130" s="2" t="inlineStr">
        <is>
          <t>21</t>
        </is>
      </c>
      <c r="G130" s="2" t="inlineStr">
        <is>
          <t>reported_input</t>
        </is>
      </c>
      <c r="H130" s="2" t="inlineStr">
        <is>
          <t>extract</t>
        </is>
      </c>
    </row>
    <row r="131">
      <c r="A131" s="2" t="inlineStr">
        <is>
          <t>Balance Sheet</t>
        </is>
      </c>
      <c r="B131" s="2" t="n">
        <v>118</v>
      </c>
      <c r="C131" s="2" t="inlineStr">
        <is>
          <t>B118</t>
        </is>
      </c>
      <c r="D131" s="2" t="inlineStr">
        <is>
          <t>Retained Profits</t>
        </is>
      </c>
      <c r="E131" s="2" t="inlineStr">
        <is>
          <t>bs_equity__retained_profits</t>
        </is>
      </c>
      <c r="F131" s="2">
        <f>B106-B165-B217-B127-B113-SUM(B114:B117)-SUM(B119:B125)</f>
        <v/>
      </c>
      <c r="G131" s="2" t="inlineStr">
        <is>
          <t>formula</t>
        </is>
      </c>
      <c r="H131" s="2" t="inlineStr">
        <is>
          <t>derive</t>
        </is>
      </c>
    </row>
    <row r="132">
      <c r="A132" s="2" t="inlineStr">
        <is>
          <t>Balance Sheet</t>
        </is>
      </c>
      <c r="B132" s="2" t="n">
        <v>119</v>
      </c>
      <c r="C132" s="2" t="inlineStr">
        <is>
          <t>B119</t>
        </is>
      </c>
      <c r="D132" s="2" t="inlineStr">
        <is>
          <t>Treasury Shares(-)</t>
        </is>
      </c>
      <c r="E132" s="2" t="inlineStr">
        <is>
          <t>bs_equity__treasury_shares</t>
        </is>
      </c>
      <c r="F132" s="2" t="inlineStr">
        <is>
          <t>-12</t>
        </is>
      </c>
      <c r="G132" s="2" t="inlineStr">
        <is>
          <t>reported_input</t>
        </is>
      </c>
      <c r="H132" s="2" t="inlineStr">
        <is>
          <t>extract</t>
        </is>
      </c>
    </row>
    <row r="133">
      <c r="A133" s="2" t="inlineStr">
        <is>
          <t>Balance Sheet</t>
        </is>
      </c>
      <c r="B133" s="2" t="n">
        <v>120</v>
      </c>
      <c r="C133" s="2" t="inlineStr">
        <is>
          <t>B120</t>
        </is>
      </c>
      <c r="D133" s="2" t="inlineStr">
        <is>
          <t>Forex Translation Equity</t>
        </is>
      </c>
      <c r="E133" s="2" t="inlineStr">
        <is>
          <t>bs_equity__forex_translation_equity</t>
        </is>
      </c>
      <c r="F133" s="2" t="inlineStr">
        <is>
          <t>29</t>
        </is>
      </c>
      <c r="G133" s="2" t="inlineStr">
        <is>
          <t>reported_input</t>
        </is>
      </c>
      <c r="H133" s="2" t="inlineStr">
        <is>
          <t>extract</t>
        </is>
      </c>
    </row>
    <row r="134">
      <c r="A134" s="2" t="inlineStr">
        <is>
          <t>Balance Sheet</t>
        </is>
      </c>
      <c r="B134" s="2" t="n">
        <v>121</v>
      </c>
      <c r="C134" s="2" t="inlineStr">
        <is>
          <t>B121</t>
        </is>
      </c>
      <c r="D134" s="2" t="inlineStr">
        <is>
          <t>Subordinated Debt from related parties</t>
        </is>
      </c>
      <c r="E134" s="2" t="inlineStr">
        <is>
          <t>bs_equity__subordinated_debt_from_related_parties</t>
        </is>
      </c>
      <c r="F134" s="2" t="inlineStr">
        <is>
          <t>46</t>
        </is>
      </c>
      <c r="G134" s="2" t="inlineStr">
        <is>
          <t>reported_input</t>
        </is>
      </c>
      <c r="H134" s="2" t="inlineStr">
        <is>
          <t>extract</t>
        </is>
      </c>
    </row>
    <row r="135">
      <c r="A135" s="2" t="inlineStr">
        <is>
          <t>Balance Sheet</t>
        </is>
      </c>
      <c r="B135" s="2" t="n">
        <v>122</v>
      </c>
      <c r="C135" s="2" t="inlineStr">
        <is>
          <t>B122</t>
        </is>
      </c>
      <c r="D135" s="2" t="inlineStr">
        <is>
          <t>Subordinated Debt Equity</t>
        </is>
      </c>
      <c r="E135" s="2" t="inlineStr">
        <is>
          <t>bs_equity__subordinated_debt_equity</t>
        </is>
      </c>
      <c r="F135" s="2" t="inlineStr">
        <is>
          <t>20</t>
        </is>
      </c>
      <c r="G135" s="2" t="inlineStr">
        <is>
          <t>reported_input</t>
        </is>
      </c>
      <c r="H135" s="2" t="inlineStr">
        <is>
          <t>extract</t>
        </is>
      </c>
    </row>
    <row r="136">
      <c r="A136" s="2" t="inlineStr">
        <is>
          <t>Balance Sheet</t>
        </is>
      </c>
      <c r="B136" s="2" t="n">
        <v>123</v>
      </c>
      <c r="C136" s="2" t="inlineStr">
        <is>
          <t>B123</t>
        </is>
      </c>
      <c r="D136" s="2" t="inlineStr">
        <is>
          <t>Other Equity</t>
        </is>
      </c>
      <c r="E136" s="2" t="inlineStr">
        <is>
          <t>bs_equity__other_equity</t>
        </is>
      </c>
      <c r="F136" s="2" t="inlineStr">
        <is>
          <t>37</t>
        </is>
      </c>
      <c r="G136" s="2" t="inlineStr">
        <is>
          <t>reported_input</t>
        </is>
      </c>
      <c r="H136" s="2" t="inlineStr">
        <is>
          <t>extract</t>
        </is>
      </c>
    </row>
    <row r="137">
      <c r="A137" s="2" t="inlineStr">
        <is>
          <t>Balance Sheet</t>
        </is>
      </c>
      <c r="B137" s="2" t="n">
        <v>124</v>
      </c>
      <c r="C137" s="2" t="inlineStr">
        <is>
          <t>B124</t>
        </is>
      </c>
      <c r="D137" s="2" t="inlineStr">
        <is>
          <t>Policyholders Equity</t>
        </is>
      </c>
      <c r="E137" s="2" t="inlineStr">
        <is>
          <t>bs_equity__policyholders_equity</t>
        </is>
      </c>
      <c r="F137" s="2" t="inlineStr">
        <is>
          <t>11</t>
        </is>
      </c>
      <c r="G137" s="2" t="inlineStr">
        <is>
          <t>reported_input</t>
        </is>
      </c>
      <c r="H137" s="2" t="inlineStr">
        <is>
          <t>extract</t>
        </is>
      </c>
    </row>
    <row r="138">
      <c r="A138" s="2" t="inlineStr">
        <is>
          <t>Balance Sheet</t>
        </is>
      </c>
      <c r="B138" s="2" t="n">
        <v>125</v>
      </c>
      <c r="C138" s="2" t="inlineStr">
        <is>
          <t>B125</t>
        </is>
      </c>
      <c r="D138" s="2" t="inlineStr">
        <is>
          <t>Accum Oth Eqty Rsrv Inc</t>
        </is>
      </c>
      <c r="E138" s="2" t="inlineStr">
        <is>
          <t>bs_equity__accum_oth_eqty_rsrv_inc</t>
        </is>
      </c>
      <c r="F138" s="2" t="inlineStr">
        <is>
          <t>28</t>
        </is>
      </c>
      <c r="G138" s="2" t="inlineStr">
        <is>
          <t>reported_input</t>
        </is>
      </c>
      <c r="H138" s="2" t="inlineStr">
        <is>
          <t>extract</t>
        </is>
      </c>
    </row>
    <row r="139">
      <c r="A139" s="2" t="inlineStr">
        <is>
          <t>Balance Sheet</t>
        </is>
      </c>
      <c r="B139" s="2" t="n">
        <v>127</v>
      </c>
      <c r="C139" s="2" t="inlineStr">
        <is>
          <t>B127</t>
        </is>
      </c>
      <c r="D139" s="2" t="inlineStr">
        <is>
          <t>Minority Interest Equity</t>
        </is>
      </c>
      <c r="E139" s="2" t="inlineStr">
        <is>
          <t>bs_equity__minority_interest_equity</t>
        </is>
      </c>
      <c r="F139" s="2" t="inlineStr">
        <is>
          <t>19</t>
        </is>
      </c>
      <c r="G139" s="2" t="inlineStr">
        <is>
          <t>reported_input</t>
        </is>
      </c>
      <c r="H139" s="2" t="inlineStr">
        <is>
          <t>extract</t>
        </is>
      </c>
    </row>
    <row r="140">
      <c r="A140" s="2" t="inlineStr">
        <is>
          <t>Balance Sheet</t>
        </is>
      </c>
      <c r="B140" s="2" t="n">
        <v>128</v>
      </c>
      <c r="C140" s="2" t="inlineStr">
        <is>
          <t>B128</t>
        </is>
      </c>
      <c r="D140" s="2" t="inlineStr">
        <is>
          <t>Total Equity &amp; Reserves</t>
        </is>
      </c>
      <c r="E140" s="2" t="inlineStr">
        <is>
          <t>bs_equity__total_equity_and_reserves</t>
        </is>
      </c>
      <c r="F140" s="2">
        <f>B126+B127</f>
        <v/>
      </c>
      <c r="G140" s="2" t="inlineStr">
        <is>
          <t>formula</t>
        </is>
      </c>
      <c r="H140" s="2" t="inlineStr">
        <is>
          <t>derive</t>
        </is>
      </c>
    </row>
    <row r="141">
      <c r="A141" s="2" t="inlineStr">
        <is>
          <t>Balance Sheet</t>
        </is>
      </c>
      <c r="B141" s="2" t="n">
        <v>130</v>
      </c>
      <c r="C141" s="2" t="inlineStr">
        <is>
          <t>B130</t>
        </is>
      </c>
      <c r="D141" s="2" t="inlineStr">
        <is>
          <t>LTD Bank</t>
        </is>
      </c>
      <c r="E141" s="2" t="inlineStr">
        <is>
          <t>bs_ncl__ltd_bank</t>
        </is>
      </c>
      <c r="F141" s="2" t="inlineStr">
        <is>
          <t>27</t>
        </is>
      </c>
      <c r="G141" s="2" t="inlineStr">
        <is>
          <t>reported_input</t>
        </is>
      </c>
      <c r="H141" s="2" t="inlineStr">
        <is>
          <t>extract</t>
        </is>
      </c>
    </row>
    <row r="142">
      <c r="A142" s="2" t="inlineStr">
        <is>
          <t>Balance Sheet</t>
        </is>
      </c>
      <c r="B142" s="2" t="n">
        <v>131</v>
      </c>
      <c r="C142" s="2" t="inlineStr">
        <is>
          <t>B131</t>
        </is>
      </c>
      <c r="D142" s="2" t="inlineStr">
        <is>
          <t>Entrusted loan payables- third parties(LTP)</t>
        </is>
      </c>
      <c r="E142" s="2" t="inlineStr">
        <is>
          <t>bs_ncl__entrusted_loan_payables_third_parties_ltp</t>
        </is>
      </c>
      <c r="F142" s="2" t="inlineStr">
        <is>
          <t>44</t>
        </is>
      </c>
      <c r="G142" s="2" t="inlineStr">
        <is>
          <t>reported_input</t>
        </is>
      </c>
      <c r="H142" s="2" t="inlineStr">
        <is>
          <t>extract</t>
        </is>
      </c>
    </row>
    <row r="143">
      <c r="A143" s="2" t="inlineStr">
        <is>
          <t>Balance Sheet</t>
        </is>
      </c>
      <c r="B143" s="2" t="n">
        <v>132</v>
      </c>
      <c r="C143" s="2" t="inlineStr">
        <is>
          <t>B132</t>
        </is>
      </c>
      <c r="D143" s="2" t="inlineStr">
        <is>
          <t>Perpetual Bond</t>
        </is>
      </c>
      <c r="E143" s="2" t="inlineStr">
        <is>
          <t>bs_ncl__perpetual_bond</t>
        </is>
      </c>
      <c r="F143" s="2" t="inlineStr">
        <is>
          <t>18</t>
        </is>
      </c>
      <c r="G143" s="2" t="inlineStr">
        <is>
          <t>reported_input</t>
        </is>
      </c>
      <c r="H143" s="2" t="inlineStr">
        <is>
          <t>extract</t>
        </is>
      </c>
    </row>
    <row r="144">
      <c r="A144" s="2" t="inlineStr">
        <is>
          <t>Balance Sheet</t>
        </is>
      </c>
      <c r="B144" s="2" t="n">
        <v>133</v>
      </c>
      <c r="C144" s="2" t="inlineStr">
        <is>
          <t>B133</t>
        </is>
      </c>
      <c r="D144" s="2" t="inlineStr">
        <is>
          <t>Repo(LTP)</t>
        </is>
      </c>
      <c r="E144" s="2" t="inlineStr">
        <is>
          <t>bs_ncl__repo_ltp</t>
        </is>
      </c>
      <c r="F144" s="2" t="inlineStr">
        <is>
          <t>35</t>
        </is>
      </c>
      <c r="G144" s="2" t="inlineStr">
        <is>
          <t>reported_input</t>
        </is>
      </c>
      <c r="H144" s="2" t="inlineStr">
        <is>
          <t>extract</t>
        </is>
      </c>
    </row>
    <row r="145">
      <c r="A145" s="2" t="inlineStr">
        <is>
          <t>Balance Sheet</t>
        </is>
      </c>
      <c r="B145" s="2" t="n">
        <v>134</v>
      </c>
      <c r="C145" s="2" t="inlineStr">
        <is>
          <t>B134</t>
        </is>
      </c>
      <c r="D145" s="2" t="inlineStr">
        <is>
          <t>LTD Other</t>
        </is>
      </c>
      <c r="E145" s="2" t="inlineStr">
        <is>
          <t>bs_ncl__ltd_other</t>
        </is>
      </c>
      <c r="F145" s="2" t="inlineStr">
        <is>
          <t>52</t>
        </is>
      </c>
      <c r="G145" s="2" t="inlineStr">
        <is>
          <t>reported_input</t>
        </is>
      </c>
      <c r="H145" s="2" t="inlineStr">
        <is>
          <t>extract</t>
        </is>
      </c>
    </row>
    <row r="146">
      <c r="A146" s="2" t="inlineStr">
        <is>
          <t>Balance Sheet</t>
        </is>
      </c>
      <c r="B146" s="2" t="n">
        <v>135</v>
      </c>
      <c r="C146" s="2" t="inlineStr">
        <is>
          <t>B135</t>
        </is>
      </c>
      <c r="D146" s="2" t="inlineStr">
        <is>
          <t>LTD Convertible</t>
        </is>
      </c>
      <c r="E146" s="2" t="inlineStr">
        <is>
          <t>bs_ncl__ltd_convertible</t>
        </is>
      </c>
      <c r="F146" s="2" t="inlineStr">
        <is>
          <t>26</t>
        </is>
      </c>
      <c r="G146" s="2" t="inlineStr">
        <is>
          <t>reported_input</t>
        </is>
      </c>
      <c r="H146" s="2" t="inlineStr">
        <is>
          <t>extract</t>
        </is>
      </c>
    </row>
    <row r="147">
      <c r="A147" s="2" t="inlineStr">
        <is>
          <t>Balance Sheet</t>
        </is>
      </c>
      <c r="B147" s="2" t="n">
        <v>136</v>
      </c>
      <c r="C147" s="2" t="inlineStr">
        <is>
          <t>B136</t>
        </is>
      </c>
      <c r="D147" s="2" t="inlineStr">
        <is>
          <t>LTD Subordinated</t>
        </is>
      </c>
      <c r="E147" s="2" t="inlineStr">
        <is>
          <t>bs_ncl__ltd_subordinated</t>
        </is>
      </c>
      <c r="F147" s="2" t="inlineStr">
        <is>
          <t>43</t>
        </is>
      </c>
      <c r="G147" s="2" t="inlineStr">
        <is>
          <t>reported_input</t>
        </is>
      </c>
      <c r="H147" s="2" t="inlineStr">
        <is>
          <t>extract</t>
        </is>
      </c>
    </row>
    <row r="148">
      <c r="A148" s="2" t="inlineStr">
        <is>
          <t>Balance Sheet</t>
        </is>
      </c>
      <c r="B148" s="2" t="n">
        <v>137</v>
      </c>
      <c r="C148" s="2" t="inlineStr">
        <is>
          <t>B137</t>
        </is>
      </c>
      <c r="D148" s="2" t="inlineStr">
        <is>
          <t>Finance Leases(LTP)</t>
        </is>
      </c>
      <c r="E148" s="2" t="inlineStr">
        <is>
          <t>bs_ncl__finance_leases_ltp</t>
        </is>
      </c>
      <c r="F148" s="2" t="inlineStr">
        <is>
          <t>17</t>
        </is>
      </c>
      <c r="G148" s="2" t="inlineStr">
        <is>
          <t>reported_input</t>
        </is>
      </c>
      <c r="H148" s="2" t="inlineStr">
        <is>
          <t>extract</t>
        </is>
      </c>
    </row>
    <row r="149">
      <c r="A149" s="2" t="inlineStr">
        <is>
          <t>Balance Sheet</t>
        </is>
      </c>
      <c r="B149" s="2" t="n">
        <v>138</v>
      </c>
      <c r="C149" s="2" t="inlineStr">
        <is>
          <t>B138</t>
        </is>
      </c>
      <c r="D149" s="2" t="inlineStr">
        <is>
          <t>Entrusted loan payables- related parties(LTP)</t>
        </is>
      </c>
      <c r="E149" s="2" t="inlineStr">
        <is>
          <t>bs_ncl__entrusted_loan_payables_related_parties_ltp</t>
        </is>
      </c>
      <c r="F149" s="2" t="inlineStr">
        <is>
          <t>34</t>
        </is>
      </c>
      <c r="G149" s="2" t="inlineStr">
        <is>
          <t>reported_input</t>
        </is>
      </c>
      <c r="H149" s="2" t="inlineStr">
        <is>
          <t>extract</t>
        </is>
      </c>
    </row>
    <row r="150">
      <c r="A150" s="2" t="inlineStr">
        <is>
          <t>Balance Sheet</t>
        </is>
      </c>
      <c r="B150" s="2" t="n">
        <v>139</v>
      </c>
      <c r="C150" s="2" t="inlineStr">
        <is>
          <t>B139</t>
        </is>
      </c>
      <c r="D150" s="2" t="inlineStr">
        <is>
          <t>Due to directors(LTP)</t>
        </is>
      </c>
      <c r="E150" s="2" t="inlineStr">
        <is>
          <t>bs_ncl__due_to_directors_ltp</t>
        </is>
      </c>
      <c r="F150" s="2" t="inlineStr">
        <is>
          <t>51</t>
        </is>
      </c>
      <c r="G150" s="2" t="inlineStr">
        <is>
          <t>reported_input</t>
        </is>
      </c>
      <c r="H150" s="2" t="inlineStr">
        <is>
          <t>extract</t>
        </is>
      </c>
    </row>
    <row r="151">
      <c r="A151" s="2" t="inlineStr">
        <is>
          <t>Balance Sheet</t>
        </is>
      </c>
      <c r="B151" s="2" t="n">
        <v>140</v>
      </c>
      <c r="C151" s="2" t="inlineStr">
        <is>
          <t>B140</t>
        </is>
      </c>
      <c r="D151" s="2" t="inlineStr">
        <is>
          <t>Due to subsidiaries(LTP)</t>
        </is>
      </c>
      <c r="E151" s="2" t="inlineStr">
        <is>
          <t>bs_ncl__due_to_subsidiaries_ltp</t>
        </is>
      </c>
      <c r="F151" s="2" t="inlineStr">
        <is>
          <t>25</t>
        </is>
      </c>
      <c r="G151" s="2" t="inlineStr">
        <is>
          <t>reported_input</t>
        </is>
      </c>
      <c r="H151" s="2" t="inlineStr">
        <is>
          <t>extract</t>
        </is>
      </c>
    </row>
    <row r="152">
      <c r="A152" s="2" t="inlineStr">
        <is>
          <t>Balance Sheet</t>
        </is>
      </c>
      <c r="B152" s="2" t="n">
        <v>141</v>
      </c>
      <c r="C152" s="2" t="inlineStr">
        <is>
          <t>B141</t>
        </is>
      </c>
      <c r="D152" s="2" t="inlineStr">
        <is>
          <t>Due to Related Parties(LTP)</t>
        </is>
      </c>
      <c r="E152" s="2" t="inlineStr">
        <is>
          <t>bs_ncl__due_to_related_parties_ltp</t>
        </is>
      </c>
      <c r="F152" s="2" t="inlineStr">
        <is>
          <t>42</t>
        </is>
      </c>
      <c r="G152" s="2" t="inlineStr">
        <is>
          <t>reported_input</t>
        </is>
      </c>
      <c r="H152" s="2" t="inlineStr">
        <is>
          <t>extract</t>
        </is>
      </c>
    </row>
    <row r="153">
      <c r="A153" s="2" t="inlineStr">
        <is>
          <t>Balance Sheet</t>
        </is>
      </c>
      <c r="B153" s="2" t="n">
        <v>142</v>
      </c>
      <c r="C153" s="2" t="inlineStr">
        <is>
          <t>B142</t>
        </is>
      </c>
      <c r="D153" s="2" t="inlineStr">
        <is>
          <t>Entrusted loan payables- shareholders(LTP)</t>
        </is>
      </c>
      <c r="E153" s="2" t="inlineStr">
        <is>
          <t>bs_ncl__entrusted_loan_payables_shareholders_ltp</t>
        </is>
      </c>
      <c r="F153" s="2" t="inlineStr">
        <is>
          <t>16</t>
        </is>
      </c>
      <c r="G153" s="2" t="inlineStr">
        <is>
          <t>reported_input</t>
        </is>
      </c>
      <c r="H153" s="2" t="inlineStr">
        <is>
          <t>extract</t>
        </is>
      </c>
    </row>
    <row r="154">
      <c r="A154" s="2" t="inlineStr">
        <is>
          <t>Balance Sheet</t>
        </is>
      </c>
      <c r="B154" s="2" t="n">
        <v>143</v>
      </c>
      <c r="C154" s="2" t="inlineStr">
        <is>
          <t>B143</t>
        </is>
      </c>
      <c r="D154" s="2" t="inlineStr">
        <is>
          <t>Due to MI(LTP)</t>
        </is>
      </c>
      <c r="E154" s="2" t="inlineStr">
        <is>
          <t>bs_ncl__due_to_mi_ltp</t>
        </is>
      </c>
      <c r="F154" s="2" t="inlineStr">
        <is>
          <t>33</t>
        </is>
      </c>
      <c r="G154" s="2" t="inlineStr">
        <is>
          <t>reported_input</t>
        </is>
      </c>
      <c r="H154" s="2" t="inlineStr">
        <is>
          <t>extract</t>
        </is>
      </c>
    </row>
    <row r="155">
      <c r="A155" s="2" t="inlineStr">
        <is>
          <t>Balance Sheet</t>
        </is>
      </c>
      <c r="B155" s="2" t="n">
        <v>144</v>
      </c>
      <c r="C155" s="2" t="inlineStr">
        <is>
          <t>B144</t>
        </is>
      </c>
      <c r="D155" s="2" t="inlineStr">
        <is>
          <t>Due to S'holder(LTP)</t>
        </is>
      </c>
      <c r="E155" s="2" t="inlineStr">
        <is>
          <t>bs_ncl__due_to_sholder_ltp</t>
        </is>
      </c>
      <c r="F155" s="2" t="inlineStr">
        <is>
          <t>50</t>
        </is>
      </c>
      <c r="G155" s="2" t="inlineStr">
        <is>
          <t>reported_input</t>
        </is>
      </c>
      <c r="H155" s="2" t="inlineStr">
        <is>
          <t>extract</t>
        </is>
      </c>
    </row>
    <row r="156">
      <c r="A156" s="2" t="inlineStr">
        <is>
          <t>Balance Sheet</t>
        </is>
      </c>
      <c r="B156" s="2" t="n">
        <v>145</v>
      </c>
      <c r="C156" s="2" t="inlineStr">
        <is>
          <t>B145</t>
        </is>
      </c>
      <c r="D156" s="2" t="inlineStr">
        <is>
          <t>Lease liabilities(LTP)</t>
        </is>
      </c>
      <c r="E156" s="2" t="inlineStr">
        <is>
          <t>bs_ncl__lease_liabilities_ltp</t>
        </is>
      </c>
      <c r="F156" s="2" t="inlineStr">
        <is>
          <t>24</t>
        </is>
      </c>
      <c r="G156" s="2" t="inlineStr">
        <is>
          <t>reported_input</t>
        </is>
      </c>
      <c r="H156" s="2" t="inlineStr">
        <is>
          <t>extract</t>
        </is>
      </c>
    </row>
    <row r="157">
      <c r="A157" s="2" t="inlineStr">
        <is>
          <t>Balance Sheet</t>
        </is>
      </c>
      <c r="B157" s="2" t="n">
        <v>146</v>
      </c>
      <c r="C157" s="2" t="inlineStr">
        <is>
          <t>B146</t>
        </is>
      </c>
      <c r="D157" s="2" t="inlineStr">
        <is>
          <t>Other Non-Current Liabilities</t>
        </is>
      </c>
      <c r="E157" s="2" t="inlineStr">
        <is>
          <t>bs_ncl__other_non_current_liabilities</t>
        </is>
      </c>
      <c r="F157" s="2" t="inlineStr">
        <is>
          <t>41</t>
        </is>
      </c>
      <c r="G157" s="2" t="inlineStr">
        <is>
          <t>reported_input</t>
        </is>
      </c>
      <c r="H157" s="2" t="inlineStr">
        <is>
          <t>extract</t>
        </is>
      </c>
    </row>
    <row r="158">
      <c r="A158" s="2" t="inlineStr">
        <is>
          <t>Balance Sheet</t>
        </is>
      </c>
      <c r="B158" s="2" t="n">
        <v>147</v>
      </c>
      <c r="C158" s="2" t="inlineStr">
        <is>
          <t>B147</t>
        </is>
      </c>
      <c r="D158" s="2" t="inlineStr">
        <is>
          <t>Customer Advances(LTP)</t>
        </is>
      </c>
      <c r="E158" s="2" t="inlineStr">
        <is>
          <t>bs_ncl__customer_advances_ltp</t>
        </is>
      </c>
      <c r="F158" s="2" t="inlineStr">
        <is>
          <t>15</t>
        </is>
      </c>
      <c r="G158" s="2" t="inlineStr">
        <is>
          <t>reported_input</t>
        </is>
      </c>
      <c r="H158" s="2" t="inlineStr">
        <is>
          <t>extract</t>
        </is>
      </c>
    </row>
    <row r="159">
      <c r="A159" s="2" t="inlineStr">
        <is>
          <t>Balance Sheet</t>
        </is>
      </c>
      <c r="B159" s="2" t="n">
        <v>148</v>
      </c>
      <c r="C159" s="2" t="inlineStr">
        <is>
          <t>B148</t>
        </is>
      </c>
      <c r="D159" s="2" t="inlineStr">
        <is>
          <t>Deferred Income(LTP)</t>
        </is>
      </c>
      <c r="E159" s="2" t="inlineStr">
        <is>
          <t>bs_ncl__deferred_income_ltp</t>
        </is>
      </c>
      <c r="F159" s="2" t="inlineStr">
        <is>
          <t>32</t>
        </is>
      </c>
      <c r="G159" s="2" t="inlineStr">
        <is>
          <t>reported_input</t>
        </is>
      </c>
      <c r="H159" s="2" t="inlineStr">
        <is>
          <t>extract</t>
        </is>
      </c>
    </row>
    <row r="160">
      <c r="A160" s="2" t="inlineStr">
        <is>
          <t>Balance Sheet</t>
        </is>
      </c>
      <c r="B160" s="2" t="n">
        <v>149</v>
      </c>
      <c r="C160" s="2" t="inlineStr">
        <is>
          <t>B149</t>
        </is>
      </c>
      <c r="D160" s="2" t="inlineStr">
        <is>
          <t>Futures(NCL)</t>
        </is>
      </c>
      <c r="E160" s="2" t="inlineStr">
        <is>
          <t>bs_ncl__futures_ncl</t>
        </is>
      </c>
      <c r="F160" s="2" t="inlineStr">
        <is>
          <t>49</t>
        </is>
      </c>
      <c r="G160" s="2" t="inlineStr">
        <is>
          <t>reported_input</t>
        </is>
      </c>
      <c r="H160" s="2" t="inlineStr">
        <is>
          <t>extract</t>
        </is>
      </c>
    </row>
    <row r="161">
      <c r="A161" s="2" t="inlineStr">
        <is>
          <t>Balance Sheet</t>
        </is>
      </c>
      <c r="B161" s="2" t="n">
        <v>150</v>
      </c>
      <c r="C161" s="2" t="inlineStr">
        <is>
          <t>B150</t>
        </is>
      </c>
      <c r="D161" s="2" t="inlineStr">
        <is>
          <t>Options(NCL)</t>
        </is>
      </c>
      <c r="E161" s="2" t="inlineStr">
        <is>
          <t>bs_ncl__options_ncl</t>
        </is>
      </c>
      <c r="F161" s="2" t="inlineStr">
        <is>
          <t>23</t>
        </is>
      </c>
      <c r="G161" s="2" t="inlineStr">
        <is>
          <t>reported_input</t>
        </is>
      </c>
      <c r="H161" s="2" t="inlineStr">
        <is>
          <t>extract</t>
        </is>
      </c>
    </row>
    <row r="162">
      <c r="A162" s="2" t="inlineStr">
        <is>
          <t>Balance Sheet</t>
        </is>
      </c>
      <c r="B162" s="2" t="n">
        <v>151</v>
      </c>
      <c r="C162" s="2" t="inlineStr">
        <is>
          <t>B151</t>
        </is>
      </c>
      <c r="D162" s="2" t="inlineStr">
        <is>
          <t>Forwards(NCL)</t>
        </is>
      </c>
      <c r="E162" s="2" t="inlineStr">
        <is>
          <t>bs_ncl__forwards_ncl</t>
        </is>
      </c>
      <c r="F162" s="2" t="inlineStr">
        <is>
          <t>40</t>
        </is>
      </c>
      <c r="G162" s="2" t="inlineStr">
        <is>
          <t>reported_input</t>
        </is>
      </c>
      <c r="H162" s="2" t="inlineStr">
        <is>
          <t>extract</t>
        </is>
      </c>
    </row>
    <row r="163">
      <c r="A163" s="2" t="inlineStr">
        <is>
          <t>Balance Sheet</t>
        </is>
      </c>
      <c r="B163" s="2" t="n">
        <v>152</v>
      </c>
      <c r="C163" s="2" t="inlineStr">
        <is>
          <t>B152</t>
        </is>
      </c>
      <c r="D163" s="2" t="inlineStr">
        <is>
          <t>Commodities(NCL)</t>
        </is>
      </c>
      <c r="E163" s="2" t="inlineStr">
        <is>
          <t>bs_ncl__commodities_ncl</t>
        </is>
      </c>
      <c r="F163" s="2" t="inlineStr">
        <is>
          <t>14</t>
        </is>
      </c>
      <c r="G163" s="2" t="inlineStr">
        <is>
          <t>reported_input</t>
        </is>
      </c>
      <c r="H163" s="2" t="inlineStr">
        <is>
          <t>extract</t>
        </is>
      </c>
    </row>
    <row r="164">
      <c r="A164" s="2" t="inlineStr">
        <is>
          <t>Balance Sheet</t>
        </is>
      </c>
      <c r="B164" s="2" t="n">
        <v>153</v>
      </c>
      <c r="C164" s="2" t="inlineStr">
        <is>
          <t>B153</t>
        </is>
      </c>
      <c r="D164" s="2" t="inlineStr">
        <is>
          <t>Swaps(NCL)</t>
        </is>
      </c>
      <c r="E164" s="2" t="inlineStr">
        <is>
          <t>bs_ncl__swaps_ncl</t>
        </is>
      </c>
      <c r="F164" s="2" t="inlineStr">
        <is>
          <t>31</t>
        </is>
      </c>
      <c r="G164" s="2" t="inlineStr">
        <is>
          <t>reported_input</t>
        </is>
      </c>
      <c r="H164" s="2" t="inlineStr">
        <is>
          <t>extract</t>
        </is>
      </c>
    </row>
    <row r="165">
      <c r="A165" s="2" t="inlineStr">
        <is>
          <t>Balance Sheet</t>
        </is>
      </c>
      <c r="B165" s="2" t="n">
        <v>154</v>
      </c>
      <c r="C165" s="2" t="inlineStr">
        <is>
          <t>B154</t>
        </is>
      </c>
      <c r="D165" s="2" t="inlineStr">
        <is>
          <t>Deriv &amp; Hedg Liab(LTP)</t>
        </is>
      </c>
      <c r="E165" s="2" t="inlineStr">
        <is>
          <t>bs_ncl__deriv_and_hedg_liab_ltp</t>
        </is>
      </c>
      <c r="F165" s="2" t="inlineStr">
        <is>
          <t>48</t>
        </is>
      </c>
      <c r="G165" s="2" t="inlineStr">
        <is>
          <t>reported_input</t>
        </is>
      </c>
      <c r="H165" s="2" t="inlineStr">
        <is>
          <t>extract</t>
        </is>
      </c>
    </row>
    <row r="166">
      <c r="A166" s="2" t="inlineStr">
        <is>
          <t>Balance Sheet</t>
        </is>
      </c>
      <c r="B166" s="2" t="n">
        <v>155</v>
      </c>
      <c r="C166" s="2" t="inlineStr">
        <is>
          <t>B155</t>
        </is>
      </c>
      <c r="D166" s="2" t="inlineStr">
        <is>
          <t>Trade and other payables(LTP)</t>
        </is>
      </c>
      <c r="E166" s="2" t="inlineStr">
        <is>
          <t>bs_ncl__trade_and_other_payables_ltp</t>
        </is>
      </c>
      <c r="F166" s="2" t="inlineStr">
        <is>
          <t>22</t>
        </is>
      </c>
      <c r="G166" s="2" t="inlineStr">
        <is>
          <t>reported_input</t>
        </is>
      </c>
      <c r="H166" s="2" t="inlineStr">
        <is>
          <t>extract</t>
        </is>
      </c>
    </row>
    <row r="167">
      <c r="A167" s="2" t="inlineStr">
        <is>
          <t>Balance Sheet</t>
        </is>
      </c>
      <c r="B167" s="2" t="n">
        <v>156</v>
      </c>
      <c r="C167" s="2" t="inlineStr">
        <is>
          <t>B156</t>
        </is>
      </c>
      <c r="D167" s="2" t="inlineStr">
        <is>
          <t>Trade Payables(LTP)</t>
        </is>
      </c>
      <c r="E167" s="2" t="inlineStr">
        <is>
          <t>bs_ncl__trade_payables_ltp</t>
        </is>
      </c>
      <c r="F167" s="2" t="inlineStr">
        <is>
          <t>39</t>
        </is>
      </c>
      <c r="G167" s="2" t="inlineStr">
        <is>
          <t>reported_input</t>
        </is>
      </c>
      <c r="H167" s="2" t="inlineStr">
        <is>
          <t>extract</t>
        </is>
      </c>
    </row>
    <row r="168">
      <c r="A168" s="2" t="inlineStr">
        <is>
          <t>Balance Sheet</t>
        </is>
      </c>
      <c r="B168" s="2" t="n">
        <v>157</v>
      </c>
      <c r="C168" s="2" t="inlineStr">
        <is>
          <t>B157</t>
        </is>
      </c>
      <c r="D168" s="2" t="inlineStr">
        <is>
          <t>Soc Sec &amp; Other Taxes(LTP)</t>
        </is>
      </c>
      <c r="E168" s="2" t="inlineStr">
        <is>
          <t>bs_ncl__soc_sec_and_other_taxes_ltp</t>
        </is>
      </c>
      <c r="F168" s="2" t="inlineStr">
        <is>
          <t>13</t>
        </is>
      </c>
      <c r="G168" s="2" t="inlineStr">
        <is>
          <t>reported_input</t>
        </is>
      </c>
      <c r="H168" s="2" t="inlineStr">
        <is>
          <t>extract</t>
        </is>
      </c>
    </row>
    <row r="169">
      <c r="A169" s="2" t="inlineStr">
        <is>
          <t>Balance Sheet</t>
        </is>
      </c>
      <c r="B169" s="2" t="n">
        <v>158</v>
      </c>
      <c r="C169" s="2" t="inlineStr">
        <is>
          <t>B158</t>
        </is>
      </c>
      <c r="D169" s="2" t="inlineStr">
        <is>
          <t>Decomm &amp; Envir Costs(LTP)</t>
        </is>
      </c>
      <c r="E169" s="2" t="inlineStr">
        <is>
          <t>bs_ncl__decomm_and_envir_costs_ltp</t>
        </is>
      </c>
      <c r="F169" s="2" t="inlineStr">
        <is>
          <t>30</t>
        </is>
      </c>
      <c r="G169" s="2" t="inlineStr">
        <is>
          <t>reported_input</t>
        </is>
      </c>
      <c r="H169" s="2" t="inlineStr">
        <is>
          <t>extract</t>
        </is>
      </c>
    </row>
    <row r="170">
      <c r="A170" s="2" t="inlineStr">
        <is>
          <t>Balance Sheet</t>
        </is>
      </c>
      <c r="B170" s="2" t="n">
        <v>159</v>
      </c>
      <c r="C170" s="2" t="inlineStr">
        <is>
          <t>B159</t>
        </is>
      </c>
      <c r="D170" s="2" t="inlineStr">
        <is>
          <t>Share Option Costs(LTP)</t>
        </is>
      </c>
      <c r="E170" s="2" t="inlineStr">
        <is>
          <t>bs_ncl__share_option_costs_ltp</t>
        </is>
      </c>
      <c r="F170" s="2" t="inlineStr">
        <is>
          <t>47</t>
        </is>
      </c>
      <c r="G170" s="2" t="inlineStr">
        <is>
          <t>reported_input</t>
        </is>
      </c>
      <c r="H170" s="2" t="inlineStr">
        <is>
          <t>extract</t>
        </is>
      </c>
    </row>
    <row r="171">
      <c r="A171" s="2" t="inlineStr">
        <is>
          <t>Balance Sheet</t>
        </is>
      </c>
      <c r="B171" s="2" t="n">
        <v>160</v>
      </c>
      <c r="C171" s="2" t="inlineStr">
        <is>
          <t>B160</t>
        </is>
      </c>
      <c r="D171" s="2" t="inlineStr">
        <is>
          <t>Retirement Benefits(LTP)</t>
        </is>
      </c>
      <c r="E171" s="2" t="inlineStr">
        <is>
          <t>bs_ncl__retirement_benefits_ltp</t>
        </is>
      </c>
      <c r="F171" s="2" t="inlineStr">
        <is>
          <t>21</t>
        </is>
      </c>
      <c r="G171" s="2" t="inlineStr">
        <is>
          <t>reported_input</t>
        </is>
      </c>
      <c r="H171" s="2" t="inlineStr">
        <is>
          <t>extract</t>
        </is>
      </c>
    </row>
    <row r="172">
      <c r="A172" s="2" t="inlineStr">
        <is>
          <t>Balance Sheet</t>
        </is>
      </c>
      <c r="B172" s="2" t="n">
        <v>161</v>
      </c>
      <c r="C172" s="2" t="inlineStr">
        <is>
          <t>B161</t>
        </is>
      </c>
      <c r="D172" s="2" t="inlineStr">
        <is>
          <t>Deferred Tax Liability</t>
        </is>
      </c>
      <c r="E172" s="2" t="inlineStr">
        <is>
          <t>bs_ncl__deferred_tax_liability</t>
        </is>
      </c>
      <c r="F172" s="2" t="inlineStr">
        <is>
          <t>38</t>
        </is>
      </c>
      <c r="G172" s="2" t="inlineStr">
        <is>
          <t>reported_input</t>
        </is>
      </c>
      <c r="H172" s="2" t="inlineStr">
        <is>
          <t>extract</t>
        </is>
      </c>
    </row>
    <row r="173">
      <c r="A173" s="2" t="inlineStr">
        <is>
          <t>Balance Sheet</t>
        </is>
      </c>
      <c r="B173" s="2" t="n">
        <v>162</v>
      </c>
      <c r="C173" s="2" t="inlineStr">
        <is>
          <t>B162</t>
        </is>
      </c>
      <c r="D173" s="2" t="inlineStr">
        <is>
          <t>Restruct Provision(LTP)</t>
        </is>
      </c>
      <c r="E173" s="2" t="inlineStr">
        <is>
          <t>bs_ncl__restruct_provision_ltp</t>
        </is>
      </c>
      <c r="F173" s="2" t="inlineStr">
        <is>
          <t>12</t>
        </is>
      </c>
      <c r="G173" s="2" t="inlineStr">
        <is>
          <t>reported_input</t>
        </is>
      </c>
      <c r="H173" s="2" t="inlineStr">
        <is>
          <t>extract</t>
        </is>
      </c>
    </row>
    <row r="174">
      <c r="A174" s="2" t="inlineStr">
        <is>
          <t>Balance Sheet</t>
        </is>
      </c>
      <c r="B174" s="2" t="n">
        <v>163</v>
      </c>
      <c r="C174" s="2" t="inlineStr">
        <is>
          <t>B163</t>
        </is>
      </c>
      <c r="D174" s="2" t="inlineStr">
        <is>
          <t>Tax Provision(LTP)</t>
        </is>
      </c>
      <c r="E174" s="2" t="inlineStr">
        <is>
          <t>bs_ncl__tax_provision_ltp</t>
        </is>
      </c>
      <c r="F174" s="2" t="inlineStr">
        <is>
          <t>29</t>
        </is>
      </c>
      <c r="G174" s="2" t="inlineStr">
        <is>
          <t>reported_input</t>
        </is>
      </c>
      <c r="H174" s="2" t="inlineStr">
        <is>
          <t>extract</t>
        </is>
      </c>
    </row>
    <row r="175">
      <c r="A175" s="2" t="inlineStr">
        <is>
          <t>Balance Sheet</t>
        </is>
      </c>
      <c r="B175" s="2" t="n">
        <v>164</v>
      </c>
      <c r="C175" s="2" t="inlineStr">
        <is>
          <t>B164</t>
        </is>
      </c>
      <c r="D175" s="2" t="inlineStr">
        <is>
          <t>Other Provisions(LTP)</t>
        </is>
      </c>
      <c r="E175" s="2" t="inlineStr">
        <is>
          <t>bs_ncl__other_provisions_ltp</t>
        </is>
      </c>
      <c r="F175" s="2" t="inlineStr">
        <is>
          <t>46</t>
        </is>
      </c>
      <c r="G175" s="2" t="inlineStr">
        <is>
          <t>reported_input</t>
        </is>
      </c>
      <c r="H175" s="2" t="inlineStr">
        <is>
          <t>extract</t>
        </is>
      </c>
    </row>
    <row r="176">
      <c r="A176" s="2" t="inlineStr">
        <is>
          <t>Balance Sheet</t>
        </is>
      </c>
      <c r="B176" s="2" t="n">
        <v>165</v>
      </c>
      <c r="C176" s="2" t="inlineStr">
        <is>
          <t>B165</t>
        </is>
      </c>
      <c r="D176" s="2" t="inlineStr">
        <is>
          <t>Total Non-Current Liabilities</t>
        </is>
      </c>
      <c r="E176" s="2" t="inlineStr">
        <is>
          <t>bs_ncl__total_non_current_liabilities</t>
        </is>
      </c>
      <c r="F176" s="2">
        <f>SUM(B130:B164)</f>
        <v/>
      </c>
      <c r="G176" s="2" t="inlineStr">
        <is>
          <t>formula</t>
        </is>
      </c>
      <c r="H176" s="2" t="inlineStr">
        <is>
          <t>derive</t>
        </is>
      </c>
    </row>
    <row r="177">
      <c r="A177" s="2" t="inlineStr">
        <is>
          <t>Balance Sheet</t>
        </is>
      </c>
      <c r="B177" s="2" t="n">
        <v>167</v>
      </c>
      <c r="C177" s="2" t="inlineStr">
        <is>
          <t>B167</t>
        </is>
      </c>
      <c r="D177" s="2" t="inlineStr">
        <is>
          <t>CPLTD Bank</t>
        </is>
      </c>
      <c r="E177" s="2" t="inlineStr">
        <is>
          <t>bs_cl__cpltd_bank</t>
        </is>
      </c>
      <c r="F177" s="2" t="inlineStr">
        <is>
          <t>11</t>
        </is>
      </c>
      <c r="G177" s="2" t="inlineStr">
        <is>
          <t>reported_input</t>
        </is>
      </c>
      <c r="H177" s="2" t="inlineStr">
        <is>
          <t>extract</t>
        </is>
      </c>
    </row>
    <row r="178">
      <c r="A178" s="2" t="inlineStr">
        <is>
          <t>Balance Sheet</t>
        </is>
      </c>
      <c r="B178" s="2" t="n">
        <v>168</v>
      </c>
      <c r="C178" s="2" t="inlineStr">
        <is>
          <t>B168</t>
        </is>
      </c>
      <c r="D178" s="2" t="inlineStr">
        <is>
          <t>Entrusted loan payables- third parties(CP)</t>
        </is>
      </c>
      <c r="E178" s="2" t="inlineStr">
        <is>
          <t>bs_cl__entrusted_loan_payables_third_parties_cp</t>
        </is>
      </c>
      <c r="F178" s="2" t="inlineStr">
        <is>
          <t>28</t>
        </is>
      </c>
      <c r="G178" s="2" t="inlineStr">
        <is>
          <t>reported_input</t>
        </is>
      </c>
      <c r="H178" s="2" t="inlineStr">
        <is>
          <t>extract</t>
        </is>
      </c>
    </row>
    <row r="179">
      <c r="A179" s="2" t="inlineStr">
        <is>
          <t>Balance Sheet</t>
        </is>
      </c>
      <c r="B179" s="2" t="n">
        <v>169</v>
      </c>
      <c r="C179" s="2" t="inlineStr">
        <is>
          <t>B169</t>
        </is>
      </c>
      <c r="D179" s="2" t="inlineStr">
        <is>
          <t>CPLTD Other</t>
        </is>
      </c>
      <c r="E179" s="2" t="inlineStr">
        <is>
          <t>bs_cl__cpltd_other</t>
        </is>
      </c>
      <c r="F179" s="2" t="inlineStr">
        <is>
          <t>45</t>
        </is>
      </c>
      <c r="G179" s="2" t="inlineStr">
        <is>
          <t>reported_input</t>
        </is>
      </c>
      <c r="H179" s="2" t="inlineStr">
        <is>
          <t>extract</t>
        </is>
      </c>
    </row>
    <row r="180">
      <c r="A180" s="2" t="inlineStr">
        <is>
          <t>Balance Sheet</t>
        </is>
      </c>
      <c r="B180" s="2" t="n">
        <v>170</v>
      </c>
      <c r="C180" s="2" t="inlineStr">
        <is>
          <t>B170</t>
        </is>
      </c>
      <c r="D180" s="2" t="inlineStr">
        <is>
          <t>CPLTD Convertible</t>
        </is>
      </c>
      <c r="E180" s="2" t="inlineStr">
        <is>
          <t>bs_cl__cpltd_convertible</t>
        </is>
      </c>
      <c r="F180" s="2" t="inlineStr">
        <is>
          <t>19</t>
        </is>
      </c>
      <c r="G180" s="2" t="inlineStr">
        <is>
          <t>reported_input</t>
        </is>
      </c>
      <c r="H180" s="2" t="inlineStr">
        <is>
          <t>extract</t>
        </is>
      </c>
    </row>
    <row r="181">
      <c r="A181" s="2" t="inlineStr">
        <is>
          <t>Balance Sheet</t>
        </is>
      </c>
      <c r="B181" s="2" t="n">
        <v>171</v>
      </c>
      <c r="C181" s="2" t="inlineStr">
        <is>
          <t>B171</t>
        </is>
      </c>
      <c r="D181" s="2" t="inlineStr">
        <is>
          <t>CPLTD Subordinated</t>
        </is>
      </c>
      <c r="E181" s="2" t="inlineStr">
        <is>
          <t>bs_cl__cpltd_subordinated</t>
        </is>
      </c>
      <c r="F181" s="2" t="inlineStr">
        <is>
          <t>36</t>
        </is>
      </c>
      <c r="G181" s="2" t="inlineStr">
        <is>
          <t>reported_input</t>
        </is>
      </c>
      <c r="H181" s="2" t="inlineStr">
        <is>
          <t>extract</t>
        </is>
      </c>
    </row>
    <row r="182">
      <c r="A182" s="2" t="inlineStr">
        <is>
          <t>Balance Sheet</t>
        </is>
      </c>
      <c r="B182" s="2" t="n">
        <v>172</v>
      </c>
      <c r="C182" s="2" t="inlineStr">
        <is>
          <t>B172</t>
        </is>
      </c>
      <c r="D182" s="2" t="inlineStr">
        <is>
          <t>Trade financing</t>
        </is>
      </c>
      <c r="E182" s="2" t="inlineStr">
        <is>
          <t>bs_cl__trade_financing</t>
        </is>
      </c>
      <c r="F182" s="2" t="inlineStr">
        <is>
          <t>10</t>
        </is>
      </c>
      <c r="G182" s="2" t="inlineStr">
        <is>
          <t>reported_input</t>
        </is>
      </c>
      <c r="H182" s="2" t="inlineStr">
        <is>
          <t>extract</t>
        </is>
      </c>
    </row>
    <row r="183">
      <c r="A183" s="2" t="inlineStr">
        <is>
          <t>Balance Sheet</t>
        </is>
      </c>
      <c r="B183" s="2" t="n">
        <v>173</v>
      </c>
      <c r="C183" s="2" t="inlineStr">
        <is>
          <t>B173</t>
        </is>
      </c>
      <c r="D183" s="2" t="inlineStr">
        <is>
          <t>ST Bank Loans Payable</t>
        </is>
      </c>
      <c r="E183" s="2" t="inlineStr">
        <is>
          <t>bs_cl__st_bank_loans_payable</t>
        </is>
      </c>
      <c r="F183" s="2" t="inlineStr">
        <is>
          <t>27</t>
        </is>
      </c>
      <c r="G183" s="2" t="inlineStr">
        <is>
          <t>reported_input</t>
        </is>
      </c>
      <c r="H183" s="2" t="inlineStr">
        <is>
          <t>extract</t>
        </is>
      </c>
    </row>
    <row r="184">
      <c r="A184" s="2" t="inlineStr">
        <is>
          <t>Balance Sheet</t>
        </is>
      </c>
      <c r="B184" s="2" t="n">
        <v>174</v>
      </c>
      <c r="C184" s="2" t="inlineStr">
        <is>
          <t>B174</t>
        </is>
      </c>
      <c r="D184" s="2" t="inlineStr">
        <is>
          <t>IPO Loans (ST Bank Loans Pay)</t>
        </is>
      </c>
      <c r="E184" s="2" t="inlineStr">
        <is>
          <t>bs_cl__ipo_loans_st_bank_loans_pay</t>
        </is>
      </c>
      <c r="F184" s="2" t="inlineStr">
        <is>
          <t>44</t>
        </is>
      </c>
      <c r="G184" s="2" t="inlineStr">
        <is>
          <t>reported_input</t>
        </is>
      </c>
      <c r="H184" s="2" t="inlineStr">
        <is>
          <t>extract</t>
        </is>
      </c>
    </row>
    <row r="185">
      <c r="A185" s="2" t="inlineStr">
        <is>
          <t>Balance Sheet</t>
        </is>
      </c>
      <c r="B185" s="2" t="n">
        <v>175</v>
      </c>
      <c r="C185" s="2" t="inlineStr">
        <is>
          <t>B175</t>
        </is>
      </c>
      <c r="D185" s="2" t="inlineStr">
        <is>
          <t>IPO Loans (ST Other Loans Pay)</t>
        </is>
      </c>
      <c r="E185" s="2" t="inlineStr">
        <is>
          <t>bs_cl__ipo_loans_st_other_loans_pay</t>
        </is>
      </c>
      <c r="F185" s="2" t="inlineStr">
        <is>
          <t>18</t>
        </is>
      </c>
      <c r="G185" s="2" t="inlineStr">
        <is>
          <t>reported_input</t>
        </is>
      </c>
      <c r="H185" s="2" t="inlineStr">
        <is>
          <t>extract</t>
        </is>
      </c>
    </row>
    <row r="186">
      <c r="A186" s="2" t="inlineStr">
        <is>
          <t>Balance Sheet</t>
        </is>
      </c>
      <c r="B186" s="2" t="n">
        <v>176</v>
      </c>
      <c r="C186" s="2" t="inlineStr">
        <is>
          <t>B176</t>
        </is>
      </c>
      <c r="D186" s="2" t="inlineStr">
        <is>
          <t>Repo(CP)</t>
        </is>
      </c>
      <c r="E186" s="2" t="inlineStr">
        <is>
          <t>bs_cl__repo_cp</t>
        </is>
      </c>
      <c r="F186" s="2" t="inlineStr">
        <is>
          <t>35</t>
        </is>
      </c>
      <c r="G186" s="2" t="inlineStr">
        <is>
          <t>reported_input</t>
        </is>
      </c>
      <c r="H186" s="2" t="inlineStr">
        <is>
          <t>extract</t>
        </is>
      </c>
    </row>
    <row r="187">
      <c r="A187" s="2" t="inlineStr">
        <is>
          <t>Balance Sheet</t>
        </is>
      </c>
      <c r="B187" s="2" t="n">
        <v>177</v>
      </c>
      <c r="C187" s="2" t="inlineStr">
        <is>
          <t>B177</t>
        </is>
      </c>
      <c r="D187" s="2" t="inlineStr">
        <is>
          <t>ST Other Loans Payable</t>
        </is>
      </c>
      <c r="E187" s="2" t="inlineStr">
        <is>
          <t>bs_cl__st_other_loans_payable</t>
        </is>
      </c>
      <c r="F187" s="2" t="inlineStr">
        <is>
          <t>52</t>
        </is>
      </c>
      <c r="G187" s="2" t="inlineStr">
        <is>
          <t>reported_input</t>
        </is>
      </c>
      <c r="H187" s="2" t="inlineStr">
        <is>
          <t>extract</t>
        </is>
      </c>
    </row>
    <row r="188">
      <c r="A188" s="2" t="inlineStr">
        <is>
          <t>Balance Sheet</t>
        </is>
      </c>
      <c r="B188" s="2" t="n">
        <v>178</v>
      </c>
      <c r="C188" s="2" t="inlineStr">
        <is>
          <t>B178</t>
        </is>
      </c>
      <c r="D188" s="2" t="inlineStr">
        <is>
          <t>Finance Leases(CP)</t>
        </is>
      </c>
      <c r="E188" s="2" t="inlineStr">
        <is>
          <t>bs_cl__finance_leases_cp</t>
        </is>
      </c>
      <c r="F188" s="2" t="inlineStr">
        <is>
          <t>26</t>
        </is>
      </c>
      <c r="G188" s="2" t="inlineStr">
        <is>
          <t>reported_input</t>
        </is>
      </c>
      <c r="H188" s="2" t="inlineStr">
        <is>
          <t>extract</t>
        </is>
      </c>
    </row>
    <row r="189">
      <c r="A189" s="2" t="inlineStr">
        <is>
          <t>Balance Sheet</t>
        </is>
      </c>
      <c r="B189" s="2" t="n">
        <v>179</v>
      </c>
      <c r="C189" s="2" t="inlineStr">
        <is>
          <t>B179</t>
        </is>
      </c>
      <c r="D189" s="2" t="inlineStr">
        <is>
          <t>Overdrafts</t>
        </is>
      </c>
      <c r="E189" s="2" t="inlineStr">
        <is>
          <t>bs_cl__overdrafts</t>
        </is>
      </c>
      <c r="F189" s="2" t="inlineStr">
        <is>
          <t>43</t>
        </is>
      </c>
      <c r="G189" s="2" t="inlineStr">
        <is>
          <t>reported_input</t>
        </is>
      </c>
      <c r="H189" s="2" t="inlineStr">
        <is>
          <t>extract</t>
        </is>
      </c>
    </row>
    <row r="190">
      <c r="A190" s="2" t="inlineStr">
        <is>
          <t>Balance Sheet</t>
        </is>
      </c>
      <c r="B190" s="2" t="n">
        <v>180</v>
      </c>
      <c r="C190" s="2" t="inlineStr">
        <is>
          <t>B180</t>
        </is>
      </c>
      <c r="D190" s="2" t="inlineStr">
        <is>
          <t>Entrusted loan payables- related parties(CP)</t>
        </is>
      </c>
      <c r="E190" s="2" t="inlineStr">
        <is>
          <t>bs_cl__entrusted_loan_payables_related_parties_cp</t>
        </is>
      </c>
      <c r="F190" s="2" t="inlineStr">
        <is>
          <t>17</t>
        </is>
      </c>
      <c r="G190" s="2" t="inlineStr">
        <is>
          <t>reported_input</t>
        </is>
      </c>
      <c r="H190" s="2" t="inlineStr">
        <is>
          <t>extract</t>
        </is>
      </c>
    </row>
    <row r="191">
      <c r="A191" s="2" t="inlineStr">
        <is>
          <t>Balance Sheet</t>
        </is>
      </c>
      <c r="B191" s="2" t="n">
        <v>181</v>
      </c>
      <c r="C191" s="2" t="inlineStr">
        <is>
          <t>B181</t>
        </is>
      </c>
      <c r="D191" s="2" t="inlineStr">
        <is>
          <t>Due to directors(CP)</t>
        </is>
      </c>
      <c r="E191" s="2" t="inlineStr">
        <is>
          <t>bs_cl__due_to_directors_cp</t>
        </is>
      </c>
      <c r="F191" s="2" t="inlineStr">
        <is>
          <t>34</t>
        </is>
      </c>
      <c r="G191" s="2" t="inlineStr">
        <is>
          <t>reported_input</t>
        </is>
      </c>
      <c r="H191" s="2" t="inlineStr">
        <is>
          <t>extract</t>
        </is>
      </c>
    </row>
    <row r="192">
      <c r="A192" s="2" t="inlineStr">
        <is>
          <t>Balance Sheet</t>
        </is>
      </c>
      <c r="B192" s="2" t="n">
        <v>182</v>
      </c>
      <c r="C192" s="2" t="inlineStr">
        <is>
          <t>B182</t>
        </is>
      </c>
      <c r="D192" s="2" t="inlineStr">
        <is>
          <t>Due to subsidiaries(CP)</t>
        </is>
      </c>
      <c r="E192" s="2" t="inlineStr">
        <is>
          <t>bs_cl__due_to_subsidiaries_cp</t>
        </is>
      </c>
      <c r="F192" s="2" t="inlineStr">
        <is>
          <t>51</t>
        </is>
      </c>
      <c r="G192" s="2" t="inlineStr">
        <is>
          <t>reported_input</t>
        </is>
      </c>
      <c r="H192" s="2" t="inlineStr">
        <is>
          <t>extract</t>
        </is>
      </c>
    </row>
    <row r="193">
      <c r="A193" s="2" t="inlineStr">
        <is>
          <t>Balance Sheet</t>
        </is>
      </c>
      <c r="B193" s="2" t="n">
        <v>183</v>
      </c>
      <c r="C193" s="2" t="inlineStr">
        <is>
          <t>B183</t>
        </is>
      </c>
      <c r="D193" s="2" t="inlineStr">
        <is>
          <t>Due to Related Parties(CP)</t>
        </is>
      </c>
      <c r="E193" s="2" t="inlineStr">
        <is>
          <t>bs_cl__due_to_related_parties_cp</t>
        </is>
      </c>
      <c r="F193" s="2" t="inlineStr">
        <is>
          <t>25</t>
        </is>
      </c>
      <c r="G193" s="2" t="inlineStr">
        <is>
          <t>reported_input</t>
        </is>
      </c>
      <c r="H193" s="2" t="inlineStr">
        <is>
          <t>extract</t>
        </is>
      </c>
    </row>
    <row r="194">
      <c r="A194" s="2" t="inlineStr">
        <is>
          <t>Balance Sheet</t>
        </is>
      </c>
      <c r="B194" s="2" t="n">
        <v>184</v>
      </c>
      <c r="C194" s="2" t="inlineStr">
        <is>
          <t>B184</t>
        </is>
      </c>
      <c r="D194" s="2" t="inlineStr">
        <is>
          <t>Entrusted loan payables- shareholders(CP)</t>
        </is>
      </c>
      <c r="E194" s="2" t="inlineStr">
        <is>
          <t>bs_cl__entrusted_loan_payables_shareholders_cp</t>
        </is>
      </c>
      <c r="F194" s="2" t="inlineStr">
        <is>
          <t>42</t>
        </is>
      </c>
      <c r="G194" s="2" t="inlineStr">
        <is>
          <t>reported_input</t>
        </is>
      </c>
      <c r="H194" s="2" t="inlineStr">
        <is>
          <t>extract</t>
        </is>
      </c>
    </row>
    <row r="195">
      <c r="A195" s="2" t="inlineStr">
        <is>
          <t>Balance Sheet</t>
        </is>
      </c>
      <c r="B195" s="2" t="n">
        <v>185</v>
      </c>
      <c r="C195" s="2" t="inlineStr">
        <is>
          <t>B185</t>
        </is>
      </c>
      <c r="D195" s="2" t="inlineStr">
        <is>
          <t>Due to MI(CP)</t>
        </is>
      </c>
      <c r="E195" s="2" t="inlineStr">
        <is>
          <t>bs_cl__due_to_mi_cp</t>
        </is>
      </c>
      <c r="F195" s="2" t="inlineStr">
        <is>
          <t>16</t>
        </is>
      </c>
      <c r="G195" s="2" t="inlineStr">
        <is>
          <t>reported_input</t>
        </is>
      </c>
      <c r="H195" s="2" t="inlineStr">
        <is>
          <t>extract</t>
        </is>
      </c>
    </row>
    <row r="196">
      <c r="A196" s="2" t="inlineStr">
        <is>
          <t>Balance Sheet</t>
        </is>
      </c>
      <c r="B196" s="2" t="n">
        <v>186</v>
      </c>
      <c r="C196" s="2" t="inlineStr">
        <is>
          <t>B186</t>
        </is>
      </c>
      <c r="D196" s="2" t="inlineStr">
        <is>
          <t>Due to S'holder(CP)</t>
        </is>
      </c>
      <c r="E196" s="2" t="inlineStr">
        <is>
          <t>bs_cl__due_to_sholder_cp</t>
        </is>
      </c>
      <c r="F196" s="2" t="inlineStr">
        <is>
          <t>33</t>
        </is>
      </c>
      <c r="G196" s="2" t="inlineStr">
        <is>
          <t>reported_input</t>
        </is>
      </c>
      <c r="H196" s="2" t="inlineStr">
        <is>
          <t>extract</t>
        </is>
      </c>
    </row>
    <row r="197">
      <c r="A197" s="2" t="inlineStr">
        <is>
          <t>Balance Sheet</t>
        </is>
      </c>
      <c r="B197" s="2" t="n">
        <v>187</v>
      </c>
      <c r="C197" s="2" t="inlineStr">
        <is>
          <t>B187</t>
        </is>
      </c>
      <c r="D197" s="2" t="inlineStr">
        <is>
          <t>Liabilities to Enterprises</t>
        </is>
      </c>
      <c r="E197" s="2" t="inlineStr">
        <is>
          <t>bs_cl__liabilities_to_enterprises</t>
        </is>
      </c>
      <c r="F197" s="2" t="inlineStr">
        <is>
          <t>50</t>
        </is>
      </c>
      <c r="G197" s="2" t="inlineStr">
        <is>
          <t>reported_input</t>
        </is>
      </c>
      <c r="H197" s="2" t="inlineStr">
        <is>
          <t>extract</t>
        </is>
      </c>
    </row>
    <row r="198">
      <c r="A198" s="2" t="inlineStr">
        <is>
          <t>Balance Sheet</t>
        </is>
      </c>
      <c r="B198" s="2" t="n">
        <v>188</v>
      </c>
      <c r="C198" s="2" t="inlineStr">
        <is>
          <t>B188</t>
        </is>
      </c>
      <c r="D198" s="2" t="inlineStr">
        <is>
          <t>Lease liabilities(CP)</t>
        </is>
      </c>
      <c r="E198" s="2" t="inlineStr">
        <is>
          <t>bs_cl__lease_liabilities_cp</t>
        </is>
      </c>
      <c r="F198" s="2" t="inlineStr">
        <is>
          <t>24</t>
        </is>
      </c>
      <c r="G198" s="2" t="inlineStr">
        <is>
          <t>reported_input</t>
        </is>
      </c>
      <c r="H198" s="2" t="inlineStr">
        <is>
          <t>extract</t>
        </is>
      </c>
    </row>
    <row r="199">
      <c r="A199" s="2" t="inlineStr">
        <is>
          <t>Balance Sheet</t>
        </is>
      </c>
      <c r="B199" s="2" t="n">
        <v>189</v>
      </c>
      <c r="C199" s="2" t="inlineStr">
        <is>
          <t>B189</t>
        </is>
      </c>
      <c r="D199" s="2" t="inlineStr">
        <is>
          <t>Segregated Account(CL)</t>
        </is>
      </c>
      <c r="E199" s="2" t="inlineStr">
        <is>
          <t>bs_cl__segregated_account_cl</t>
        </is>
      </c>
      <c r="F199" s="2" t="inlineStr">
        <is>
          <t>41</t>
        </is>
      </c>
      <c r="G199" s="2" t="inlineStr">
        <is>
          <t>reported_input</t>
        </is>
      </c>
      <c r="H199" s="2" t="inlineStr">
        <is>
          <t>extract</t>
        </is>
      </c>
    </row>
    <row r="200">
      <c r="A200" s="2" t="inlineStr">
        <is>
          <t>Balance Sheet</t>
        </is>
      </c>
      <c r="B200" s="2" t="n">
        <v>190</v>
      </c>
      <c r="C200" s="2" t="inlineStr">
        <is>
          <t>B190</t>
        </is>
      </c>
      <c r="D200" s="2" t="inlineStr">
        <is>
          <t>Suspense Account(CL)</t>
        </is>
      </c>
      <c r="E200" s="2" t="inlineStr">
        <is>
          <t>bs_cl__suspense_account_cl</t>
        </is>
      </c>
      <c r="F200" s="2" t="inlineStr">
        <is>
          <t>15</t>
        </is>
      </c>
      <c r="G200" s="2" t="inlineStr">
        <is>
          <t>reported_input</t>
        </is>
      </c>
      <c r="H200" s="2" t="inlineStr">
        <is>
          <t>extract</t>
        </is>
      </c>
    </row>
    <row r="201">
      <c r="A201" s="2" t="inlineStr">
        <is>
          <t>Balance Sheet</t>
        </is>
      </c>
      <c r="B201" s="2" t="n">
        <v>191</v>
      </c>
      <c r="C201" s="2" t="inlineStr">
        <is>
          <t>B191</t>
        </is>
      </c>
      <c r="D201" s="2" t="inlineStr">
        <is>
          <t>Other Current Liabilities</t>
        </is>
      </c>
      <c r="E201" s="2" t="inlineStr">
        <is>
          <t>bs_cl__other_current_liabilities</t>
        </is>
      </c>
      <c r="F201" s="2" t="inlineStr">
        <is>
          <t>32</t>
        </is>
      </c>
      <c r="G201" s="2" t="inlineStr">
        <is>
          <t>reported_input</t>
        </is>
      </c>
      <c r="H201" s="2" t="inlineStr">
        <is>
          <t>extract</t>
        </is>
      </c>
    </row>
    <row r="202">
      <c r="A202" s="2" t="inlineStr">
        <is>
          <t>Balance Sheet</t>
        </is>
      </c>
      <c r="B202" s="2" t="n">
        <v>192</v>
      </c>
      <c r="C202" s="2" t="inlineStr">
        <is>
          <t>B192</t>
        </is>
      </c>
      <c r="D202" s="2" t="inlineStr">
        <is>
          <t>Customer Advances(CP)</t>
        </is>
      </c>
      <c r="E202" s="2" t="inlineStr">
        <is>
          <t>bs_cl__customer_advances_cp</t>
        </is>
      </c>
      <c r="F202" s="2" t="inlineStr">
        <is>
          <t>49</t>
        </is>
      </c>
      <c r="G202" s="2" t="inlineStr">
        <is>
          <t>reported_input</t>
        </is>
      </c>
      <c r="H202" s="2" t="inlineStr">
        <is>
          <t>extract</t>
        </is>
      </c>
    </row>
    <row r="203">
      <c r="A203" s="2" t="inlineStr">
        <is>
          <t>Balance Sheet</t>
        </is>
      </c>
      <c r="B203" s="2" t="n">
        <v>193</v>
      </c>
      <c r="C203" s="2" t="inlineStr">
        <is>
          <t>B193</t>
        </is>
      </c>
      <c r="D203" s="2" t="inlineStr">
        <is>
          <t>Deferred Income(CP)</t>
        </is>
      </c>
      <c r="E203" s="2" t="inlineStr">
        <is>
          <t>bs_cl__deferred_income_cp</t>
        </is>
      </c>
      <c r="F203" s="2" t="inlineStr">
        <is>
          <t>23</t>
        </is>
      </c>
      <c r="G203" s="2" t="inlineStr">
        <is>
          <t>reported_input</t>
        </is>
      </c>
      <c r="H203" s="2" t="inlineStr">
        <is>
          <t>extract</t>
        </is>
      </c>
    </row>
    <row r="204">
      <c r="A204" s="2" t="inlineStr">
        <is>
          <t>Balance Sheet</t>
        </is>
      </c>
      <c r="B204" s="2" t="n">
        <v>194</v>
      </c>
      <c r="C204" s="2" t="inlineStr">
        <is>
          <t>B194</t>
        </is>
      </c>
      <c r="D204" s="2" t="inlineStr">
        <is>
          <t>Billings in Excess of Costs</t>
        </is>
      </c>
      <c r="E204" s="2" t="inlineStr">
        <is>
          <t>bs_cl__billings_in_excess_of_costs</t>
        </is>
      </c>
      <c r="F204" s="2" t="inlineStr">
        <is>
          <t>40</t>
        </is>
      </c>
      <c r="G204" s="2" t="inlineStr">
        <is>
          <t>reported_input</t>
        </is>
      </c>
      <c r="H204" s="2" t="inlineStr">
        <is>
          <t>extract</t>
        </is>
      </c>
    </row>
    <row r="205">
      <c r="A205" s="2" t="inlineStr">
        <is>
          <t>Balance Sheet</t>
        </is>
      </c>
      <c r="B205" s="2" t="n">
        <v>195</v>
      </c>
      <c r="C205" s="2" t="inlineStr">
        <is>
          <t>B195</t>
        </is>
      </c>
      <c r="D205" s="2" t="inlineStr">
        <is>
          <t>Futures(CL)</t>
        </is>
      </c>
      <c r="E205" s="2" t="inlineStr">
        <is>
          <t>bs_cl__futures_cl</t>
        </is>
      </c>
      <c r="F205" s="2" t="inlineStr">
        <is>
          <t>14</t>
        </is>
      </c>
      <c r="G205" s="2" t="inlineStr">
        <is>
          <t>reported_input</t>
        </is>
      </c>
      <c r="H205" s="2" t="inlineStr">
        <is>
          <t>extract</t>
        </is>
      </c>
    </row>
    <row r="206">
      <c r="A206" s="2" t="inlineStr">
        <is>
          <t>Balance Sheet</t>
        </is>
      </c>
      <c r="B206" s="2" t="n">
        <v>196</v>
      </c>
      <c r="C206" s="2" t="inlineStr">
        <is>
          <t>B196</t>
        </is>
      </c>
      <c r="D206" s="2" t="inlineStr">
        <is>
          <t>Options(CL)</t>
        </is>
      </c>
      <c r="E206" s="2" t="inlineStr">
        <is>
          <t>bs_cl__options_cl</t>
        </is>
      </c>
      <c r="F206" s="2" t="inlineStr">
        <is>
          <t>31</t>
        </is>
      </c>
      <c r="G206" s="2" t="inlineStr">
        <is>
          <t>reported_input</t>
        </is>
      </c>
      <c r="H206" s="2" t="inlineStr">
        <is>
          <t>extract</t>
        </is>
      </c>
    </row>
    <row r="207">
      <c r="A207" s="2" t="inlineStr">
        <is>
          <t>Balance Sheet</t>
        </is>
      </c>
      <c r="B207" s="2" t="n">
        <v>197</v>
      </c>
      <c r="C207" s="2" t="inlineStr">
        <is>
          <t>B197</t>
        </is>
      </c>
      <c r="D207" s="2" t="inlineStr">
        <is>
          <t>Forwards(CL)</t>
        </is>
      </c>
      <c r="E207" s="2" t="inlineStr">
        <is>
          <t>bs_cl__forwards_cl</t>
        </is>
      </c>
      <c r="F207" s="2" t="inlineStr">
        <is>
          <t>48</t>
        </is>
      </c>
      <c r="G207" s="2" t="inlineStr">
        <is>
          <t>reported_input</t>
        </is>
      </c>
      <c r="H207" s="2" t="inlineStr">
        <is>
          <t>extract</t>
        </is>
      </c>
    </row>
    <row r="208">
      <c r="A208" s="2" t="inlineStr">
        <is>
          <t>Balance Sheet</t>
        </is>
      </c>
      <c r="B208" s="2" t="n">
        <v>198</v>
      </c>
      <c r="C208" s="2" t="inlineStr">
        <is>
          <t>B198</t>
        </is>
      </c>
      <c r="D208" s="2" t="inlineStr">
        <is>
          <t>Commodities(CL)</t>
        </is>
      </c>
      <c r="E208" s="2" t="inlineStr">
        <is>
          <t>bs_cl__commodities_cl</t>
        </is>
      </c>
      <c r="F208" s="2" t="inlineStr">
        <is>
          <t>22</t>
        </is>
      </c>
      <c r="G208" s="2" t="inlineStr">
        <is>
          <t>reported_input</t>
        </is>
      </c>
      <c r="H208" s="2" t="inlineStr">
        <is>
          <t>extract</t>
        </is>
      </c>
    </row>
    <row r="209">
      <c r="A209" s="2" t="inlineStr">
        <is>
          <t>Balance Sheet</t>
        </is>
      </c>
      <c r="B209" s="2" t="n">
        <v>199</v>
      </c>
      <c r="C209" s="2" t="inlineStr">
        <is>
          <t>B199</t>
        </is>
      </c>
      <c r="D209" s="2" t="inlineStr">
        <is>
          <t>Swaps(CL)</t>
        </is>
      </c>
      <c r="E209" s="2" t="inlineStr">
        <is>
          <t>bs_cl__swaps_cl</t>
        </is>
      </c>
      <c r="F209" s="2" t="inlineStr">
        <is>
          <t>39</t>
        </is>
      </c>
      <c r="G209" s="2" t="inlineStr">
        <is>
          <t>reported_input</t>
        </is>
      </c>
      <c r="H209" s="2" t="inlineStr">
        <is>
          <t>extract</t>
        </is>
      </c>
    </row>
    <row r="210">
      <c r="A210" s="2" t="inlineStr">
        <is>
          <t>Balance Sheet</t>
        </is>
      </c>
      <c r="B210" s="2" t="n">
        <v>200</v>
      </c>
      <c r="C210" s="2" t="inlineStr">
        <is>
          <t>B200</t>
        </is>
      </c>
      <c r="D210" s="2" t="inlineStr">
        <is>
          <t>Deriv &amp; Hedg Liab(CP)</t>
        </is>
      </c>
      <c r="E210" s="2" t="inlineStr">
        <is>
          <t>bs_cl__deriv_and_hedg_liab_cp</t>
        </is>
      </c>
      <c r="F210" s="2" t="inlineStr">
        <is>
          <t>13</t>
        </is>
      </c>
      <c r="G210" s="2" t="inlineStr">
        <is>
          <t>reported_input</t>
        </is>
      </c>
      <c r="H210" s="2" t="inlineStr">
        <is>
          <t>extract</t>
        </is>
      </c>
    </row>
    <row r="211">
      <c r="A211" s="2" t="inlineStr">
        <is>
          <t>Balance Sheet</t>
        </is>
      </c>
      <c r="B211" s="2" t="n">
        <v>201</v>
      </c>
      <c r="C211" s="2" t="inlineStr">
        <is>
          <t>B201</t>
        </is>
      </c>
      <c r="D211" s="2" t="inlineStr">
        <is>
          <t>Current Tax Payable</t>
        </is>
      </c>
      <c r="E211" s="2" t="inlineStr">
        <is>
          <t>bs_cl__current_tax_payable</t>
        </is>
      </c>
      <c r="F211" s="2" t="inlineStr">
        <is>
          <t>30</t>
        </is>
      </c>
      <c r="G211" s="2" t="inlineStr">
        <is>
          <t>reported_input</t>
        </is>
      </c>
      <c r="H211" s="2" t="inlineStr">
        <is>
          <t>extract</t>
        </is>
      </c>
    </row>
    <row r="212">
      <c r="A212" s="2" t="inlineStr">
        <is>
          <t>Balance Sheet</t>
        </is>
      </c>
      <c r="B212" s="2" t="n">
        <v>202</v>
      </c>
      <c r="C212" s="2" t="inlineStr">
        <is>
          <t>B202</t>
        </is>
      </c>
      <c r="D212" s="2" t="inlineStr">
        <is>
          <t>Interest Payable</t>
        </is>
      </c>
      <c r="E212" s="2" t="inlineStr">
        <is>
          <t>bs_cl__interest_payable</t>
        </is>
      </c>
      <c r="F212" s="2" t="inlineStr">
        <is>
          <t>47</t>
        </is>
      </c>
      <c r="G212" s="2" t="inlineStr">
        <is>
          <t>reported_input</t>
        </is>
      </c>
      <c r="H212" s="2" t="inlineStr">
        <is>
          <t>extract</t>
        </is>
      </c>
    </row>
    <row r="213">
      <c r="A213" s="2" t="inlineStr">
        <is>
          <t>Balance Sheet</t>
        </is>
      </c>
      <c r="B213" s="2" t="n">
        <v>203</v>
      </c>
      <c r="C213" s="2" t="inlineStr">
        <is>
          <t>B203</t>
        </is>
      </c>
      <c r="D213" s="2" t="inlineStr">
        <is>
          <t>Soc Sec &amp; Other Taxes(CP)</t>
        </is>
      </c>
      <c r="E213" s="2" t="inlineStr">
        <is>
          <t>bs_cl__soc_sec_and_other_taxes_cp</t>
        </is>
      </c>
      <c r="F213" s="2" t="inlineStr">
        <is>
          <t>21</t>
        </is>
      </c>
      <c r="G213" s="2" t="inlineStr">
        <is>
          <t>reported_input</t>
        </is>
      </c>
      <c r="H213" s="2" t="inlineStr">
        <is>
          <t>extract</t>
        </is>
      </c>
    </row>
    <row r="214">
      <c r="A214" s="2" t="inlineStr">
        <is>
          <t>Balance Sheet</t>
        </is>
      </c>
      <c r="B214" s="2" t="n">
        <v>204</v>
      </c>
      <c r="C214" s="2" t="inlineStr">
        <is>
          <t>B204</t>
        </is>
      </c>
      <c r="D214" s="2" t="inlineStr">
        <is>
          <t>Proposed Dividends</t>
        </is>
      </c>
      <c r="E214" s="2" t="inlineStr">
        <is>
          <t>bs_cl__proposed_dividends</t>
        </is>
      </c>
      <c r="F214" s="2" t="inlineStr">
        <is>
          <t>38</t>
        </is>
      </c>
      <c r="G214" s="2" t="inlineStr">
        <is>
          <t>reported_input</t>
        </is>
      </c>
      <c r="H214" s="2" t="inlineStr">
        <is>
          <t>extract</t>
        </is>
      </c>
    </row>
    <row r="215">
      <c r="A215" s="2" t="inlineStr">
        <is>
          <t>Balance Sheet</t>
        </is>
      </c>
      <c r="B215" s="2" t="n">
        <v>205</v>
      </c>
      <c r="C215" s="2" t="inlineStr">
        <is>
          <t>B205</t>
        </is>
      </c>
      <c r="D215" s="2" t="inlineStr">
        <is>
          <t>Dividends Payable</t>
        </is>
      </c>
      <c r="E215" s="2" t="inlineStr">
        <is>
          <t>bs_cl__dividends_payable</t>
        </is>
      </c>
      <c r="F215" s="2" t="inlineStr">
        <is>
          <t>12</t>
        </is>
      </c>
      <c r="G215" s="2" t="inlineStr">
        <is>
          <t>reported_input</t>
        </is>
      </c>
      <c r="H215" s="2" t="inlineStr">
        <is>
          <t>extract</t>
        </is>
      </c>
    </row>
    <row r="216">
      <c r="A216" s="2" t="inlineStr">
        <is>
          <t>Balance Sheet</t>
        </is>
      </c>
      <c r="B216" s="2" t="n">
        <v>206</v>
      </c>
      <c r="C216" s="2" t="inlineStr">
        <is>
          <t>B206</t>
        </is>
      </c>
      <c r="D216" s="2" t="inlineStr">
        <is>
          <t>Notes Payable(CP)</t>
        </is>
      </c>
      <c r="E216" s="2" t="inlineStr">
        <is>
          <t>bs_cl__notes_payable_cp</t>
        </is>
      </c>
      <c r="F216" s="2" t="inlineStr">
        <is>
          <t>29</t>
        </is>
      </c>
      <c r="G216" s="2" t="inlineStr">
        <is>
          <t>reported_input</t>
        </is>
      </c>
      <c r="H216" s="2" t="inlineStr">
        <is>
          <t>extract</t>
        </is>
      </c>
    </row>
    <row r="217">
      <c r="A217" s="2" t="inlineStr">
        <is>
          <t>Balance Sheet</t>
        </is>
      </c>
      <c r="B217" s="2" t="n">
        <v>207</v>
      </c>
      <c r="C217" s="2" t="inlineStr">
        <is>
          <t>B207</t>
        </is>
      </c>
      <c r="D217" s="2" t="inlineStr">
        <is>
          <t>Trade payables- related parties</t>
        </is>
      </c>
      <c r="E217" s="2" t="inlineStr">
        <is>
          <t>bs_cl__trade_payables_related_parties</t>
        </is>
      </c>
      <c r="F217" s="2" t="inlineStr">
        <is>
          <t>46</t>
        </is>
      </c>
      <c r="G217" s="2" t="inlineStr">
        <is>
          <t>reported_input</t>
        </is>
      </c>
      <c r="H217" s="2" t="inlineStr">
        <is>
          <t>extract</t>
        </is>
      </c>
    </row>
    <row r="218">
      <c r="A218" s="2" t="inlineStr">
        <is>
          <t>Balance Sheet</t>
        </is>
      </c>
      <c r="B218" s="2" t="n">
        <v>208</v>
      </c>
      <c r="C218" s="2" t="inlineStr">
        <is>
          <t>B208</t>
        </is>
      </c>
      <c r="D218" s="2" t="inlineStr">
        <is>
          <t>Trade and other payables- related parties</t>
        </is>
      </c>
      <c r="E218" s="2" t="inlineStr">
        <is>
          <t>bs_cl__trade_and_other_payables_related_parties</t>
        </is>
      </c>
      <c r="F218" s="2" t="inlineStr">
        <is>
          <t>20</t>
        </is>
      </c>
      <c r="G218" s="2" t="inlineStr">
        <is>
          <t>reported_input</t>
        </is>
      </c>
      <c r="H218" s="2" t="inlineStr">
        <is>
          <t>extract</t>
        </is>
      </c>
    </row>
    <row r="219">
      <c r="A219" s="2" t="inlineStr">
        <is>
          <t>Balance Sheet</t>
        </is>
      </c>
      <c r="B219" s="2" t="n">
        <v>209</v>
      </c>
      <c r="C219" s="2" t="inlineStr">
        <is>
          <t>B209</t>
        </is>
      </c>
      <c r="D219" s="2" t="inlineStr">
        <is>
          <t>Trade and other payables(CP)</t>
        </is>
      </c>
      <c r="E219" s="2" t="inlineStr">
        <is>
          <t>bs_cl__trade_and_other_payables_cp</t>
        </is>
      </c>
      <c r="F219" s="2" t="inlineStr">
        <is>
          <t>37</t>
        </is>
      </c>
      <c r="G219" s="2" t="inlineStr">
        <is>
          <t>reported_input</t>
        </is>
      </c>
      <c r="H219" s="2" t="inlineStr">
        <is>
          <t>extract</t>
        </is>
      </c>
    </row>
    <row r="220">
      <c r="A220" s="2" t="inlineStr">
        <is>
          <t>Balance Sheet</t>
        </is>
      </c>
      <c r="B220" s="2" t="n">
        <v>210</v>
      </c>
      <c r="C220" s="2" t="inlineStr">
        <is>
          <t>B210</t>
        </is>
      </c>
      <c r="D220" s="2" t="inlineStr">
        <is>
          <t>Trade Payables(CP)</t>
        </is>
      </c>
      <c r="E220" s="2" t="inlineStr">
        <is>
          <t>bs_cl__trade_payables_cp</t>
        </is>
      </c>
      <c r="F220" s="2" t="inlineStr">
        <is>
          <t>11</t>
        </is>
      </c>
      <c r="G220" s="2" t="inlineStr">
        <is>
          <t>reported_input</t>
        </is>
      </c>
      <c r="H220" s="2" t="inlineStr">
        <is>
          <t>extract</t>
        </is>
      </c>
    </row>
    <row r="221">
      <c r="A221" s="2" t="inlineStr">
        <is>
          <t>Balance Sheet</t>
        </is>
      </c>
      <c r="B221" s="2" t="n">
        <v>211</v>
      </c>
      <c r="C221" s="2" t="inlineStr">
        <is>
          <t>B211</t>
        </is>
      </c>
      <c r="D221" s="2" t="inlineStr">
        <is>
          <t>Decomm &amp; Envir Costs(CP)</t>
        </is>
      </c>
      <c r="E221" s="2" t="inlineStr">
        <is>
          <t>bs_cl__decomm_and_envir_costs_cp</t>
        </is>
      </c>
      <c r="F221" s="2" t="inlineStr">
        <is>
          <t>28</t>
        </is>
      </c>
      <c r="G221" s="2" t="inlineStr">
        <is>
          <t>reported_input</t>
        </is>
      </c>
      <c r="H221" s="2" t="inlineStr">
        <is>
          <t>extract</t>
        </is>
      </c>
    </row>
    <row r="222">
      <c r="A222" s="2" t="inlineStr">
        <is>
          <t>Balance Sheet</t>
        </is>
      </c>
      <c r="B222" s="2" t="n">
        <v>212</v>
      </c>
      <c r="C222" s="2" t="inlineStr">
        <is>
          <t>B212</t>
        </is>
      </c>
      <c r="D222" s="2" t="inlineStr">
        <is>
          <t>Share Option Costs(CP)</t>
        </is>
      </c>
      <c r="E222" s="2" t="inlineStr">
        <is>
          <t>bs_cl__share_option_costs_cp</t>
        </is>
      </c>
      <c r="F222" s="2" t="inlineStr">
        <is>
          <t>45</t>
        </is>
      </c>
      <c r="G222" s="2" t="inlineStr">
        <is>
          <t>reported_input</t>
        </is>
      </c>
      <c r="H222" s="2" t="inlineStr">
        <is>
          <t>extract</t>
        </is>
      </c>
    </row>
    <row r="223">
      <c r="A223" s="2" t="inlineStr">
        <is>
          <t>Balance Sheet</t>
        </is>
      </c>
      <c r="B223" s="2" t="n">
        <v>213</v>
      </c>
      <c r="C223" s="2" t="inlineStr">
        <is>
          <t>B213</t>
        </is>
      </c>
      <c r="D223" s="2" t="inlineStr">
        <is>
          <t>Retirement Benefits(CP)</t>
        </is>
      </c>
      <c r="E223" s="2" t="inlineStr">
        <is>
          <t>bs_cl__retirement_benefits_cp</t>
        </is>
      </c>
      <c r="F223" s="2" t="inlineStr">
        <is>
          <t>19</t>
        </is>
      </c>
      <c r="G223" s="2" t="inlineStr">
        <is>
          <t>reported_input</t>
        </is>
      </c>
      <c r="H223" s="2" t="inlineStr">
        <is>
          <t>extract</t>
        </is>
      </c>
    </row>
    <row r="224">
      <c r="A224" s="2" t="inlineStr">
        <is>
          <t>Balance Sheet</t>
        </is>
      </c>
      <c r="B224" s="2" t="n">
        <v>214</v>
      </c>
      <c r="C224" s="2" t="inlineStr">
        <is>
          <t>B214</t>
        </is>
      </c>
      <c r="D224" s="2" t="inlineStr">
        <is>
          <t>Restruct Provision(CP)</t>
        </is>
      </c>
      <c r="E224" s="2" t="inlineStr">
        <is>
          <t>bs_cl__restruct_provision_cp</t>
        </is>
      </c>
      <c r="F224" s="2" t="inlineStr">
        <is>
          <t>36</t>
        </is>
      </c>
      <c r="G224" s="2" t="inlineStr">
        <is>
          <t>reported_input</t>
        </is>
      </c>
      <c r="H224" s="2" t="inlineStr">
        <is>
          <t>extract</t>
        </is>
      </c>
    </row>
    <row r="225">
      <c r="A225" s="2" t="inlineStr">
        <is>
          <t>Balance Sheet</t>
        </is>
      </c>
      <c r="B225" s="2" t="n">
        <v>215</v>
      </c>
      <c r="C225" s="2" t="inlineStr">
        <is>
          <t>B215</t>
        </is>
      </c>
      <c r="D225" s="2" t="inlineStr">
        <is>
          <t>Tax Provision(CP)</t>
        </is>
      </c>
      <c r="E225" s="2" t="inlineStr">
        <is>
          <t>bs_cl__tax_provision_cp</t>
        </is>
      </c>
      <c r="F225" s="2" t="inlineStr">
        <is>
          <t>10</t>
        </is>
      </c>
      <c r="G225" s="2" t="inlineStr">
        <is>
          <t>reported_input</t>
        </is>
      </c>
      <c r="H225" s="2" t="inlineStr">
        <is>
          <t>extract</t>
        </is>
      </c>
    </row>
    <row r="226">
      <c r="A226" s="2" t="inlineStr">
        <is>
          <t>Balance Sheet</t>
        </is>
      </c>
      <c r="B226" s="2" t="n">
        <v>216</v>
      </c>
      <c r="C226" s="2" t="inlineStr">
        <is>
          <t>B216</t>
        </is>
      </c>
      <c r="D226" s="2" t="inlineStr">
        <is>
          <t>Other Provisions(CP)</t>
        </is>
      </c>
      <c r="E226" s="2" t="inlineStr">
        <is>
          <t>bs_cl__other_provisions_cp</t>
        </is>
      </c>
      <c r="F226" s="2" t="inlineStr">
        <is>
          <t>27</t>
        </is>
      </c>
      <c r="G226" s="2" t="inlineStr">
        <is>
          <t>reported_input</t>
        </is>
      </c>
      <c r="H226" s="2" t="inlineStr">
        <is>
          <t>extract</t>
        </is>
      </c>
    </row>
    <row r="227">
      <c r="A227" s="2" t="inlineStr">
        <is>
          <t>Balance Sheet</t>
        </is>
      </c>
      <c r="B227" s="2" t="n">
        <v>217</v>
      </c>
      <c r="C227" s="2" t="inlineStr">
        <is>
          <t>B217</t>
        </is>
      </c>
      <c r="D227" s="2" t="inlineStr">
        <is>
          <t>Total Current Liabilities</t>
        </is>
      </c>
      <c r="E227" s="2" t="inlineStr">
        <is>
          <t>bs_cl__total_current_liabilities</t>
        </is>
      </c>
      <c r="F227" s="2">
        <f>SUM(B167:B216)</f>
        <v/>
      </c>
      <c r="G227" s="2" t="inlineStr">
        <is>
          <t>formula</t>
        </is>
      </c>
      <c r="H227" s="2" t="inlineStr">
        <is>
          <t>derive</t>
        </is>
      </c>
    </row>
    <row r="228">
      <c r="A228" s="2" t="inlineStr">
        <is>
          <t>Balance Sheet</t>
        </is>
      </c>
      <c r="B228" s="2" t="n">
        <v>219</v>
      </c>
      <c r="C228" s="2" t="inlineStr">
        <is>
          <t>B219</t>
        </is>
      </c>
      <c r="D228" s="2" t="inlineStr">
        <is>
          <t>Total Liabilities</t>
        </is>
      </c>
      <c r="E228" s="2" t="inlineStr">
        <is>
          <t>bs_cl__total_liabilities</t>
        </is>
      </c>
      <c r="F228" s="2">
        <f>B165+B217</f>
        <v/>
      </c>
      <c r="G228" s="2" t="inlineStr">
        <is>
          <t>formula</t>
        </is>
      </c>
      <c r="H228" s="2" t="inlineStr">
        <is>
          <t>derive</t>
        </is>
      </c>
    </row>
    <row r="229">
      <c r="A229" s="2" t="inlineStr">
        <is>
          <t>Balance Sheet</t>
        </is>
      </c>
      <c r="B229" s="2" t="n">
        <v>220</v>
      </c>
      <c r="C229" s="2" t="inlineStr">
        <is>
          <t>B220</t>
        </is>
      </c>
      <c r="D229" s="2" t="inlineStr">
        <is>
          <t>Total Equity and Liabilities</t>
        </is>
      </c>
      <c r="E229" s="2" t="inlineStr">
        <is>
          <t>bs_cl__total_equity_and_liabilities</t>
        </is>
      </c>
      <c r="F229" s="2">
        <f>B128+B219</f>
        <v/>
      </c>
      <c r="G229" s="2" t="inlineStr">
        <is>
          <t>formula</t>
        </is>
      </c>
      <c r="H229" s="2" t="inlineStr">
        <is>
          <t>derive</t>
        </is>
      </c>
    </row>
    <row r="230">
      <c r="A230" s="2" t="inlineStr">
        <is>
          <t>Income Statement</t>
        </is>
      </c>
      <c r="B230" s="2" t="n">
        <v>6</v>
      </c>
      <c r="C230" s="2" t="inlineStr">
        <is>
          <t>B6</t>
        </is>
      </c>
      <c r="D230" s="2" t="inlineStr">
        <is>
          <t>Sales(Revenues)</t>
        </is>
      </c>
      <c r="E230" s="2" t="inlineStr">
        <is>
          <t>is_pl__sales_revenues</t>
        </is>
      </c>
      <c r="F230" s="2" t="inlineStr">
        <is>
          <t>1000</t>
        </is>
      </c>
      <c r="G230" s="2" t="inlineStr">
        <is>
          <t>reported_input</t>
        </is>
      </c>
      <c r="H230" s="2" t="inlineStr">
        <is>
          <t>extract</t>
        </is>
      </c>
    </row>
    <row r="231">
      <c r="A231" s="2" t="inlineStr">
        <is>
          <t>Income Statement</t>
        </is>
      </c>
      <c r="B231" s="2" t="n">
        <v>7</v>
      </c>
      <c r="C231" s="2" t="inlineStr">
        <is>
          <t>B7</t>
        </is>
      </c>
      <c r="D231" s="2" t="inlineStr">
        <is>
          <t>Net Premium Earned</t>
        </is>
      </c>
      <c r="E231" s="2" t="inlineStr">
        <is>
          <t>is_pl__net_premium_earned</t>
        </is>
      </c>
      <c r="F231" s="2" t="inlineStr">
        <is>
          <t>25</t>
        </is>
      </c>
      <c r="G231" s="2" t="inlineStr">
        <is>
          <t>reported_input</t>
        </is>
      </c>
      <c r="H231" s="2" t="inlineStr">
        <is>
          <t>extract</t>
        </is>
      </c>
    </row>
    <row r="232">
      <c r="A232" s="2" t="inlineStr">
        <is>
          <t>Income Statement</t>
        </is>
      </c>
      <c r="B232" s="2" t="n">
        <v>8</v>
      </c>
      <c r="C232" s="2" t="inlineStr">
        <is>
          <t>B8</t>
        </is>
      </c>
      <c r="D232" s="2" t="inlineStr">
        <is>
          <t>Changes in Inventories Incr/(Dcr)</t>
        </is>
      </c>
      <c r="E232" s="2" t="inlineStr">
        <is>
          <t>is_pl__changes_in_inventories_incr_dcr</t>
        </is>
      </c>
      <c r="F232" s="2" t="inlineStr">
        <is>
          <t>15</t>
        </is>
      </c>
      <c r="G232" s="2" t="inlineStr">
        <is>
          <t>reported_input</t>
        </is>
      </c>
      <c r="H232" s="2" t="inlineStr">
        <is>
          <t>extract</t>
        </is>
      </c>
    </row>
    <row r="233">
      <c r="A233" s="2" t="inlineStr">
        <is>
          <t>Income Statement</t>
        </is>
      </c>
      <c r="B233" s="2" t="n">
        <v>9</v>
      </c>
      <c r="C233" s="2" t="inlineStr">
        <is>
          <t>B9</t>
        </is>
      </c>
      <c r="D233" s="2" t="inlineStr">
        <is>
          <t>Expenses(Own Work Capitalized)(+)</t>
        </is>
      </c>
      <c r="E233" s="2" t="inlineStr">
        <is>
          <t>is_pl__expenses_own_work_capitalized</t>
        </is>
      </c>
      <c r="F233" s="2" t="inlineStr">
        <is>
          <t>10</t>
        </is>
      </c>
      <c r="G233" s="2" t="inlineStr">
        <is>
          <t>reported_input</t>
        </is>
      </c>
      <c r="H233" s="2" t="inlineStr">
        <is>
          <t>extract</t>
        </is>
      </c>
    </row>
    <row r="234">
      <c r="A234" s="2" t="inlineStr">
        <is>
          <t>Income Statement</t>
        </is>
      </c>
      <c r="B234" s="2" t="n">
        <v>10</v>
      </c>
      <c r="C234" s="2" t="inlineStr">
        <is>
          <t>B10</t>
        </is>
      </c>
      <c r="D234" s="2" t="inlineStr">
        <is>
          <t>Derivatives(COS)</t>
        </is>
      </c>
      <c r="E234" s="2" t="inlineStr">
        <is>
          <t>is_pl__derivatives_cos</t>
        </is>
      </c>
      <c r="F234" s="2" t="inlineStr">
        <is>
          <t>49</t>
        </is>
      </c>
      <c r="G234" s="2" t="inlineStr">
        <is>
          <t>reported_input</t>
        </is>
      </c>
      <c r="H234" s="2" t="inlineStr">
        <is>
          <t>extract</t>
        </is>
      </c>
    </row>
    <row r="235">
      <c r="A235" s="2" t="inlineStr">
        <is>
          <t>Income Statement</t>
        </is>
      </c>
      <c r="B235" s="2" t="n">
        <v>11</v>
      </c>
      <c r="C235" s="2" t="inlineStr">
        <is>
          <t>B11</t>
        </is>
      </c>
      <c r="D235" s="2" t="inlineStr">
        <is>
          <t>Cost of Sales</t>
        </is>
      </c>
      <c r="E235" s="2" t="inlineStr">
        <is>
          <t>is_pl__cost_of_sales</t>
        </is>
      </c>
      <c r="F235" s="2" t="inlineStr">
        <is>
          <t>23</t>
        </is>
      </c>
      <c r="G235" s="2" t="inlineStr">
        <is>
          <t>reported_input</t>
        </is>
      </c>
      <c r="H235" s="2" t="inlineStr">
        <is>
          <t>extract</t>
        </is>
      </c>
    </row>
    <row r="236">
      <c r="A236" s="2" t="inlineStr">
        <is>
          <t>Income Statement</t>
        </is>
      </c>
      <c r="B236" s="2" t="n">
        <v>12</v>
      </c>
      <c r="C236" s="2" t="inlineStr">
        <is>
          <t>B12</t>
        </is>
      </c>
      <c r="D236" s="2" t="inlineStr">
        <is>
          <t>Net Claims and Benefits</t>
        </is>
      </c>
      <c r="E236" s="2" t="inlineStr">
        <is>
          <t>is_pl__net_claims_and_benefits</t>
        </is>
      </c>
      <c r="F236" s="2" t="inlineStr">
        <is>
          <t>40</t>
        </is>
      </c>
      <c r="G236" s="2" t="inlineStr">
        <is>
          <t>reported_input</t>
        </is>
      </c>
      <c r="H236" s="2" t="inlineStr">
        <is>
          <t>extract</t>
        </is>
      </c>
    </row>
    <row r="237">
      <c r="A237" s="2" t="inlineStr">
        <is>
          <t>Income Statement</t>
        </is>
      </c>
      <c r="B237" s="2" t="n">
        <v>13</v>
      </c>
      <c r="C237" s="2" t="inlineStr">
        <is>
          <t>B13</t>
        </is>
      </c>
      <c r="D237" s="2" t="inlineStr">
        <is>
          <t>Goods &amp; Services</t>
        </is>
      </c>
      <c r="E237" s="2" t="inlineStr">
        <is>
          <t>is_pl__goods_and_services</t>
        </is>
      </c>
      <c r="F237" s="2" t="inlineStr">
        <is>
          <t>14</t>
        </is>
      </c>
      <c r="G237" s="2" t="inlineStr">
        <is>
          <t>reported_input</t>
        </is>
      </c>
      <c r="H237" s="2" t="inlineStr">
        <is>
          <t>extract</t>
        </is>
      </c>
    </row>
    <row r="238">
      <c r="A238" s="2" t="inlineStr">
        <is>
          <t>Income Statement</t>
        </is>
      </c>
      <c r="B238" s="2" t="n">
        <v>14</v>
      </c>
      <c r="C238" s="2" t="inlineStr">
        <is>
          <t>B14</t>
        </is>
      </c>
      <c r="D238" s="2" t="inlineStr">
        <is>
          <t>Material Expenses</t>
        </is>
      </c>
      <c r="E238" s="2" t="inlineStr">
        <is>
          <t>is_pl__material_expenses</t>
        </is>
      </c>
      <c r="F238" s="2" t="inlineStr">
        <is>
          <t>31</t>
        </is>
      </c>
      <c r="G238" s="2" t="inlineStr">
        <is>
          <t>reported_input</t>
        </is>
      </c>
      <c r="H238" s="2" t="inlineStr">
        <is>
          <t>extract</t>
        </is>
      </c>
    </row>
    <row r="239">
      <c r="A239" s="2" t="inlineStr">
        <is>
          <t>Income Statement</t>
        </is>
      </c>
      <c r="B239" s="2" t="n">
        <v>15</v>
      </c>
      <c r="C239" s="2" t="inlineStr">
        <is>
          <t>B15</t>
        </is>
      </c>
      <c r="D239" s="2" t="inlineStr">
        <is>
          <t>Amort &amp; Impairment(Intgbl)(COS)</t>
        </is>
      </c>
      <c r="E239" s="2" t="inlineStr">
        <is>
          <t>is_pl__amort_and_impairment_intgbl_cos</t>
        </is>
      </c>
      <c r="F239" s="2" t="inlineStr">
        <is>
          <t>48</t>
        </is>
      </c>
      <c r="G239" s="2" t="inlineStr">
        <is>
          <t>reported_input</t>
        </is>
      </c>
      <c r="H239" s="2" t="inlineStr">
        <is>
          <t>extract</t>
        </is>
      </c>
    </row>
    <row r="240">
      <c r="A240" s="2" t="inlineStr">
        <is>
          <t>Income Statement</t>
        </is>
      </c>
      <c r="B240" s="2" t="n">
        <v>16</v>
      </c>
      <c r="C240" s="2" t="inlineStr">
        <is>
          <t>B16</t>
        </is>
      </c>
      <c r="D240" s="2" t="inlineStr">
        <is>
          <t>Deprec &amp; Impairment(COS)</t>
        </is>
      </c>
      <c r="E240" s="2" t="inlineStr">
        <is>
          <t>is_pl__deprec_and_impairment_cos</t>
        </is>
      </c>
      <c r="F240" s="2" t="inlineStr">
        <is>
          <t>22</t>
        </is>
      </c>
      <c r="G240" s="2" t="inlineStr">
        <is>
          <t>reported_input</t>
        </is>
      </c>
      <c r="H240" s="2" t="inlineStr">
        <is>
          <t>extract</t>
        </is>
      </c>
    </row>
    <row r="241">
      <c r="A241" s="2" t="inlineStr">
        <is>
          <t>Income Statement</t>
        </is>
      </c>
      <c r="B241" s="2" t="n">
        <v>17</v>
      </c>
      <c r="C241" s="2" t="inlineStr">
        <is>
          <t>B17</t>
        </is>
      </c>
      <c r="D241" s="2" t="inlineStr">
        <is>
          <t>Total Cost of Sales</t>
        </is>
      </c>
      <c r="E241" s="2" t="inlineStr">
        <is>
          <t>is_pl__total_cost_of_sales</t>
        </is>
      </c>
      <c r="F241" s="2">
        <f>SUM(B10:B16)</f>
        <v/>
      </c>
      <c r="G241" s="2" t="inlineStr">
        <is>
          <t>formula</t>
        </is>
      </c>
      <c r="H241" s="2" t="inlineStr">
        <is>
          <t>derive</t>
        </is>
      </c>
    </row>
    <row r="242">
      <c r="A242" s="2" t="inlineStr">
        <is>
          <t>Income Statement</t>
        </is>
      </c>
      <c r="B242" s="2" t="n">
        <v>18</v>
      </c>
      <c r="C242" s="2" t="inlineStr">
        <is>
          <t>B18</t>
        </is>
      </c>
      <c r="D242" s="2" t="inlineStr">
        <is>
          <t>Gross Profit</t>
        </is>
      </c>
      <c r="E242" s="2" t="inlineStr">
        <is>
          <t>is_pl__gross_profit</t>
        </is>
      </c>
      <c r="F242" s="2">
        <f>SUM(B6:B9)-B17</f>
        <v/>
      </c>
      <c r="G242" s="2" t="inlineStr">
        <is>
          <t>formula</t>
        </is>
      </c>
      <c r="H242" s="2" t="inlineStr">
        <is>
          <t>derive</t>
        </is>
      </c>
    </row>
    <row r="243">
      <c r="A243" s="2" t="inlineStr">
        <is>
          <t>Income Statement</t>
        </is>
      </c>
      <c r="B243" s="2" t="n">
        <v>19</v>
      </c>
      <c r="C243" s="2" t="inlineStr">
        <is>
          <t>B19</t>
        </is>
      </c>
      <c r="D243" s="2" t="inlineStr">
        <is>
          <t>Rents &amp; Royalty Income</t>
        </is>
      </c>
      <c r="E243" s="2" t="inlineStr">
        <is>
          <t>is_pl__rents_and_royalty_income</t>
        </is>
      </c>
      <c r="F243" s="2" t="inlineStr">
        <is>
          <t>30</t>
        </is>
      </c>
      <c r="G243" s="2" t="inlineStr">
        <is>
          <t>reported_input</t>
        </is>
      </c>
      <c r="H243" s="2" t="inlineStr">
        <is>
          <t>extract</t>
        </is>
      </c>
    </row>
    <row r="244">
      <c r="A244" s="2" t="inlineStr">
        <is>
          <t>Income Statement</t>
        </is>
      </c>
      <c r="B244" s="2" t="n">
        <v>20</v>
      </c>
      <c r="C244" s="2" t="inlineStr">
        <is>
          <t>B20</t>
        </is>
      </c>
      <c r="D244" s="2" t="inlineStr">
        <is>
          <t>Other Operating Income</t>
        </is>
      </c>
      <c r="E244" s="2" t="inlineStr">
        <is>
          <t>is_pl__other_operating_income</t>
        </is>
      </c>
      <c r="F244" s="2" t="inlineStr">
        <is>
          <t>47</t>
        </is>
      </c>
      <c r="G244" s="2" t="inlineStr">
        <is>
          <t>reported_input</t>
        </is>
      </c>
      <c r="H244" s="2" t="inlineStr">
        <is>
          <t>extract</t>
        </is>
      </c>
    </row>
    <row r="245">
      <c r="A245" s="2" t="inlineStr">
        <is>
          <t>Income Statement</t>
        </is>
      </c>
      <c r="B245" s="2" t="n">
        <v>21</v>
      </c>
      <c r="C245" s="2" t="inlineStr">
        <is>
          <t>B21</t>
        </is>
      </c>
      <c r="D245" s="2" t="inlineStr">
        <is>
          <t>Commission Income (Other Operating Inc)</t>
        </is>
      </c>
      <c r="E245" s="2" t="inlineStr">
        <is>
          <t>is_pl__commission_income_other_operating_inc</t>
        </is>
      </c>
      <c r="F245" s="2" t="inlineStr">
        <is>
          <t>21</t>
        </is>
      </c>
      <c r="G245" s="2" t="inlineStr">
        <is>
          <t>reported_input</t>
        </is>
      </c>
      <c r="H245" s="2" t="inlineStr">
        <is>
          <t>extract</t>
        </is>
      </c>
    </row>
    <row r="246">
      <c r="A246" s="2" t="inlineStr">
        <is>
          <t>Income Statement</t>
        </is>
      </c>
      <c r="B246" s="2" t="n">
        <v>22</v>
      </c>
      <c r="C246" s="2" t="inlineStr">
        <is>
          <t>B22</t>
        </is>
      </c>
      <c r="D246" s="2" t="inlineStr">
        <is>
          <t>Commission Income (Sales)</t>
        </is>
      </c>
      <c r="E246" s="2" t="inlineStr">
        <is>
          <t>is_pl__commission_income_sales</t>
        </is>
      </c>
      <c r="F246" s="2" t="inlineStr">
        <is>
          <t>38</t>
        </is>
      </c>
      <c r="G246" s="2" t="inlineStr">
        <is>
          <t>reported_input</t>
        </is>
      </c>
      <c r="H246" s="2" t="inlineStr">
        <is>
          <t>extract</t>
        </is>
      </c>
    </row>
    <row r="247">
      <c r="A247" s="2" t="inlineStr">
        <is>
          <t>Income Statement</t>
        </is>
      </c>
      <c r="B247" s="2" t="n">
        <v>23</v>
      </c>
      <c r="C247" s="2" t="inlineStr">
        <is>
          <t>B23</t>
        </is>
      </c>
      <c r="D247" s="2" t="inlineStr">
        <is>
          <t>Grants &amp; Subsidies</t>
        </is>
      </c>
      <c r="E247" s="2" t="inlineStr">
        <is>
          <t>is_pl__grants_and_subsidies</t>
        </is>
      </c>
      <c r="F247" s="2" t="inlineStr">
        <is>
          <t>12</t>
        </is>
      </c>
      <c r="G247" s="2" t="inlineStr">
        <is>
          <t>reported_input</t>
        </is>
      </c>
      <c r="H247" s="2" t="inlineStr">
        <is>
          <t>extract</t>
        </is>
      </c>
    </row>
    <row r="248">
      <c r="A248" s="2" t="inlineStr">
        <is>
          <t>Income Statement</t>
        </is>
      </c>
      <c r="B248" s="2" t="n">
        <v>24</v>
      </c>
      <c r="C248" s="2" t="inlineStr">
        <is>
          <t>B24</t>
        </is>
      </c>
      <c r="D248" s="2" t="inlineStr">
        <is>
          <t>Selling &amp; Marketing Expenses</t>
        </is>
      </c>
      <c r="E248" s="2" t="inlineStr">
        <is>
          <t>is_pl__selling_and_marketing_expenses</t>
        </is>
      </c>
      <c r="F248" s="2" t="inlineStr">
        <is>
          <t>29</t>
        </is>
      </c>
      <c r="G248" s="2" t="inlineStr">
        <is>
          <t>reported_input</t>
        </is>
      </c>
      <c r="H248" s="2" t="inlineStr">
        <is>
          <t>extract</t>
        </is>
      </c>
    </row>
    <row r="249">
      <c r="A249" s="2" t="inlineStr">
        <is>
          <t>Income Statement</t>
        </is>
      </c>
      <c r="B249" s="2" t="n">
        <v>25</v>
      </c>
      <c r="C249" s="2" t="inlineStr">
        <is>
          <t>B25</t>
        </is>
      </c>
      <c r="D249" s="2" t="inlineStr">
        <is>
          <t>General &amp; Admin Expenses</t>
        </is>
      </c>
      <c r="E249" s="2" t="inlineStr">
        <is>
          <t>is_pl__general_and_admin_expenses</t>
        </is>
      </c>
      <c r="F249" s="2" t="inlineStr">
        <is>
          <t>46</t>
        </is>
      </c>
      <c r="G249" s="2" t="inlineStr">
        <is>
          <t>reported_input</t>
        </is>
      </c>
      <c r="H249" s="2" t="inlineStr">
        <is>
          <t>extract</t>
        </is>
      </c>
    </row>
    <row r="250">
      <c r="A250" s="2" t="inlineStr">
        <is>
          <t>Income Statement</t>
        </is>
      </c>
      <c r="B250" s="2" t="n">
        <v>26</v>
      </c>
      <c r="C250" s="2" t="inlineStr">
        <is>
          <t>B26</t>
        </is>
      </c>
      <c r="D250" s="2" t="inlineStr">
        <is>
          <t>Personnel &amp; Benefit Expenses</t>
        </is>
      </c>
      <c r="E250" s="2" t="inlineStr">
        <is>
          <t>is_pl__personnel_and_benefit_expenses</t>
        </is>
      </c>
      <c r="F250" s="2" t="inlineStr">
        <is>
          <t>20</t>
        </is>
      </c>
      <c r="G250" s="2" t="inlineStr">
        <is>
          <t>reported_input</t>
        </is>
      </c>
      <c r="H250" s="2" t="inlineStr">
        <is>
          <t>extract</t>
        </is>
      </c>
    </row>
    <row r="251">
      <c r="A251" s="2" t="inlineStr">
        <is>
          <t>Income Statement</t>
        </is>
      </c>
      <c r="B251" s="2" t="n">
        <v>27</v>
      </c>
      <c r="C251" s="2" t="inlineStr">
        <is>
          <t>B27</t>
        </is>
      </c>
      <c r="D251" s="2" t="inlineStr">
        <is>
          <t>Officers Compensation</t>
        </is>
      </c>
      <c r="E251" s="2" t="inlineStr">
        <is>
          <t>is_pl__officers_compensation</t>
        </is>
      </c>
      <c r="F251" s="2" t="inlineStr">
        <is>
          <t>37</t>
        </is>
      </c>
      <c r="G251" s="2" t="inlineStr">
        <is>
          <t>reported_input</t>
        </is>
      </c>
      <c r="H251" s="2" t="inlineStr">
        <is>
          <t>extract</t>
        </is>
      </c>
    </row>
    <row r="252">
      <c r="A252" s="2" t="inlineStr">
        <is>
          <t>Income Statement</t>
        </is>
      </c>
      <c r="B252" s="2" t="n">
        <v>28</v>
      </c>
      <c r="C252" s="2" t="inlineStr">
        <is>
          <t>B28</t>
        </is>
      </c>
      <c r="D252" s="2" t="inlineStr">
        <is>
          <t>Operating Lease &amp; Rent Expenses</t>
        </is>
      </c>
      <c r="E252" s="2" t="inlineStr">
        <is>
          <t>is_pl__operating_lease_and_rent_expenses</t>
        </is>
      </c>
      <c r="F252" s="2" t="inlineStr">
        <is>
          <t>11</t>
        </is>
      </c>
      <c r="G252" s="2" t="inlineStr">
        <is>
          <t>reported_input</t>
        </is>
      </c>
      <c r="H252" s="2" t="inlineStr">
        <is>
          <t>extract</t>
        </is>
      </c>
    </row>
    <row r="253">
      <c r="A253" s="2" t="inlineStr">
        <is>
          <t>Income Statement</t>
        </is>
      </c>
      <c r="B253" s="2" t="n">
        <v>29</v>
      </c>
      <c r="C253" s="2" t="inlineStr">
        <is>
          <t>B29</t>
        </is>
      </c>
      <c r="D253" s="2" t="inlineStr">
        <is>
          <t>Research &amp; Development</t>
        </is>
      </c>
      <c r="E253" s="2" t="inlineStr">
        <is>
          <t>is_pl__research_and_development</t>
        </is>
      </c>
      <c r="F253" s="2" t="inlineStr">
        <is>
          <t>28</t>
        </is>
      </c>
      <c r="G253" s="2" t="inlineStr">
        <is>
          <t>reported_input</t>
        </is>
      </c>
      <c r="H253" s="2" t="inlineStr">
        <is>
          <t>extract</t>
        </is>
      </c>
    </row>
    <row r="254">
      <c r="A254" s="2" t="inlineStr">
        <is>
          <t>Income Statement</t>
        </is>
      </c>
      <c r="B254" s="2" t="n">
        <v>30</v>
      </c>
      <c r="C254" s="2" t="inlineStr">
        <is>
          <t>B30</t>
        </is>
      </c>
      <c r="D254" s="2" t="inlineStr">
        <is>
          <t>Restructuring Costs</t>
        </is>
      </c>
      <c r="E254" s="2" t="inlineStr">
        <is>
          <t>is_pl__restructuring_costs</t>
        </is>
      </c>
      <c r="F254" s="2" t="inlineStr">
        <is>
          <t>45</t>
        </is>
      </c>
      <c r="G254" s="2" t="inlineStr">
        <is>
          <t>reported_input</t>
        </is>
      </c>
      <c r="H254" s="2" t="inlineStr">
        <is>
          <t>extract</t>
        </is>
      </c>
    </row>
    <row r="255">
      <c r="A255" s="2" t="inlineStr">
        <is>
          <t>Income Statement</t>
        </is>
      </c>
      <c r="B255" s="2" t="n">
        <v>31</v>
      </c>
      <c r="C255" s="2" t="inlineStr">
        <is>
          <t>B31</t>
        </is>
      </c>
      <c r="D255" s="2" t="inlineStr">
        <is>
          <t>Asset impairment loss</t>
        </is>
      </c>
      <c r="E255" s="2" t="inlineStr">
        <is>
          <t>is_pl__asset_impairment_loss</t>
        </is>
      </c>
      <c r="F255" s="2" t="inlineStr">
        <is>
          <t>19</t>
        </is>
      </c>
      <c r="G255" s="2" t="inlineStr">
        <is>
          <t>reported_input</t>
        </is>
      </c>
      <c r="H255" s="2" t="inlineStr">
        <is>
          <t>extract</t>
        </is>
      </c>
    </row>
    <row r="256">
      <c r="A256" s="2" t="inlineStr">
        <is>
          <t>Income Statement</t>
        </is>
      </c>
      <c r="B256" s="2" t="n">
        <v>32</v>
      </c>
      <c r="C256" s="2" t="inlineStr">
        <is>
          <t>B32</t>
        </is>
      </c>
      <c r="D256" s="2" t="inlineStr">
        <is>
          <t>Other Operating Expenses</t>
        </is>
      </c>
      <c r="E256" s="2" t="inlineStr">
        <is>
          <t>is_pl__other_operating_expenses</t>
        </is>
      </c>
      <c r="F256" s="2" t="inlineStr">
        <is>
          <t>36</t>
        </is>
      </c>
      <c r="G256" s="2" t="inlineStr">
        <is>
          <t>reported_input</t>
        </is>
      </c>
      <c r="H256" s="2" t="inlineStr">
        <is>
          <t>extract</t>
        </is>
      </c>
    </row>
    <row r="257">
      <c r="A257" s="2" t="inlineStr">
        <is>
          <t>Income Statement</t>
        </is>
      </c>
      <c r="B257" s="2" t="n">
        <v>33</v>
      </c>
      <c r="C257" s="2" t="inlineStr">
        <is>
          <t>B33</t>
        </is>
      </c>
      <c r="D257" s="2" t="inlineStr">
        <is>
          <t>Commission Expenses (Other Operating Exp)</t>
        </is>
      </c>
      <c r="E257" s="2" t="inlineStr">
        <is>
          <t>is_pl__commission_expenses_other_operating_exp</t>
        </is>
      </c>
      <c r="F257" s="2" t="inlineStr">
        <is>
          <t>10</t>
        </is>
      </c>
      <c r="G257" s="2" t="inlineStr">
        <is>
          <t>reported_input</t>
        </is>
      </c>
      <c r="H257" s="2" t="inlineStr">
        <is>
          <t>extract</t>
        </is>
      </c>
    </row>
    <row r="258">
      <c r="A258" s="2" t="inlineStr">
        <is>
          <t>Income Statement</t>
        </is>
      </c>
      <c r="B258" s="2" t="n">
        <v>34</v>
      </c>
      <c r="C258" s="2" t="inlineStr">
        <is>
          <t>B34</t>
        </is>
      </c>
      <c r="D258" s="2" t="inlineStr">
        <is>
          <t>Commission Expenses (Cost of Sales)</t>
        </is>
      </c>
      <c r="E258" s="2" t="inlineStr">
        <is>
          <t>is_pl__commission_expenses_cost_of_sales</t>
        </is>
      </c>
      <c r="F258" s="2" t="inlineStr">
        <is>
          <t>27</t>
        </is>
      </c>
      <c r="G258" s="2" t="inlineStr">
        <is>
          <t>reported_input</t>
        </is>
      </c>
      <c r="H258" s="2" t="inlineStr">
        <is>
          <t>extract</t>
        </is>
      </c>
    </row>
    <row r="259">
      <c r="A259" s="2" t="inlineStr">
        <is>
          <t>Income Statement</t>
        </is>
      </c>
      <c r="B259" s="2" t="n">
        <v>35</v>
      </c>
      <c r="C259" s="2" t="inlineStr">
        <is>
          <t>B35</t>
        </is>
      </c>
      <c r="D259" s="2" t="inlineStr">
        <is>
          <t>Bad Debt Expense (Other Receivables)</t>
        </is>
      </c>
      <c r="E259" s="2" t="inlineStr">
        <is>
          <t>is_pl__bad_debt_expense_other_receivables</t>
        </is>
      </c>
      <c r="F259" s="2" t="inlineStr">
        <is>
          <t>44</t>
        </is>
      </c>
      <c r="G259" s="2" t="inlineStr">
        <is>
          <t>reported_input</t>
        </is>
      </c>
      <c r="H259" s="2" t="inlineStr">
        <is>
          <t>extract</t>
        </is>
      </c>
    </row>
    <row r="260">
      <c r="A260" s="2" t="inlineStr">
        <is>
          <t>Income Statement</t>
        </is>
      </c>
      <c r="B260" s="2" t="n">
        <v>36</v>
      </c>
      <c r="C260" s="2" t="inlineStr">
        <is>
          <t>B36</t>
        </is>
      </c>
      <c r="D260" s="2" t="inlineStr">
        <is>
          <t>Bad Debt Expense (Trade and Other Receivables)</t>
        </is>
      </c>
      <c r="E260" s="2" t="inlineStr">
        <is>
          <t>is_pl__bad_debt_expense_trade_and_other_receivables</t>
        </is>
      </c>
      <c r="F260" s="2" t="inlineStr">
        <is>
          <t>18</t>
        </is>
      </c>
      <c r="G260" s="2" t="inlineStr">
        <is>
          <t>reported_input</t>
        </is>
      </c>
      <c r="H260" s="2" t="inlineStr">
        <is>
          <t>extract</t>
        </is>
      </c>
    </row>
    <row r="261">
      <c r="A261" s="2" t="inlineStr">
        <is>
          <t>Income Statement</t>
        </is>
      </c>
      <c r="B261" s="2" t="n">
        <v>37</v>
      </c>
      <c r="C261" s="2" t="inlineStr">
        <is>
          <t>B37</t>
        </is>
      </c>
      <c r="D261" s="2" t="inlineStr">
        <is>
          <t>Bad Debt Expense</t>
        </is>
      </c>
      <c r="E261" s="2" t="inlineStr">
        <is>
          <t>is_pl__bad_debt_expense</t>
        </is>
      </c>
      <c r="F261" s="2" t="inlineStr">
        <is>
          <t>35</t>
        </is>
      </c>
      <c r="G261" s="2" t="inlineStr">
        <is>
          <t>reported_input</t>
        </is>
      </c>
      <c r="H261" s="2" t="inlineStr">
        <is>
          <t>extract</t>
        </is>
      </c>
    </row>
    <row r="262">
      <c r="A262" s="2" t="inlineStr">
        <is>
          <t>Income Statement</t>
        </is>
      </c>
      <c r="B262" s="2" t="n">
        <v>38</v>
      </c>
      <c r="C262" s="2" t="inlineStr">
        <is>
          <t>B38</t>
        </is>
      </c>
      <c r="D262" s="2" t="inlineStr">
        <is>
          <t>Prov for Retirement Costs</t>
        </is>
      </c>
      <c r="E262" s="2" t="inlineStr">
        <is>
          <t>is_pl__prov_for_retirement_costs</t>
        </is>
      </c>
      <c r="F262" s="2" t="inlineStr">
        <is>
          <t>9</t>
        </is>
      </c>
      <c r="G262" s="2" t="inlineStr">
        <is>
          <t>reported_input</t>
        </is>
      </c>
      <c r="H262" s="2" t="inlineStr">
        <is>
          <t>extract</t>
        </is>
      </c>
    </row>
    <row r="263">
      <c r="A263" s="2" t="inlineStr">
        <is>
          <t>Income Statement</t>
        </is>
      </c>
      <c r="B263" s="2" t="n">
        <v>39</v>
      </c>
      <c r="C263" s="2" t="inlineStr">
        <is>
          <t>B39</t>
        </is>
      </c>
      <c r="D263" s="2" t="inlineStr">
        <is>
          <t>Share Option Costs</t>
        </is>
      </c>
      <c r="E263" s="2" t="inlineStr">
        <is>
          <t>is_pl__share_option_costs</t>
        </is>
      </c>
      <c r="F263" s="2" t="inlineStr">
        <is>
          <t>26</t>
        </is>
      </c>
      <c r="G263" s="2" t="inlineStr">
        <is>
          <t>reported_input</t>
        </is>
      </c>
      <c r="H263" s="2" t="inlineStr">
        <is>
          <t>extract</t>
        </is>
      </c>
    </row>
    <row r="264">
      <c r="A264" s="2" t="inlineStr">
        <is>
          <t>Income Statement</t>
        </is>
      </c>
      <c r="B264" s="2" t="n">
        <v>40</v>
      </c>
      <c r="C264" s="2" t="inlineStr">
        <is>
          <t>B40</t>
        </is>
      </c>
      <c r="D264" s="2" t="inlineStr">
        <is>
          <t>Other Taxes</t>
        </is>
      </c>
      <c r="E264" s="2" t="inlineStr">
        <is>
          <t>is_pl__other_taxes</t>
        </is>
      </c>
      <c r="F264" s="2" t="inlineStr">
        <is>
          <t>43</t>
        </is>
      </c>
      <c r="G264" s="2" t="inlineStr">
        <is>
          <t>reported_input</t>
        </is>
      </c>
      <c r="H264" s="2" t="inlineStr">
        <is>
          <t>extract</t>
        </is>
      </c>
    </row>
    <row r="265">
      <c r="A265" s="2" t="inlineStr">
        <is>
          <t>Income Statement</t>
        </is>
      </c>
      <c r="B265" s="2" t="n">
        <v>41</v>
      </c>
      <c r="C265" s="2" t="inlineStr">
        <is>
          <t>B41</t>
        </is>
      </c>
      <c r="D265" s="2" t="inlineStr">
        <is>
          <t>Other Oper Exp(Provisions)</t>
        </is>
      </c>
      <c r="E265" s="2" t="inlineStr">
        <is>
          <t>is_pl__other_oper_exp_provisions</t>
        </is>
      </c>
      <c r="F265" s="2" t="inlineStr">
        <is>
          <t>17</t>
        </is>
      </c>
      <c r="G265" s="2" t="inlineStr">
        <is>
          <t>reported_input</t>
        </is>
      </c>
      <c r="H265" s="2" t="inlineStr">
        <is>
          <t>extract</t>
        </is>
      </c>
    </row>
    <row r="266">
      <c r="A266" s="2" t="inlineStr">
        <is>
          <t>Income Statement</t>
        </is>
      </c>
      <c r="B266" s="2" t="n">
        <v>42</v>
      </c>
      <c r="C266" s="2" t="inlineStr">
        <is>
          <t>B42</t>
        </is>
      </c>
      <c r="D266" s="2" t="inlineStr">
        <is>
          <t>Impairment(Fixed Assets)(Oper Exp)</t>
        </is>
      </c>
      <c r="E266" s="2" t="inlineStr">
        <is>
          <t>is_pl__impairment_fixed_assets_oper_exp</t>
        </is>
      </c>
      <c r="F266" s="2" t="inlineStr">
        <is>
          <t>34</t>
        </is>
      </c>
      <c r="G266" s="2" t="inlineStr">
        <is>
          <t>reported_input</t>
        </is>
      </c>
      <c r="H266" s="2" t="inlineStr">
        <is>
          <t>extract</t>
        </is>
      </c>
    </row>
    <row r="267">
      <c r="A267" s="2" t="inlineStr">
        <is>
          <t>Income Statement</t>
        </is>
      </c>
      <c r="B267" s="2" t="n">
        <v>43</v>
      </c>
      <c r="C267" s="2" t="inlineStr">
        <is>
          <t>B43</t>
        </is>
      </c>
      <c r="D267" s="2" t="inlineStr">
        <is>
          <t>Deprec &amp; Impairment(Oper Exp)</t>
        </is>
      </c>
      <c r="E267" s="2" t="inlineStr">
        <is>
          <t>is_pl__deprec_and_impairment_oper_exp</t>
        </is>
      </c>
      <c r="F267" s="2" t="inlineStr">
        <is>
          <t>8</t>
        </is>
      </c>
      <c r="G267" s="2" t="inlineStr">
        <is>
          <t>reported_input</t>
        </is>
      </c>
      <c r="H267" s="2" t="inlineStr">
        <is>
          <t>extract</t>
        </is>
      </c>
    </row>
    <row r="268">
      <c r="A268" s="2" t="inlineStr">
        <is>
          <t>Income Statement</t>
        </is>
      </c>
      <c r="B268" s="2" t="n">
        <v>44</v>
      </c>
      <c r="C268" s="2" t="inlineStr">
        <is>
          <t>B44</t>
        </is>
      </c>
      <c r="D268" s="2" t="inlineStr">
        <is>
          <t>Impairment(Intgbl)</t>
        </is>
      </c>
      <c r="E268" s="2" t="inlineStr">
        <is>
          <t>is_pl__impairment_intgbl</t>
        </is>
      </c>
      <c r="F268" s="2" t="inlineStr">
        <is>
          <t>25</t>
        </is>
      </c>
      <c r="G268" s="2" t="inlineStr">
        <is>
          <t>reported_input</t>
        </is>
      </c>
      <c r="H268" s="2" t="inlineStr">
        <is>
          <t>extract</t>
        </is>
      </c>
    </row>
    <row r="269">
      <c r="A269" s="2" t="inlineStr">
        <is>
          <t>Income Statement</t>
        </is>
      </c>
      <c r="B269" s="2" t="n">
        <v>45</v>
      </c>
      <c r="C269" s="2" t="inlineStr">
        <is>
          <t>B45</t>
        </is>
      </c>
      <c r="D269" s="2" t="inlineStr">
        <is>
          <t>Amort &amp; Impairment(Intgbl)</t>
        </is>
      </c>
      <c r="E269" s="2" t="inlineStr">
        <is>
          <t>is_pl__amort_and_impairment_intgbl</t>
        </is>
      </c>
      <c r="F269" s="2" t="inlineStr">
        <is>
          <t>42</t>
        </is>
      </c>
      <c r="G269" s="2" t="inlineStr">
        <is>
          <t>reported_input</t>
        </is>
      </c>
      <c r="H269" s="2" t="inlineStr">
        <is>
          <t>extract</t>
        </is>
      </c>
    </row>
    <row r="270">
      <c r="A270" s="2" t="inlineStr">
        <is>
          <t>Income Statement</t>
        </is>
      </c>
      <c r="B270" s="2" t="n">
        <v>46</v>
      </c>
      <c r="C270" s="2" t="inlineStr">
        <is>
          <t>B46</t>
        </is>
      </c>
      <c r="D270" s="2" t="inlineStr">
        <is>
          <t>Goodwill Amortization</t>
        </is>
      </c>
      <c r="E270" s="2" t="inlineStr">
        <is>
          <t>is_pl__goodwill_amortization</t>
        </is>
      </c>
      <c r="F270" s="2" t="inlineStr">
        <is>
          <t>16</t>
        </is>
      </c>
      <c r="G270" s="2" t="inlineStr">
        <is>
          <t>reported_input</t>
        </is>
      </c>
      <c r="H270" s="2" t="inlineStr">
        <is>
          <t>extract</t>
        </is>
      </c>
    </row>
    <row r="271">
      <c r="A271" s="2" t="inlineStr">
        <is>
          <t>Income Statement</t>
        </is>
      </c>
      <c r="B271" s="2" t="n">
        <v>47</v>
      </c>
      <c r="C271" s="2" t="inlineStr">
        <is>
          <t>B47</t>
        </is>
      </c>
      <c r="D271" s="2" t="inlineStr">
        <is>
          <t>Capitalized Costs</t>
        </is>
      </c>
      <c r="E271" s="2" t="inlineStr">
        <is>
          <t>is_pl__capitalized_costs</t>
        </is>
      </c>
      <c r="F271" s="2" t="inlineStr">
        <is>
          <t>33</t>
        </is>
      </c>
      <c r="G271" s="2" t="inlineStr">
        <is>
          <t>reported_input</t>
        </is>
      </c>
      <c r="H271" s="2" t="inlineStr">
        <is>
          <t>extract</t>
        </is>
      </c>
    </row>
    <row r="272">
      <c r="A272" s="2" t="inlineStr">
        <is>
          <t>Income Statement</t>
        </is>
      </c>
      <c r="B272" s="2" t="n">
        <v>48</v>
      </c>
      <c r="C272" s="2" t="inlineStr">
        <is>
          <t>B48</t>
        </is>
      </c>
      <c r="D272" s="2" t="inlineStr">
        <is>
          <t>Net Operating Profit</t>
        </is>
      </c>
      <c r="E272" s="2" t="inlineStr">
        <is>
          <t>is_pl__net_operating_profit</t>
        </is>
      </c>
      <c r="F272" s="2">
        <f>B18+SUM(B19:B23)-SUM(B24:B47)</f>
        <v/>
      </c>
      <c r="G272" s="2" t="inlineStr">
        <is>
          <t>formula</t>
        </is>
      </c>
      <c r="H272" s="2" t="inlineStr">
        <is>
          <t>derive</t>
        </is>
      </c>
    </row>
    <row r="273">
      <c r="A273" s="2" t="inlineStr">
        <is>
          <t>Income Statement</t>
        </is>
      </c>
      <c r="B273" s="2" t="n">
        <v>49</v>
      </c>
      <c r="C273" s="2" t="inlineStr">
        <is>
          <t>B49</t>
        </is>
      </c>
      <c r="D273" s="2" t="inlineStr">
        <is>
          <t>Interest income from derivatives</t>
        </is>
      </c>
      <c r="E273" s="2" t="inlineStr">
        <is>
          <t>is_pl__interest_income_from_derivatives</t>
        </is>
      </c>
      <c r="F273" s="2" t="inlineStr">
        <is>
          <t>24</t>
        </is>
      </c>
      <c r="G273" s="2" t="inlineStr">
        <is>
          <t>reported_input</t>
        </is>
      </c>
      <c r="H273" s="2" t="inlineStr">
        <is>
          <t>extract</t>
        </is>
      </c>
    </row>
    <row r="274">
      <c r="A274" s="2" t="inlineStr">
        <is>
          <t>Income Statement</t>
        </is>
      </c>
      <c r="B274" s="2" t="n">
        <v>50</v>
      </c>
      <c r="C274" s="2" t="inlineStr">
        <is>
          <t>B50</t>
        </is>
      </c>
      <c r="D274" s="2" t="inlineStr">
        <is>
          <t>Interest income from wealth management products</t>
        </is>
      </c>
      <c r="E274" s="2" t="inlineStr">
        <is>
          <t>is_pl__interest_income_from_wealth_management_products</t>
        </is>
      </c>
      <c r="F274" s="2" t="inlineStr">
        <is>
          <t>41</t>
        </is>
      </c>
      <c r="G274" s="2" t="inlineStr">
        <is>
          <t>reported_input</t>
        </is>
      </c>
      <c r="H274" s="2" t="inlineStr">
        <is>
          <t>extract</t>
        </is>
      </c>
    </row>
    <row r="275">
      <c r="A275" s="2" t="inlineStr">
        <is>
          <t>Income Statement</t>
        </is>
      </c>
      <c r="B275" s="2" t="n">
        <v>51</v>
      </c>
      <c r="C275" s="2" t="inlineStr">
        <is>
          <t>B51</t>
        </is>
      </c>
      <c r="D275" s="2" t="inlineStr">
        <is>
          <t>Interest income from Entrusted loan receivables</t>
        </is>
      </c>
      <c r="E275" s="2" t="inlineStr">
        <is>
          <t>is_pl__interest_income_from_entrusted_loan_receivables</t>
        </is>
      </c>
      <c r="F275" s="2" t="inlineStr">
        <is>
          <t>15</t>
        </is>
      </c>
      <c r="G275" s="2" t="inlineStr">
        <is>
          <t>reported_input</t>
        </is>
      </c>
      <c r="H275" s="2" t="inlineStr">
        <is>
          <t>extract</t>
        </is>
      </c>
    </row>
    <row r="276">
      <c r="A276" s="2" t="inlineStr">
        <is>
          <t>Income Statement</t>
        </is>
      </c>
      <c r="B276" s="2" t="n">
        <v>52</v>
      </c>
      <c r="C276" s="2" t="inlineStr">
        <is>
          <t>B52</t>
        </is>
      </c>
      <c r="D276" s="2" t="inlineStr">
        <is>
          <t>Interest Income</t>
        </is>
      </c>
      <c r="E276" s="2" t="inlineStr">
        <is>
          <t>is_pl__interest_income</t>
        </is>
      </c>
      <c r="F276" s="2" t="inlineStr">
        <is>
          <t>32</t>
        </is>
      </c>
      <c r="G276" s="2" t="inlineStr">
        <is>
          <t>reported_input</t>
        </is>
      </c>
      <c r="H276" s="2" t="inlineStr">
        <is>
          <t>extract</t>
        </is>
      </c>
    </row>
    <row r="277">
      <c r="A277" s="2" t="inlineStr">
        <is>
          <t>Income Statement</t>
        </is>
      </c>
      <c r="B277" s="2" t="n">
        <v>53</v>
      </c>
      <c r="C277" s="2" t="inlineStr">
        <is>
          <t>B53</t>
        </is>
      </c>
      <c r="D277" s="2" t="inlineStr">
        <is>
          <t>Interest on lease liabilities</t>
        </is>
      </c>
      <c r="E277" s="2" t="inlineStr">
        <is>
          <t>is_pl__interest_on_lease_liabilities</t>
        </is>
      </c>
      <c r="F277" s="2" t="inlineStr">
        <is>
          <t>49</t>
        </is>
      </c>
      <c r="G277" s="2" t="inlineStr">
        <is>
          <t>reported_input</t>
        </is>
      </c>
      <c r="H277" s="2" t="inlineStr">
        <is>
          <t>extract</t>
        </is>
      </c>
    </row>
    <row r="278">
      <c r="A278" s="2" t="inlineStr">
        <is>
          <t>Income Statement</t>
        </is>
      </c>
      <c r="B278" s="2" t="n">
        <v>54</v>
      </c>
      <c r="C278" s="2" t="inlineStr">
        <is>
          <t>B54</t>
        </is>
      </c>
      <c r="D278" s="2" t="inlineStr">
        <is>
          <t>Interest on debt market instruments</t>
        </is>
      </c>
      <c r="E278" s="2" t="inlineStr">
        <is>
          <t>is_pl__interest_on_debt_market_instruments</t>
        </is>
      </c>
      <c r="F278" s="2" t="inlineStr">
        <is>
          <t>23</t>
        </is>
      </c>
      <c r="G278" s="2" t="inlineStr">
        <is>
          <t>reported_input</t>
        </is>
      </c>
      <c r="H278" s="2" t="inlineStr">
        <is>
          <t>extract</t>
        </is>
      </c>
    </row>
    <row r="279">
      <c r="A279" s="2" t="inlineStr">
        <is>
          <t>Income Statement</t>
        </is>
      </c>
      <c r="B279" s="2" t="n">
        <v>55</v>
      </c>
      <c r="C279" s="2" t="inlineStr">
        <is>
          <t>B55</t>
        </is>
      </c>
      <c r="D279" s="2" t="inlineStr">
        <is>
          <t>Interest on capital market instruments</t>
        </is>
      </c>
      <c r="E279" s="2" t="inlineStr">
        <is>
          <t>is_pl__interest_on_capital_market_instruments</t>
        </is>
      </c>
      <c r="F279" s="2" t="inlineStr">
        <is>
          <t>40</t>
        </is>
      </c>
      <c r="G279" s="2" t="inlineStr">
        <is>
          <t>reported_input</t>
        </is>
      </c>
      <c r="H279" s="2" t="inlineStr">
        <is>
          <t>extract</t>
        </is>
      </c>
    </row>
    <row r="280">
      <c r="A280" s="2" t="inlineStr">
        <is>
          <t>Income Statement</t>
        </is>
      </c>
      <c r="B280" s="2" t="n">
        <v>56</v>
      </c>
      <c r="C280" s="2" t="inlineStr">
        <is>
          <t>B56</t>
        </is>
      </c>
      <c r="D280" s="2" t="inlineStr">
        <is>
          <t>Interest on trade finance</t>
        </is>
      </c>
      <c r="E280" s="2" t="inlineStr">
        <is>
          <t>is_pl__interest_on_trade_finance</t>
        </is>
      </c>
      <c r="F280" s="2" t="inlineStr">
        <is>
          <t>14</t>
        </is>
      </c>
      <c r="G280" s="2" t="inlineStr">
        <is>
          <t>reported_input</t>
        </is>
      </c>
      <c r="H280" s="2" t="inlineStr">
        <is>
          <t>extract</t>
        </is>
      </c>
    </row>
    <row r="281">
      <c r="A281" s="2" t="inlineStr">
        <is>
          <t>Income Statement</t>
        </is>
      </c>
      <c r="B281" s="2" t="n">
        <v>57</v>
      </c>
      <c r="C281" s="2" t="inlineStr">
        <is>
          <t>B57</t>
        </is>
      </c>
      <c r="D281" s="2" t="inlineStr">
        <is>
          <t>Interest paid to related parties</t>
        </is>
      </c>
      <c r="E281" s="2" t="inlineStr">
        <is>
          <t>is_pl__interest_paid_to_related_parties</t>
        </is>
      </c>
      <c r="F281" s="2" t="inlineStr">
        <is>
          <t>31</t>
        </is>
      </c>
      <c r="G281" s="2" t="inlineStr">
        <is>
          <t>reported_input</t>
        </is>
      </c>
      <c r="H281" s="2" t="inlineStr">
        <is>
          <t>extract</t>
        </is>
      </c>
    </row>
    <row r="282">
      <c r="A282" s="2" t="inlineStr">
        <is>
          <t>Income Statement</t>
        </is>
      </c>
      <c r="B282" s="2" t="n">
        <v>58</v>
      </c>
      <c r="C282" s="2" t="inlineStr">
        <is>
          <t>B58</t>
        </is>
      </c>
      <c r="D282" s="2" t="inlineStr">
        <is>
          <t>Interest expense - capitalised</t>
        </is>
      </c>
      <c r="E282" s="2" t="inlineStr">
        <is>
          <t>is_pl__interest_expense_capitalised</t>
        </is>
      </c>
      <c r="F282" s="2" t="inlineStr">
        <is>
          <t>48</t>
        </is>
      </c>
      <c r="G282" s="2" t="inlineStr">
        <is>
          <t>reported_input</t>
        </is>
      </c>
      <c r="H282" s="2" t="inlineStr">
        <is>
          <t>extract</t>
        </is>
      </c>
    </row>
    <row r="283">
      <c r="A283" s="2" t="inlineStr">
        <is>
          <t>Income Statement</t>
        </is>
      </c>
      <c r="B283" s="2" t="n">
        <v>59</v>
      </c>
      <c r="C283" s="2" t="inlineStr">
        <is>
          <t>B59</t>
        </is>
      </c>
      <c r="D283" s="2" t="inlineStr">
        <is>
          <t>Finance cost on derivatives</t>
        </is>
      </c>
      <c r="E283" s="2" t="inlineStr">
        <is>
          <t>is_pl__finance_cost_on_derivatives</t>
        </is>
      </c>
      <c r="F283" s="2" t="inlineStr">
        <is>
          <t>22</t>
        </is>
      </c>
      <c r="G283" s="2" t="inlineStr">
        <is>
          <t>reported_input</t>
        </is>
      </c>
      <c r="H283" s="2" t="inlineStr">
        <is>
          <t>extract</t>
        </is>
      </c>
    </row>
    <row r="284">
      <c r="A284" s="2" t="inlineStr">
        <is>
          <t>Income Statement</t>
        </is>
      </c>
      <c r="B284" s="2" t="n">
        <v>60</v>
      </c>
      <c r="C284" s="2" t="inlineStr">
        <is>
          <t>B60</t>
        </is>
      </c>
      <c r="D284" s="2" t="inlineStr">
        <is>
          <t>Bank charge and interest expense</t>
        </is>
      </c>
      <c r="E284" s="2" t="inlineStr">
        <is>
          <t>is_pl__bank_charge_and_interest_expense</t>
        </is>
      </c>
      <c r="F284" s="2" t="inlineStr">
        <is>
          <t>39</t>
        </is>
      </c>
      <c r="G284" s="2" t="inlineStr">
        <is>
          <t>reported_input</t>
        </is>
      </c>
      <c r="H284" s="2" t="inlineStr">
        <is>
          <t>extract</t>
        </is>
      </c>
    </row>
    <row r="285">
      <c r="A285" s="2" t="inlineStr">
        <is>
          <t>Income Statement</t>
        </is>
      </c>
      <c r="B285" s="2" t="n">
        <v>61</v>
      </c>
      <c r="C285" s="2" t="inlineStr">
        <is>
          <t>B61</t>
        </is>
      </c>
      <c r="D285" s="2" t="inlineStr">
        <is>
          <t>Interest Expense(-)</t>
        </is>
      </c>
      <c r="E285" s="2" t="inlineStr">
        <is>
          <t>is_pl__interest_expense</t>
        </is>
      </c>
      <c r="F285" s="2" t="inlineStr">
        <is>
          <t>13</t>
        </is>
      </c>
      <c r="G285" s="2" t="inlineStr">
        <is>
          <t>reported_input</t>
        </is>
      </c>
      <c r="H285" s="2" t="inlineStr">
        <is>
          <t>extract</t>
        </is>
      </c>
    </row>
    <row r="286">
      <c r="A286" s="2" t="inlineStr">
        <is>
          <t>Income Statement</t>
        </is>
      </c>
      <c r="B286" s="2" t="n">
        <v>62</v>
      </c>
      <c r="C286" s="2" t="inlineStr">
        <is>
          <t>B62</t>
        </is>
      </c>
      <c r="D286" s="2" t="inlineStr">
        <is>
          <t>Other Debt Service Expenses(-)</t>
        </is>
      </c>
      <c r="E286" s="2" t="inlineStr">
        <is>
          <t>is_pl__other_debt_service_expenses</t>
        </is>
      </c>
      <c r="F286" s="2" t="inlineStr">
        <is>
          <t>30</t>
        </is>
      </c>
      <c r="G286" s="2" t="inlineStr">
        <is>
          <t>reported_input</t>
        </is>
      </c>
      <c r="H286" s="2" t="inlineStr">
        <is>
          <t>extract</t>
        </is>
      </c>
    </row>
    <row r="287">
      <c r="A287" s="2" t="inlineStr">
        <is>
          <t>Income Statement</t>
        </is>
      </c>
      <c r="B287" s="2" t="n">
        <v>63</v>
      </c>
      <c r="C287" s="2" t="inlineStr">
        <is>
          <t>B63</t>
        </is>
      </c>
      <c r="D287" s="2" t="inlineStr">
        <is>
          <t>Deferred Interest Expense(-)</t>
        </is>
      </c>
      <c r="E287" s="2" t="inlineStr">
        <is>
          <t>is_pl__deferred_interest_expense</t>
        </is>
      </c>
      <c r="F287" s="2" t="inlineStr">
        <is>
          <t>47</t>
        </is>
      </c>
      <c r="G287" s="2" t="inlineStr">
        <is>
          <t>reported_input</t>
        </is>
      </c>
      <c r="H287" s="2" t="inlineStr">
        <is>
          <t>extract</t>
        </is>
      </c>
    </row>
    <row r="288">
      <c r="A288" s="2" t="inlineStr">
        <is>
          <t>Income Statement</t>
        </is>
      </c>
      <c r="B288" s="2" t="n">
        <v>64</v>
      </c>
      <c r="C288" s="2" t="inlineStr">
        <is>
          <t>B64</t>
        </is>
      </c>
      <c r="D288" s="2" t="inlineStr">
        <is>
          <t>Net Interest Income(Expense)</t>
        </is>
      </c>
      <c r="E288" s="2" t="inlineStr">
        <is>
          <t>is_pl__net_interest_income_expense</t>
        </is>
      </c>
      <c r="F288" s="2">
        <f>SUM(B49:B52)-SUM(B53:B63)</f>
        <v/>
      </c>
      <c r="G288" s="2" t="inlineStr">
        <is>
          <t>formula</t>
        </is>
      </c>
      <c r="H288" s="2" t="inlineStr">
        <is>
          <t>derive</t>
        </is>
      </c>
    </row>
    <row r="289">
      <c r="A289" s="2" t="inlineStr">
        <is>
          <t>Income Statement</t>
        </is>
      </c>
      <c r="B289" s="2" t="n">
        <v>65</v>
      </c>
      <c r="C289" s="2" t="inlineStr">
        <is>
          <t>B65</t>
        </is>
      </c>
      <c r="D289" s="2" t="inlineStr">
        <is>
          <t>Income(Loss) from Related Party</t>
        </is>
      </c>
      <c r="E289" s="2" t="inlineStr">
        <is>
          <t>is_pl__income_loss_from_related_party</t>
        </is>
      </c>
      <c r="F289" s="2" t="inlineStr">
        <is>
          <t>38</t>
        </is>
      </c>
      <c r="G289" s="2" t="inlineStr">
        <is>
          <t>reported_input</t>
        </is>
      </c>
      <c r="H289" s="2" t="inlineStr">
        <is>
          <t>extract</t>
        </is>
      </c>
    </row>
    <row r="290">
      <c r="A290" s="2" t="inlineStr">
        <is>
          <t>Income Statement</t>
        </is>
      </c>
      <c r="B290" s="2" t="n">
        <v>66</v>
      </c>
      <c r="C290" s="2" t="inlineStr">
        <is>
          <t>B66</t>
        </is>
      </c>
      <c r="D290" s="2" t="inlineStr">
        <is>
          <t>Income(Loss) from Joint Ventures</t>
        </is>
      </c>
      <c r="E290" s="2" t="inlineStr">
        <is>
          <t>is_pl__income_loss_from_joint_ventures</t>
        </is>
      </c>
      <c r="F290" s="2" t="inlineStr">
        <is>
          <t>12</t>
        </is>
      </c>
      <c r="G290" s="2" t="inlineStr">
        <is>
          <t>reported_input</t>
        </is>
      </c>
      <c r="H290" s="2" t="inlineStr">
        <is>
          <t>extract</t>
        </is>
      </c>
    </row>
    <row r="291">
      <c r="A291" s="2" t="inlineStr">
        <is>
          <t>Income Statement</t>
        </is>
      </c>
      <c r="B291" s="2" t="n">
        <v>67</v>
      </c>
      <c r="C291" s="2" t="inlineStr">
        <is>
          <t>B67</t>
        </is>
      </c>
      <c r="D291" s="2" t="inlineStr">
        <is>
          <t>Fncl income from derivatives</t>
        </is>
      </c>
      <c r="E291" s="2" t="inlineStr">
        <is>
          <t>is_pl__fncl_income_from_derivatives</t>
        </is>
      </c>
      <c r="F291" s="2" t="inlineStr">
        <is>
          <t>29</t>
        </is>
      </c>
      <c r="G291" s="2" t="inlineStr">
        <is>
          <t>reported_input</t>
        </is>
      </c>
      <c r="H291" s="2" t="inlineStr">
        <is>
          <t>extract</t>
        </is>
      </c>
    </row>
    <row r="292">
      <c r="A292" s="2" t="inlineStr">
        <is>
          <t>Income Statement</t>
        </is>
      </c>
      <c r="B292" s="2" t="n">
        <v>68</v>
      </c>
      <c r="C292" s="2" t="inlineStr">
        <is>
          <t>B68</t>
        </is>
      </c>
      <c r="D292" s="2" t="inlineStr">
        <is>
          <t>Fncl income from wealth management products</t>
        </is>
      </c>
      <c r="E292" s="2" t="inlineStr">
        <is>
          <t>is_pl__fncl_income_from_wealth_management_products</t>
        </is>
      </c>
      <c r="F292" s="2" t="inlineStr">
        <is>
          <t>46</t>
        </is>
      </c>
      <c r="G292" s="2" t="inlineStr">
        <is>
          <t>reported_input</t>
        </is>
      </c>
      <c r="H292" s="2" t="inlineStr">
        <is>
          <t>extract</t>
        </is>
      </c>
    </row>
    <row r="293">
      <c r="A293" s="2" t="inlineStr">
        <is>
          <t>Income Statement</t>
        </is>
      </c>
      <c r="B293" s="2" t="n">
        <v>69</v>
      </c>
      <c r="C293" s="2" t="inlineStr">
        <is>
          <t>B69</t>
        </is>
      </c>
      <c r="D293" s="2" t="inlineStr">
        <is>
          <t>Other Fncl Asset Income(Dvds)</t>
        </is>
      </c>
      <c r="E293" s="2" t="inlineStr">
        <is>
          <t>is_pl__other_fncl_asset_income_dvds</t>
        </is>
      </c>
      <c r="F293" s="2" t="inlineStr">
        <is>
          <t>20</t>
        </is>
      </c>
      <c r="G293" s="2" t="inlineStr">
        <is>
          <t>reported_input</t>
        </is>
      </c>
      <c r="H293" s="2" t="inlineStr">
        <is>
          <t>extract</t>
        </is>
      </c>
    </row>
    <row r="294">
      <c r="A294" s="2" t="inlineStr">
        <is>
          <t>Income Statement</t>
        </is>
      </c>
      <c r="B294" s="2" t="n">
        <v>70</v>
      </c>
      <c r="C294" s="2" t="inlineStr">
        <is>
          <t>B70</t>
        </is>
      </c>
      <c r="D294" s="2" t="inlineStr">
        <is>
          <t>Gain(loss) on derivatives</t>
        </is>
      </c>
      <c r="E294" s="2" t="inlineStr">
        <is>
          <t>is_pl__gain_loss_on_derivatives</t>
        </is>
      </c>
      <c r="F294" s="2" t="inlineStr">
        <is>
          <t>37</t>
        </is>
      </c>
      <c r="G294" s="2" t="inlineStr">
        <is>
          <t>reported_input</t>
        </is>
      </c>
      <c r="H294" s="2" t="inlineStr">
        <is>
          <t>extract</t>
        </is>
      </c>
    </row>
    <row r="295">
      <c r="A295" s="2" t="inlineStr">
        <is>
          <t>Income Statement</t>
        </is>
      </c>
      <c r="B295" s="2" t="n">
        <v>71</v>
      </c>
      <c r="C295" s="2" t="inlineStr">
        <is>
          <t>B71</t>
        </is>
      </c>
      <c r="D295" s="2" t="inlineStr">
        <is>
          <t>Gain(loss) on wealth management products</t>
        </is>
      </c>
      <c r="E295" s="2" t="inlineStr">
        <is>
          <t>is_pl__gain_loss_on_wealth_management_products</t>
        </is>
      </c>
      <c r="F295" s="2" t="inlineStr">
        <is>
          <t>11</t>
        </is>
      </c>
      <c r="G295" s="2" t="inlineStr">
        <is>
          <t>reported_input</t>
        </is>
      </c>
      <c r="H295" s="2" t="inlineStr">
        <is>
          <t>extract</t>
        </is>
      </c>
    </row>
    <row r="296">
      <c r="A296" s="2" t="inlineStr">
        <is>
          <t>Income Statement</t>
        </is>
      </c>
      <c r="B296" s="2" t="n">
        <v>72</v>
      </c>
      <c r="C296" s="2" t="inlineStr">
        <is>
          <t>B72</t>
        </is>
      </c>
      <c r="D296" s="2" t="inlineStr">
        <is>
          <t>Gain(Loss) on Fncl Assets</t>
        </is>
      </c>
      <c r="E296" s="2" t="inlineStr">
        <is>
          <t>is_pl__gain_loss_on_fncl_assets</t>
        </is>
      </c>
      <c r="F296" s="2" t="inlineStr">
        <is>
          <t>28</t>
        </is>
      </c>
      <c r="G296" s="2" t="inlineStr">
        <is>
          <t>reported_input</t>
        </is>
      </c>
      <c r="H296" s="2" t="inlineStr">
        <is>
          <t>extract</t>
        </is>
      </c>
    </row>
    <row r="297">
      <c r="A297" s="2" t="inlineStr">
        <is>
          <t>Income Statement</t>
        </is>
      </c>
      <c r="B297" s="2" t="n">
        <v>73</v>
      </c>
      <c r="C297" s="2" t="inlineStr">
        <is>
          <t>B73</t>
        </is>
      </c>
      <c r="D297" s="2" t="inlineStr">
        <is>
          <t>Adjsts to Scrtzn Programs</t>
        </is>
      </c>
      <c r="E297" s="2" t="inlineStr">
        <is>
          <t>is_pl__adjsts_to_scrtzn_programs</t>
        </is>
      </c>
      <c r="F297" s="2" t="inlineStr">
        <is>
          <t>45</t>
        </is>
      </c>
      <c r="G297" s="2" t="inlineStr">
        <is>
          <t>reported_input</t>
        </is>
      </c>
      <c r="H297" s="2" t="inlineStr">
        <is>
          <t>extract</t>
        </is>
      </c>
    </row>
    <row r="298">
      <c r="A298" s="2" t="inlineStr">
        <is>
          <t>Income Statement</t>
        </is>
      </c>
      <c r="B298" s="2" t="n">
        <v>74</v>
      </c>
      <c r="C298" s="2" t="inlineStr">
        <is>
          <t>B74</t>
        </is>
      </c>
      <c r="D298" s="2" t="inlineStr">
        <is>
          <t>Rlzd Forex Translation G(L)</t>
        </is>
      </c>
      <c r="E298" s="2" t="inlineStr">
        <is>
          <t>is_pl__rlzd_forex_translation_g_l</t>
        </is>
      </c>
      <c r="F298" s="2" t="inlineStr">
        <is>
          <t>19</t>
        </is>
      </c>
      <c r="G298" s="2" t="inlineStr">
        <is>
          <t>reported_input</t>
        </is>
      </c>
      <c r="H298" s="2" t="inlineStr">
        <is>
          <t>extract</t>
        </is>
      </c>
    </row>
    <row r="299">
      <c r="A299" s="2" t="inlineStr">
        <is>
          <t>Income Statement</t>
        </is>
      </c>
      <c r="B299" s="2" t="n">
        <v>75</v>
      </c>
      <c r="C299" s="2" t="inlineStr">
        <is>
          <t>B75</t>
        </is>
      </c>
      <c r="D299" s="2" t="inlineStr">
        <is>
          <t>FMV adj on derivatives</t>
        </is>
      </c>
      <c r="E299" s="2" t="inlineStr">
        <is>
          <t>is_pl__fmv_adj_on_derivatives</t>
        </is>
      </c>
      <c r="F299" s="2" t="inlineStr">
        <is>
          <t>36</t>
        </is>
      </c>
      <c r="G299" s="2" t="inlineStr">
        <is>
          <t>reported_input</t>
        </is>
      </c>
      <c r="H299" s="2" t="inlineStr">
        <is>
          <t>extract</t>
        </is>
      </c>
    </row>
    <row r="300">
      <c r="A300" s="2" t="inlineStr">
        <is>
          <t>Income Statement</t>
        </is>
      </c>
      <c r="B300" s="2" t="n">
        <v>76</v>
      </c>
      <c r="C300" s="2" t="inlineStr">
        <is>
          <t>B76</t>
        </is>
      </c>
      <c r="D300" s="2" t="inlineStr">
        <is>
          <t>FMV adj on wealth management products</t>
        </is>
      </c>
      <c r="E300" s="2" t="inlineStr">
        <is>
          <t>is_pl__fmv_adj_on_wealth_management_products</t>
        </is>
      </c>
      <c r="F300" s="2" t="inlineStr">
        <is>
          <t>10</t>
        </is>
      </c>
      <c r="G300" s="2" t="inlineStr">
        <is>
          <t>reported_input</t>
        </is>
      </c>
      <c r="H300" s="2" t="inlineStr">
        <is>
          <t>extract</t>
        </is>
      </c>
    </row>
    <row r="301">
      <c r="A301" s="2" t="inlineStr">
        <is>
          <t>Income Statement</t>
        </is>
      </c>
      <c r="B301" s="2" t="n">
        <v>77</v>
      </c>
      <c r="C301" s="2" t="inlineStr">
        <is>
          <t>B77</t>
        </is>
      </c>
      <c r="D301" s="2" t="inlineStr">
        <is>
          <t>FMV Adj on Fncl Assets</t>
        </is>
      </c>
      <c r="E301" s="2" t="inlineStr">
        <is>
          <t>is_pl__fmv_adj_on_fncl_assets</t>
        </is>
      </c>
      <c r="F301" s="2" t="inlineStr">
        <is>
          <t>27</t>
        </is>
      </c>
      <c r="G301" s="2" t="inlineStr">
        <is>
          <t>reported_input</t>
        </is>
      </c>
      <c r="H301" s="2" t="inlineStr">
        <is>
          <t>extract</t>
        </is>
      </c>
    </row>
    <row r="302">
      <c r="A302" s="2" t="inlineStr">
        <is>
          <t>Income Statement</t>
        </is>
      </c>
      <c r="B302" s="2" t="n">
        <v>78</v>
      </c>
      <c r="C302" s="2" t="inlineStr">
        <is>
          <t>B78</t>
        </is>
      </c>
      <c r="D302" s="2" t="inlineStr">
        <is>
          <t>Net Other Financial Inc(Exp)</t>
        </is>
      </c>
      <c r="E302" s="2" t="inlineStr">
        <is>
          <t>is_pl__net_other_financial_inc_exp</t>
        </is>
      </c>
      <c r="F302" s="2">
        <f>SUM(B65:B77)</f>
        <v/>
      </c>
      <c r="G302" s="2" t="inlineStr">
        <is>
          <t>formula</t>
        </is>
      </c>
      <c r="H302" s="2" t="inlineStr">
        <is>
          <t>derive</t>
        </is>
      </c>
    </row>
    <row r="303">
      <c r="A303" s="2" t="inlineStr">
        <is>
          <t>Income Statement</t>
        </is>
      </c>
      <c r="B303" s="2" t="n">
        <v>79</v>
      </c>
      <c r="C303" s="2" t="inlineStr">
        <is>
          <t>B79</t>
        </is>
      </c>
      <c r="D303" s="2" t="inlineStr">
        <is>
          <t>Gain(Loss) Disp of Fixed Assets</t>
        </is>
      </c>
      <c r="E303" s="2" t="inlineStr">
        <is>
          <t>is_pl__gain_loss_disp_of_fixed_assets</t>
        </is>
      </c>
      <c r="F303" s="2" t="inlineStr">
        <is>
          <t>18</t>
        </is>
      </c>
      <c r="G303" s="2" t="inlineStr">
        <is>
          <t>reported_input</t>
        </is>
      </c>
      <c r="H303" s="2" t="inlineStr">
        <is>
          <t>extract</t>
        </is>
      </c>
    </row>
    <row r="304">
      <c r="A304" s="2" t="inlineStr">
        <is>
          <t>Income Statement</t>
        </is>
      </c>
      <c r="B304" s="2" t="n">
        <v>80</v>
      </c>
      <c r="C304" s="2" t="inlineStr">
        <is>
          <t>B80</t>
        </is>
      </c>
      <c r="D304" s="2" t="inlineStr">
        <is>
          <t>Gain(Loss) on Invest Properties</t>
        </is>
      </c>
      <c r="E304" s="2" t="inlineStr">
        <is>
          <t>is_pl__gain_loss_on_invest_properties</t>
        </is>
      </c>
      <c r="F304" s="2" t="inlineStr">
        <is>
          <t>35</t>
        </is>
      </c>
      <c r="G304" s="2" t="inlineStr">
        <is>
          <t>reported_input</t>
        </is>
      </c>
      <c r="H304" s="2" t="inlineStr">
        <is>
          <t>extract</t>
        </is>
      </c>
    </row>
    <row r="305">
      <c r="A305" s="2" t="inlineStr">
        <is>
          <t>Income Statement</t>
        </is>
      </c>
      <c r="B305" s="2" t="n">
        <v>81</v>
      </c>
      <c r="C305" s="2" t="inlineStr">
        <is>
          <t>B81</t>
        </is>
      </c>
      <c r="D305" s="2" t="inlineStr">
        <is>
          <t>Gain(Loss) Disp of Disc Ops</t>
        </is>
      </c>
      <c r="E305" s="2" t="inlineStr">
        <is>
          <t>is_pl__gain_loss_disp_of_disc_ops</t>
        </is>
      </c>
      <c r="F305" s="2" t="inlineStr">
        <is>
          <t>9</t>
        </is>
      </c>
      <c r="G305" s="2" t="inlineStr">
        <is>
          <t>reported_input</t>
        </is>
      </c>
      <c r="H305" s="2" t="inlineStr">
        <is>
          <t>extract</t>
        </is>
      </c>
    </row>
    <row r="306">
      <c r="A306" s="2" t="inlineStr">
        <is>
          <t>Income Statement</t>
        </is>
      </c>
      <c r="B306" s="2" t="n">
        <v>82</v>
      </c>
      <c r="C306" s="2" t="inlineStr">
        <is>
          <t>B82</t>
        </is>
      </c>
      <c r="D306" s="2" t="inlineStr">
        <is>
          <t>Exchange Gain(Loss) Sale of Bus</t>
        </is>
      </c>
      <c r="E306" s="2" t="inlineStr">
        <is>
          <t>is_pl__exchange_gain_loss_sale_of_bus</t>
        </is>
      </c>
      <c r="F306" s="2" t="inlineStr">
        <is>
          <t>26</t>
        </is>
      </c>
      <c r="G306" s="2" t="inlineStr">
        <is>
          <t>reported_input</t>
        </is>
      </c>
      <c r="H306" s="2" t="inlineStr">
        <is>
          <t>extract</t>
        </is>
      </c>
    </row>
    <row r="307">
      <c r="A307" s="2" t="inlineStr">
        <is>
          <t>Income Statement</t>
        </is>
      </c>
      <c r="B307" s="2" t="n">
        <v>83</v>
      </c>
      <c r="C307" s="2" t="inlineStr">
        <is>
          <t>B83</t>
        </is>
      </c>
      <c r="D307" s="2" t="inlineStr">
        <is>
          <t>Other Non-Income Related Taxes</t>
        </is>
      </c>
      <c r="E307" s="2" t="inlineStr">
        <is>
          <t>is_pl__other_non_income_related_taxes</t>
        </is>
      </c>
      <c r="F307" s="2" t="inlineStr">
        <is>
          <t>43</t>
        </is>
      </c>
      <c r="G307" s="2" t="inlineStr">
        <is>
          <t>reported_input</t>
        </is>
      </c>
      <c r="H307" s="2" t="inlineStr">
        <is>
          <t>extract</t>
        </is>
      </c>
    </row>
    <row r="308">
      <c r="A308" s="2" t="inlineStr">
        <is>
          <t>Income Statement</t>
        </is>
      </c>
      <c r="B308" s="2" t="n">
        <v>84</v>
      </c>
      <c r="C308" s="2" t="inlineStr">
        <is>
          <t>B84</t>
        </is>
      </c>
      <c r="D308" s="2" t="inlineStr">
        <is>
          <t>Other Non-Operating Inc(Exp)</t>
        </is>
      </c>
      <c r="E308" s="2" t="inlineStr">
        <is>
          <t>is_pl__other_non_operating_inc_exp</t>
        </is>
      </c>
      <c r="F308" s="2" t="inlineStr">
        <is>
          <t>17</t>
        </is>
      </c>
      <c r="G308" s="2" t="inlineStr">
        <is>
          <t>reported_input</t>
        </is>
      </c>
      <c r="H308" s="2" t="inlineStr">
        <is>
          <t>extract</t>
        </is>
      </c>
    </row>
    <row r="309">
      <c r="A309" s="2" t="inlineStr">
        <is>
          <t>Income Statement</t>
        </is>
      </c>
      <c r="B309" s="2" t="n">
        <v>85</v>
      </c>
      <c r="C309" s="2" t="inlineStr">
        <is>
          <t>B85</t>
        </is>
      </c>
      <c r="D309" s="2" t="inlineStr">
        <is>
          <t>FMV adj on investment properties</t>
        </is>
      </c>
      <c r="E309" s="2" t="inlineStr">
        <is>
          <t>is_pl__fmv_adj_on_investment_properties</t>
        </is>
      </c>
      <c r="F309" s="2" t="inlineStr">
        <is>
          <t>34</t>
        </is>
      </c>
      <c r="G309" s="2" t="inlineStr">
        <is>
          <t>reported_input</t>
        </is>
      </c>
      <c r="H309" s="2" t="inlineStr">
        <is>
          <t>extract</t>
        </is>
      </c>
    </row>
    <row r="310">
      <c r="A310" s="2" t="inlineStr">
        <is>
          <t>Income Statement</t>
        </is>
      </c>
      <c r="B310" s="2" t="n">
        <v>86</v>
      </c>
      <c r="C310" s="2" t="inlineStr">
        <is>
          <t>B86</t>
        </is>
      </c>
      <c r="D310" s="2" t="inlineStr">
        <is>
          <t>Other Non-Oper Inc(Exp)(NC)</t>
        </is>
      </c>
      <c r="E310" s="2" t="inlineStr">
        <is>
          <t>is_pl__other_non_oper_inc_exp_nc</t>
        </is>
      </c>
      <c r="F310" s="2" t="inlineStr">
        <is>
          <t>8</t>
        </is>
      </c>
      <c r="G310" s="2" t="inlineStr">
        <is>
          <t>reported_input</t>
        </is>
      </c>
      <c r="H310" s="2" t="inlineStr">
        <is>
          <t>extract</t>
        </is>
      </c>
    </row>
    <row r="311">
      <c r="A311" s="2" t="inlineStr">
        <is>
          <t>Income Statement</t>
        </is>
      </c>
      <c r="B311" s="2" t="n">
        <v>87</v>
      </c>
      <c r="C311" s="2" t="inlineStr">
        <is>
          <t>B87</t>
        </is>
      </c>
      <c r="D311" s="2" t="inlineStr">
        <is>
          <t>Other Income(Expense)</t>
        </is>
      </c>
      <c r="E311" s="2" t="inlineStr">
        <is>
          <t>is_pl__other_income_expense</t>
        </is>
      </c>
      <c r="F311" s="2">
        <f>SUM(B79:B86)</f>
        <v/>
      </c>
      <c r="G311" s="2" t="inlineStr">
        <is>
          <t>formula</t>
        </is>
      </c>
      <c r="H311" s="2" t="inlineStr">
        <is>
          <t>derive</t>
        </is>
      </c>
    </row>
    <row r="312">
      <c r="A312" s="2" t="inlineStr">
        <is>
          <t>Income Statement</t>
        </is>
      </c>
      <c r="B312" s="2" t="n">
        <v>88</v>
      </c>
      <c r="C312" s="2" t="inlineStr">
        <is>
          <t>B88</t>
        </is>
      </c>
      <c r="D312" s="2" t="inlineStr">
        <is>
          <t>Profit(Loss) Before Tax</t>
        </is>
      </c>
      <c r="E312" s="2" t="inlineStr">
        <is>
          <t>is_pl__profit_loss_before_tax</t>
        </is>
      </c>
      <c r="F312" s="2">
        <f>B48+B64+B78+B87</f>
        <v/>
      </c>
      <c r="G312" s="2" t="inlineStr">
        <is>
          <t>formula</t>
        </is>
      </c>
      <c r="H312" s="2" t="inlineStr">
        <is>
          <t>derive</t>
        </is>
      </c>
    </row>
    <row r="313">
      <c r="A313" s="2" t="inlineStr">
        <is>
          <t>Income Statement</t>
        </is>
      </c>
      <c r="B313" s="2" t="n">
        <v>89</v>
      </c>
      <c r="C313" s="2" t="inlineStr">
        <is>
          <t>B89</t>
        </is>
      </c>
      <c r="D313" s="2" t="inlineStr">
        <is>
          <t>Current Income Taxes</t>
        </is>
      </c>
      <c r="E313" s="2" t="inlineStr">
        <is>
          <t>is_pl__current_income_taxes</t>
        </is>
      </c>
      <c r="F313" s="2" t="inlineStr">
        <is>
          <t>16</t>
        </is>
      </c>
      <c r="G313" s="2" t="inlineStr">
        <is>
          <t>reported_input</t>
        </is>
      </c>
      <c r="H313" s="2" t="inlineStr">
        <is>
          <t>extract</t>
        </is>
      </c>
    </row>
    <row r="314">
      <c r="A314" s="2" t="inlineStr">
        <is>
          <t>Income Statement</t>
        </is>
      </c>
      <c r="B314" s="2" t="n">
        <v>90</v>
      </c>
      <c r="C314" s="2" t="inlineStr">
        <is>
          <t>B90</t>
        </is>
      </c>
      <c r="D314" s="2" t="inlineStr">
        <is>
          <t>Deferred Income Taxes(NC)</t>
        </is>
      </c>
      <c r="E314" s="2" t="inlineStr">
        <is>
          <t>is_pl__deferred_income_taxes_nc</t>
        </is>
      </c>
      <c r="F314" s="2" t="inlineStr">
        <is>
          <t>33</t>
        </is>
      </c>
      <c r="G314" s="2" t="inlineStr">
        <is>
          <t>reported_input</t>
        </is>
      </c>
      <c r="H314" s="2" t="inlineStr">
        <is>
          <t>extract</t>
        </is>
      </c>
    </row>
    <row r="315">
      <c r="A315" s="2" t="inlineStr">
        <is>
          <t>Income Statement</t>
        </is>
      </c>
      <c r="B315" s="2" t="n">
        <v>91</v>
      </c>
      <c r="C315" s="2" t="inlineStr">
        <is>
          <t>B91</t>
        </is>
      </c>
      <c r="D315" s="2" t="inlineStr">
        <is>
          <t>Prior Year Tax Adj(-)</t>
        </is>
      </c>
      <c r="E315" s="2" t="inlineStr">
        <is>
          <t>is_pl__prior_year_tax_adj</t>
        </is>
      </c>
      <c r="F315" s="2" t="inlineStr">
        <is>
          <t>50</t>
        </is>
      </c>
      <c r="G315" s="2" t="inlineStr">
        <is>
          <t>reported_input</t>
        </is>
      </c>
      <c r="H315" s="2" t="inlineStr">
        <is>
          <t>extract</t>
        </is>
      </c>
    </row>
    <row r="316">
      <c r="A316" s="2" t="inlineStr">
        <is>
          <t>Income Statement</t>
        </is>
      </c>
      <c r="B316" s="2" t="n">
        <v>92</v>
      </c>
      <c r="C316" s="2" t="inlineStr">
        <is>
          <t>B92</t>
        </is>
      </c>
      <c r="D316" s="2" t="inlineStr">
        <is>
          <t>Total Income Tax</t>
        </is>
      </c>
      <c r="E316" s="2" t="inlineStr">
        <is>
          <t>is_pl__total_income_tax</t>
        </is>
      </c>
      <c r="F316" s="2">
        <f>SUM(B89:B91)</f>
        <v/>
      </c>
      <c r="G316" s="2" t="inlineStr">
        <is>
          <t>formula</t>
        </is>
      </c>
      <c r="H316" s="2" t="inlineStr">
        <is>
          <t>derive</t>
        </is>
      </c>
    </row>
    <row r="317">
      <c r="A317" s="2" t="inlineStr">
        <is>
          <t>Income Statement</t>
        </is>
      </c>
      <c r="B317" s="2" t="n">
        <v>93</v>
      </c>
      <c r="C317" s="2" t="inlineStr">
        <is>
          <t>B93</t>
        </is>
      </c>
      <c r="D317" s="2" t="inlineStr">
        <is>
          <t>Profit(Loss) Bef Extraord Items</t>
        </is>
      </c>
      <c r="E317" s="2" t="inlineStr">
        <is>
          <t>is_pl__profit_loss_bef_extraord_items</t>
        </is>
      </c>
      <c r="F317" s="2">
        <f>B88-B92</f>
        <v/>
      </c>
      <c r="G317" s="2" t="inlineStr">
        <is>
          <t>formula</t>
        </is>
      </c>
      <c r="H317" s="2" t="inlineStr">
        <is>
          <t>derive</t>
        </is>
      </c>
    </row>
    <row r="318">
      <c r="A318" s="2" t="inlineStr">
        <is>
          <t>Income Statement</t>
        </is>
      </c>
      <c r="B318" s="2" t="n">
        <v>94</v>
      </c>
      <c r="C318" s="2" t="inlineStr">
        <is>
          <t>B94</t>
        </is>
      </c>
      <c r="D318" s="2" t="inlineStr">
        <is>
          <t>Extraordinary Income(Exp)</t>
        </is>
      </c>
      <c r="E318" s="2" t="inlineStr">
        <is>
          <t>is_pl__extraordinary_income_exp</t>
        </is>
      </c>
      <c r="F318" s="2" t="inlineStr">
        <is>
          <t>15</t>
        </is>
      </c>
      <c r="G318" s="2" t="inlineStr">
        <is>
          <t>reported_input</t>
        </is>
      </c>
      <c r="H318" s="2" t="inlineStr">
        <is>
          <t>extract</t>
        </is>
      </c>
    </row>
    <row r="319">
      <c r="A319" s="2" t="inlineStr">
        <is>
          <t>Income Statement</t>
        </is>
      </c>
      <c r="B319" s="2" t="n">
        <v>95</v>
      </c>
      <c r="C319" s="2" t="inlineStr">
        <is>
          <t>B95</t>
        </is>
      </c>
      <c r="D319" s="2" t="inlineStr">
        <is>
          <t>Extraordinary Income(Exp)(NC)</t>
        </is>
      </c>
      <c r="E319" s="2" t="inlineStr">
        <is>
          <t>is_pl__extraordinary_income_exp_nc</t>
        </is>
      </c>
      <c r="F319" s="2" t="inlineStr">
        <is>
          <t>32</t>
        </is>
      </c>
      <c r="G319" s="2" t="inlineStr">
        <is>
          <t>reported_input</t>
        </is>
      </c>
      <c r="H319" s="2" t="inlineStr">
        <is>
          <t>extract</t>
        </is>
      </c>
    </row>
    <row r="320">
      <c r="A320" s="2" t="inlineStr">
        <is>
          <t>Income Statement</t>
        </is>
      </c>
      <c r="B320" s="2" t="n">
        <v>96</v>
      </c>
      <c r="C320" s="2" t="inlineStr">
        <is>
          <t>B96</t>
        </is>
      </c>
      <c r="D320" s="2" t="inlineStr">
        <is>
          <t>Minority Interests(PL)</t>
        </is>
      </c>
      <c r="E320" s="2" t="inlineStr">
        <is>
          <t>is_pl__minority_interests_pl</t>
        </is>
      </c>
      <c r="F320" s="2" t="inlineStr">
        <is>
          <t>49</t>
        </is>
      </c>
      <c r="G320" s="2" t="inlineStr">
        <is>
          <t>reported_input</t>
        </is>
      </c>
      <c r="H320" s="2" t="inlineStr">
        <is>
          <t>extract</t>
        </is>
      </c>
    </row>
    <row r="321">
      <c r="A321" s="2" t="inlineStr">
        <is>
          <t>Income Statement</t>
        </is>
      </c>
      <c r="B321" s="2" t="n">
        <v>97</v>
      </c>
      <c r="C321" s="2" t="inlineStr">
        <is>
          <t>B97</t>
        </is>
      </c>
      <c r="D321" s="2" t="inlineStr">
        <is>
          <t>Profit for the year</t>
        </is>
      </c>
      <c r="E321" s="2" t="inlineStr">
        <is>
          <t>is_pl__profit_for_the_year</t>
        </is>
      </c>
      <c r="F321" s="2">
        <f>B93+SUM(B94:B96)</f>
        <v/>
      </c>
      <c r="G321" s="2" t="inlineStr">
        <is>
          <t>formula</t>
        </is>
      </c>
      <c r="H321" s="2" t="inlineStr">
        <is>
          <t>derive</t>
        </is>
      </c>
    </row>
    <row r="322">
      <c r="A322" s="2" t="inlineStr">
        <is>
          <t>Income Statement</t>
        </is>
      </c>
      <c r="B322" s="2" t="n">
        <v>99</v>
      </c>
      <c r="C322" s="2" t="inlineStr">
        <is>
          <t>B99</t>
        </is>
      </c>
      <c r="D322" s="2" t="inlineStr">
        <is>
          <t>Unreal Gain(Loss) Fixed Assets</t>
        </is>
      </c>
      <c r="E322" s="2" t="inlineStr">
        <is>
          <t>is_oci__unreal_gain_loss_fixed_assets</t>
        </is>
      </c>
      <c r="F322" s="2" t="inlineStr">
        <is>
          <t>14</t>
        </is>
      </c>
      <c r="G322" s="2" t="inlineStr">
        <is>
          <t>reported_input</t>
        </is>
      </c>
      <c r="H322" s="2" t="inlineStr">
        <is>
          <t>extract</t>
        </is>
      </c>
    </row>
    <row r="323">
      <c r="A323" s="2" t="inlineStr">
        <is>
          <t>Income Statement</t>
        </is>
      </c>
      <c r="B323" s="2" t="n">
        <v>100</v>
      </c>
      <c r="C323" s="2" t="inlineStr">
        <is>
          <t>B100</t>
        </is>
      </c>
      <c r="D323" s="2" t="inlineStr">
        <is>
          <t>Unreal Gain(Loss) Invest Prpty</t>
        </is>
      </c>
      <c r="E323" s="2" t="inlineStr">
        <is>
          <t>is_oci__unreal_gain_loss_invest_prpty</t>
        </is>
      </c>
      <c r="F323" s="2" t="inlineStr">
        <is>
          <t>31</t>
        </is>
      </c>
      <c r="G323" s="2" t="inlineStr">
        <is>
          <t>reported_input</t>
        </is>
      </c>
      <c r="H323" s="2" t="inlineStr">
        <is>
          <t>extract</t>
        </is>
      </c>
    </row>
    <row r="324">
      <c r="A324" s="2" t="inlineStr">
        <is>
          <t>Income Statement</t>
        </is>
      </c>
      <c r="B324" s="2" t="n">
        <v>101</v>
      </c>
      <c r="C324" s="2" t="inlineStr">
        <is>
          <t>B101</t>
        </is>
      </c>
      <c r="D324" s="2" t="inlineStr">
        <is>
          <t>Unreal Gain(Loss) Investments</t>
        </is>
      </c>
      <c r="E324" s="2" t="inlineStr">
        <is>
          <t>is_oci__unreal_gain_loss_investments</t>
        </is>
      </c>
      <c r="F324" s="2" t="inlineStr">
        <is>
          <t>48</t>
        </is>
      </c>
      <c r="G324" s="2" t="inlineStr">
        <is>
          <t>reported_input</t>
        </is>
      </c>
      <c r="H324" s="2" t="inlineStr">
        <is>
          <t>extract</t>
        </is>
      </c>
    </row>
    <row r="325">
      <c r="A325" s="2" t="inlineStr">
        <is>
          <t>Income Statement</t>
        </is>
      </c>
      <c r="B325" s="2" t="n">
        <v>102</v>
      </c>
      <c r="C325" s="2" t="inlineStr">
        <is>
          <t>B102</t>
        </is>
      </c>
      <c r="D325" s="2" t="inlineStr">
        <is>
          <t>Deferred Hedging Gain(Loss)</t>
        </is>
      </c>
      <c r="E325" s="2" t="inlineStr">
        <is>
          <t>is_oci__deferred_hedging_gain_loss</t>
        </is>
      </c>
      <c r="F325" s="2" t="inlineStr">
        <is>
          <t>22</t>
        </is>
      </c>
      <c r="G325" s="2" t="inlineStr">
        <is>
          <t>reported_input</t>
        </is>
      </c>
      <c r="H325" s="2" t="inlineStr">
        <is>
          <t>extract</t>
        </is>
      </c>
    </row>
    <row r="326">
      <c r="A326" s="2" t="inlineStr">
        <is>
          <t>Income Statement</t>
        </is>
      </c>
      <c r="B326" s="2" t="n">
        <v>103</v>
      </c>
      <c r="C326" s="2" t="inlineStr">
        <is>
          <t>B103</t>
        </is>
      </c>
      <c r="D326" s="2" t="inlineStr">
        <is>
          <t>Derivatives FMV Adjustment</t>
        </is>
      </c>
      <c r="E326" s="2" t="inlineStr">
        <is>
          <t>is_oci__derivatives_fmv_adjustment</t>
        </is>
      </c>
      <c r="F326" s="2" t="inlineStr">
        <is>
          <t>39</t>
        </is>
      </c>
      <c r="G326" s="2" t="inlineStr">
        <is>
          <t>reported_input</t>
        </is>
      </c>
      <c r="H326" s="2" t="inlineStr">
        <is>
          <t>extract</t>
        </is>
      </c>
    </row>
    <row r="327">
      <c r="A327" s="2" t="inlineStr">
        <is>
          <t>Income Statement</t>
        </is>
      </c>
      <c r="B327" s="2" t="n">
        <v>104</v>
      </c>
      <c r="C327" s="2" t="inlineStr">
        <is>
          <t>B104</t>
        </is>
      </c>
      <c r="D327" s="2" t="inlineStr">
        <is>
          <t>Minimum Pension Liability Adj</t>
        </is>
      </c>
      <c r="E327" s="2" t="inlineStr">
        <is>
          <t>is_oci__minimum_pension_liability_adj</t>
        </is>
      </c>
      <c r="F327" s="2" t="inlineStr">
        <is>
          <t>13</t>
        </is>
      </c>
      <c r="G327" s="2" t="inlineStr">
        <is>
          <t>reported_input</t>
        </is>
      </c>
      <c r="H327" s="2" t="inlineStr">
        <is>
          <t>extract</t>
        </is>
      </c>
    </row>
    <row r="328">
      <c r="A328" s="2" t="inlineStr">
        <is>
          <t>Income Statement</t>
        </is>
      </c>
      <c r="B328" s="2" t="n">
        <v>105</v>
      </c>
      <c r="C328" s="2" t="inlineStr">
        <is>
          <t>B105</t>
        </is>
      </c>
      <c r="D328" s="2" t="inlineStr">
        <is>
          <t>Other Equity &amp; Reserves Adj</t>
        </is>
      </c>
      <c r="E328" s="2" t="inlineStr">
        <is>
          <t>is_oci__other_equity_and_reserves_adj</t>
        </is>
      </c>
      <c r="F328" s="2" t="inlineStr">
        <is>
          <t>30</t>
        </is>
      </c>
      <c r="G328" s="2" t="inlineStr">
        <is>
          <t>reported_input</t>
        </is>
      </c>
      <c r="H328" s="2" t="inlineStr">
        <is>
          <t>extract</t>
        </is>
      </c>
    </row>
    <row r="329">
      <c r="A329" s="2" t="inlineStr">
        <is>
          <t>Income Statement</t>
        </is>
      </c>
      <c r="B329" s="2" t="n">
        <v>106</v>
      </c>
      <c r="C329" s="2" t="inlineStr">
        <is>
          <t>B106</t>
        </is>
      </c>
      <c r="D329" s="2" t="inlineStr">
        <is>
          <t>Total Other Comprehensive Income</t>
        </is>
      </c>
      <c r="E329" s="2" t="inlineStr">
        <is>
          <t>is_oci__total_other_comprehensive_income</t>
        </is>
      </c>
      <c r="F329" s="2">
        <f>SUM(B99:B105)</f>
        <v/>
      </c>
      <c r="G329" s="2" t="inlineStr">
        <is>
          <t>formula</t>
        </is>
      </c>
      <c r="H329" s="2" t="inlineStr">
        <is>
          <t>derive</t>
        </is>
      </c>
    </row>
    <row r="330">
      <c r="A330" s="2" t="inlineStr">
        <is>
          <t>Income Statement</t>
        </is>
      </c>
      <c r="B330" s="2" t="n">
        <v>108</v>
      </c>
      <c r="C330" s="2" t="inlineStr">
        <is>
          <t>B108</t>
        </is>
      </c>
      <c r="D330" s="2" t="inlineStr">
        <is>
          <t>Cash Div Pref Shares(-)</t>
        </is>
      </c>
      <c r="E330" s="2" t="inlineStr">
        <is>
          <t>is_retained__cash_div_pref_shares</t>
        </is>
      </c>
      <c r="F330" s="2" t="inlineStr">
        <is>
          <t>38</t>
        </is>
      </c>
      <c r="G330" s="2" t="inlineStr">
        <is>
          <t>reported_input</t>
        </is>
      </c>
      <c r="H330" s="2" t="inlineStr">
        <is>
          <t>extract</t>
        </is>
      </c>
    </row>
    <row r="331">
      <c r="A331" s="2" t="inlineStr">
        <is>
          <t>Income Statement</t>
        </is>
      </c>
      <c r="B331" s="2" t="n">
        <v>109</v>
      </c>
      <c r="C331" s="2" t="inlineStr">
        <is>
          <t>B109</t>
        </is>
      </c>
      <c r="D331" s="2" t="inlineStr">
        <is>
          <t>Proposed Cash Dividends</t>
        </is>
      </c>
      <c r="E331" s="2" t="inlineStr">
        <is>
          <t>is_retained__proposed_cash_dividends</t>
        </is>
      </c>
      <c r="F331" s="2" t="inlineStr">
        <is>
          <t>12</t>
        </is>
      </c>
      <c r="G331" s="2" t="inlineStr">
        <is>
          <t>reported_input</t>
        </is>
      </c>
      <c r="H331" s="2" t="inlineStr">
        <is>
          <t>extract</t>
        </is>
      </c>
    </row>
    <row r="332">
      <c r="A332" s="2" t="inlineStr">
        <is>
          <t>Income Statement</t>
        </is>
      </c>
      <c r="B332" s="2" t="n">
        <v>110</v>
      </c>
      <c r="C332" s="2" t="inlineStr">
        <is>
          <t>B110</t>
        </is>
      </c>
      <c r="D332" s="2" t="inlineStr">
        <is>
          <t>Cash Div Common Shares(-)</t>
        </is>
      </c>
      <c r="E332" s="2" t="inlineStr">
        <is>
          <t>is_retained__cash_div_common_shares</t>
        </is>
      </c>
      <c r="F332" s="2" t="inlineStr">
        <is>
          <t>29</t>
        </is>
      </c>
      <c r="G332" s="2" t="inlineStr">
        <is>
          <t>reported_input</t>
        </is>
      </c>
      <c r="H332" s="2" t="inlineStr">
        <is>
          <t>extract</t>
        </is>
      </c>
    </row>
    <row r="333">
      <c r="A333" s="2" t="inlineStr">
        <is>
          <t>Income Statement</t>
        </is>
      </c>
      <c r="B333" s="2" t="n">
        <v>111</v>
      </c>
      <c r="C333" s="2" t="inlineStr">
        <is>
          <t>B111</t>
        </is>
      </c>
      <c r="D333" s="2" t="inlineStr">
        <is>
          <t>Stock Dividends(NC)(-)</t>
        </is>
      </c>
      <c r="E333" s="2" t="inlineStr">
        <is>
          <t>is_retained__stock_dividends_nc</t>
        </is>
      </c>
      <c r="F333" s="2" t="inlineStr">
        <is>
          <t>46</t>
        </is>
      </c>
      <c r="G333" s="2" t="inlineStr">
        <is>
          <t>reported_input</t>
        </is>
      </c>
      <c r="H333" s="2" t="inlineStr">
        <is>
          <t>extract</t>
        </is>
      </c>
    </row>
    <row r="334">
      <c r="A334" s="2" t="inlineStr">
        <is>
          <t>Income Statement</t>
        </is>
      </c>
      <c r="B334" s="2" t="n">
        <v>112</v>
      </c>
      <c r="C334" s="2" t="inlineStr">
        <is>
          <t>B112</t>
        </is>
      </c>
      <c r="D334" s="2" t="inlineStr">
        <is>
          <t>Transfer to Reserves(-)</t>
        </is>
      </c>
      <c r="E334" s="2" t="inlineStr">
        <is>
          <t>is_retained__transfer_to_reserves</t>
        </is>
      </c>
      <c r="F334" s="2" t="inlineStr">
        <is>
          <t>20</t>
        </is>
      </c>
      <c r="G334" s="2" t="inlineStr">
        <is>
          <t>reported_input</t>
        </is>
      </c>
      <c r="H334" s="2" t="inlineStr">
        <is>
          <t>extract</t>
        </is>
      </c>
    </row>
    <row r="335">
      <c r="A335" s="2" t="inlineStr">
        <is>
          <t>Income Statement</t>
        </is>
      </c>
      <c r="B335" s="2" t="n">
        <v>113</v>
      </c>
      <c r="C335" s="2" t="inlineStr">
        <is>
          <t>B113</t>
        </is>
      </c>
      <c r="D335" s="2" t="inlineStr">
        <is>
          <t>Prior Period Adjustments</t>
        </is>
      </c>
      <c r="E335" s="2" t="inlineStr">
        <is>
          <t>is_retained__prior_period_adjustments</t>
        </is>
      </c>
      <c r="F335" s="2" t="inlineStr">
        <is>
          <t>37</t>
        </is>
      </c>
      <c r="G335" s="2" t="inlineStr">
        <is>
          <t>reported_input</t>
        </is>
      </c>
      <c r="H335" s="2" t="inlineStr">
        <is>
          <t>extract</t>
        </is>
      </c>
    </row>
    <row r="336">
      <c r="A336" s="2" t="inlineStr">
        <is>
          <t>Income Statement</t>
        </is>
      </c>
      <c r="B336" s="2" t="n">
        <v>114</v>
      </c>
      <c r="C336" s="2" t="inlineStr">
        <is>
          <t>B114</t>
        </is>
      </c>
      <c r="D336" s="2" t="inlineStr">
        <is>
          <t>Other Adj to Retained Profits</t>
        </is>
      </c>
      <c r="E336" s="2" t="inlineStr">
        <is>
          <t>is_retained__other_adj_to_retained_profits</t>
        </is>
      </c>
      <c r="F336" s="2" t="inlineStr">
        <is>
          <t>11</t>
        </is>
      </c>
      <c r="G336" s="2" t="inlineStr">
        <is>
          <t>reported_input</t>
        </is>
      </c>
      <c r="H336" s="2" t="inlineStr">
        <is>
          <t>extract</t>
        </is>
      </c>
    </row>
    <row r="337">
      <c r="A337" s="2" t="inlineStr">
        <is>
          <t>Cash Flow</t>
        </is>
      </c>
      <c r="B337" s="2" t="n">
        <v>6</v>
      </c>
      <c r="C337" s="2" t="inlineStr">
        <is>
          <t>B6</t>
        </is>
      </c>
      <c r="D337" s="2" t="inlineStr">
        <is>
          <t>Net Profit/(Loss)</t>
        </is>
      </c>
      <c r="E337" s="2" t="inlineStr">
        <is>
          <t>cf_oper_indirect__net_profit_loss</t>
        </is>
      </c>
      <c r="F337" s="2" t="inlineStr">
        <is>
          <t>-21</t>
        </is>
      </c>
      <c r="G337" s="2" t="inlineStr">
        <is>
          <t>reported_input</t>
        </is>
      </c>
      <c r="H337" s="2" t="inlineStr">
        <is>
          <t>extract</t>
        </is>
      </c>
    </row>
    <row r="338">
      <c r="A338" s="2" t="inlineStr">
        <is>
          <t>Cash Flow</t>
        </is>
      </c>
      <c r="B338" s="2" t="n">
        <v>7</v>
      </c>
      <c r="C338" s="2" t="inlineStr">
        <is>
          <t>B7</t>
        </is>
      </c>
      <c r="D338" s="2" t="inlineStr">
        <is>
          <t>Other After Tax (Income)/Expense</t>
        </is>
      </c>
      <c r="E338" s="2" t="inlineStr">
        <is>
          <t>cf_oper_indirect__other_after_tax_income_expense</t>
        </is>
      </c>
      <c r="F338" s="2" t="inlineStr">
        <is>
          <t>38</t>
        </is>
      </c>
      <c r="G338" s="2" t="inlineStr">
        <is>
          <t>reported_input</t>
        </is>
      </c>
      <c r="H338" s="2" t="inlineStr">
        <is>
          <t>extract</t>
        </is>
      </c>
    </row>
    <row r="339">
      <c r="A339" s="2" t="inlineStr">
        <is>
          <t>Cash Flow</t>
        </is>
      </c>
      <c r="B339" s="2" t="n">
        <v>8</v>
      </c>
      <c r="C339" s="2" t="inlineStr">
        <is>
          <t>B8</t>
        </is>
      </c>
      <c r="D339" s="2" t="inlineStr">
        <is>
          <t>Minority Interests(CF)</t>
        </is>
      </c>
      <c r="E339" s="2" t="inlineStr">
        <is>
          <t>cf_oper_indirect__minority_interests_cf</t>
        </is>
      </c>
      <c r="F339" s="2" t="inlineStr">
        <is>
          <t>12</t>
        </is>
      </c>
      <c r="G339" s="2" t="inlineStr">
        <is>
          <t>reported_input</t>
        </is>
      </c>
      <c r="H339" s="2" t="inlineStr">
        <is>
          <t>extract</t>
        </is>
      </c>
    </row>
    <row r="340">
      <c r="A340" s="2" t="inlineStr">
        <is>
          <t>Cash Flow</t>
        </is>
      </c>
      <c r="B340" s="2" t="n">
        <v>9</v>
      </c>
      <c r="C340" s="2" t="inlineStr">
        <is>
          <t>B9</t>
        </is>
      </c>
      <c r="D340" s="2" t="inlineStr">
        <is>
          <t>Income Tax Expense</t>
        </is>
      </c>
      <c r="E340" s="2" t="inlineStr">
        <is>
          <t>cf_oper_indirect__income_tax_expense</t>
        </is>
      </c>
      <c r="F340" s="2" t="inlineStr">
        <is>
          <t>-29</t>
        </is>
      </c>
      <c r="G340" s="2" t="inlineStr">
        <is>
          <t>reported_input</t>
        </is>
      </c>
      <c r="H340" s="2" t="inlineStr">
        <is>
          <t>extract</t>
        </is>
      </c>
    </row>
    <row r="341">
      <c r="A341" s="2" t="inlineStr">
        <is>
          <t>Cash Flow</t>
        </is>
      </c>
      <c r="B341" s="2" t="n">
        <v>10</v>
      </c>
      <c r="C341" s="2" t="inlineStr">
        <is>
          <t>B10</t>
        </is>
      </c>
      <c r="D341" s="2" t="inlineStr">
        <is>
          <t>Depreciation</t>
        </is>
      </c>
      <c r="E341" s="2" t="inlineStr">
        <is>
          <t>cf_oper_indirect__depreciation</t>
        </is>
      </c>
      <c r="F341" s="2" t="inlineStr">
        <is>
          <t>46</t>
        </is>
      </c>
      <c r="G341" s="2" t="inlineStr">
        <is>
          <t>reported_input</t>
        </is>
      </c>
      <c r="H341" s="2" t="inlineStr">
        <is>
          <t>extract</t>
        </is>
      </c>
    </row>
    <row r="342">
      <c r="A342" s="2" t="inlineStr">
        <is>
          <t>Cash Flow</t>
        </is>
      </c>
      <c r="B342" s="2" t="n">
        <v>11</v>
      </c>
      <c r="C342" s="2" t="inlineStr">
        <is>
          <t>B11</t>
        </is>
      </c>
      <c r="D342" s="2" t="inlineStr">
        <is>
          <t>Amortization &amp; Asset Impairment</t>
        </is>
      </c>
      <c r="E342" s="2" t="inlineStr">
        <is>
          <t>cf_oper_indirect__amortization_and_asset_impairment</t>
        </is>
      </c>
      <c r="F342" s="2" t="inlineStr">
        <is>
          <t>20</t>
        </is>
      </c>
      <c r="G342" s="2" t="inlineStr">
        <is>
          <t>reported_input</t>
        </is>
      </c>
      <c r="H342" s="2" t="inlineStr">
        <is>
          <t>extract</t>
        </is>
      </c>
    </row>
    <row r="343">
      <c r="A343" s="2" t="inlineStr">
        <is>
          <t>Cash Flow</t>
        </is>
      </c>
      <c r="B343" s="2" t="n">
        <v>12</v>
      </c>
      <c r="C343" s="2" t="inlineStr">
        <is>
          <t>B12</t>
        </is>
      </c>
      <c r="D343" s="2" t="inlineStr">
        <is>
          <t>Cash Flow from Hedging(Oper)</t>
        </is>
      </c>
      <c r="E343" s="2" t="inlineStr">
        <is>
          <t>cf_oper_indirect__cash_flow_from_hedging_oper</t>
        </is>
      </c>
      <c r="F343" s="2" t="inlineStr">
        <is>
          <t>-37</t>
        </is>
      </c>
      <c r="G343" s="2" t="inlineStr">
        <is>
          <t>reported_input</t>
        </is>
      </c>
      <c r="H343" s="2" t="inlineStr">
        <is>
          <t>extract</t>
        </is>
      </c>
    </row>
    <row r="344">
      <c r="A344" s="2" t="inlineStr">
        <is>
          <t>Cash Flow</t>
        </is>
      </c>
      <c r="B344" s="2" t="n">
        <v>13</v>
      </c>
      <c r="C344" s="2" t="inlineStr">
        <is>
          <t>B13</t>
        </is>
      </c>
      <c r="D344" s="2" t="inlineStr">
        <is>
          <t>Assoc Profit Share(Net of Dvds)</t>
        </is>
      </c>
      <c r="E344" s="2" t="inlineStr">
        <is>
          <t>cf_oper_indirect__assoc_profit_share_net_of_dvds</t>
        </is>
      </c>
      <c r="F344" s="2" t="inlineStr">
        <is>
          <t>11</t>
        </is>
      </c>
      <c r="G344" s="2" t="inlineStr">
        <is>
          <t>reported_input</t>
        </is>
      </c>
      <c r="H344" s="2" t="inlineStr">
        <is>
          <t>extract</t>
        </is>
      </c>
    </row>
    <row r="345">
      <c r="A345" s="2" t="inlineStr">
        <is>
          <t>Cash Flow</t>
        </is>
      </c>
      <c r="B345" s="2" t="n">
        <v>14</v>
      </c>
      <c r="C345" s="2" t="inlineStr">
        <is>
          <t>B14</t>
        </is>
      </c>
      <c r="D345" s="2" t="inlineStr">
        <is>
          <t>Interest Inc Received(Oper)</t>
        </is>
      </c>
      <c r="E345" s="2" t="inlineStr">
        <is>
          <t>cf_oper_indirect__interest_inc_received_oper</t>
        </is>
      </c>
      <c r="F345" s="2" t="inlineStr">
        <is>
          <t>28</t>
        </is>
      </c>
      <c r="G345" s="2" t="inlineStr">
        <is>
          <t>reported_input</t>
        </is>
      </c>
      <c r="H345" s="2" t="inlineStr">
        <is>
          <t>extract</t>
        </is>
      </c>
    </row>
    <row r="346">
      <c r="A346" s="2" t="inlineStr">
        <is>
          <t>Cash Flow</t>
        </is>
      </c>
      <c r="B346" s="2" t="n">
        <v>15</v>
      </c>
      <c r="C346" s="2" t="inlineStr">
        <is>
          <t>B15</t>
        </is>
      </c>
      <c r="D346" s="2" t="inlineStr">
        <is>
          <t>Interest Expense</t>
        </is>
      </c>
      <c r="E346" s="2" t="inlineStr">
        <is>
          <t>cf_oper_indirect__interest_expense</t>
        </is>
      </c>
      <c r="F346" s="2" t="inlineStr">
        <is>
          <t>-45</t>
        </is>
      </c>
      <c r="G346" s="2" t="inlineStr">
        <is>
          <t>reported_input</t>
        </is>
      </c>
      <c r="H346" s="2" t="inlineStr">
        <is>
          <t>extract</t>
        </is>
      </c>
    </row>
    <row r="347">
      <c r="A347" s="2" t="inlineStr">
        <is>
          <t>Cash Flow</t>
        </is>
      </c>
      <c r="B347" s="2" t="n">
        <v>16</v>
      </c>
      <c r="C347" s="2" t="inlineStr">
        <is>
          <t>B16</t>
        </is>
      </c>
      <c r="D347" s="2" t="inlineStr">
        <is>
          <t>Cash Flow Disp Fixed Assets</t>
        </is>
      </c>
      <c r="E347" s="2" t="inlineStr">
        <is>
          <t>cf_oper_indirect__cash_flow_disp_fixed_assets</t>
        </is>
      </c>
      <c r="F347" s="2" t="inlineStr">
        <is>
          <t>19</t>
        </is>
      </c>
      <c r="G347" s="2" t="inlineStr">
        <is>
          <t>reported_input</t>
        </is>
      </c>
      <c r="H347" s="2" t="inlineStr">
        <is>
          <t>extract</t>
        </is>
      </c>
    </row>
    <row r="348">
      <c r="A348" s="2" t="inlineStr">
        <is>
          <t>Cash Flow</t>
        </is>
      </c>
      <c r="B348" s="2" t="n">
        <v>17</v>
      </c>
      <c r="C348" s="2" t="inlineStr">
        <is>
          <t>B17</t>
        </is>
      </c>
      <c r="D348" s="2" t="inlineStr">
        <is>
          <t>Cash Flow Disp Financial Assets</t>
        </is>
      </c>
      <c r="E348" s="2" t="inlineStr">
        <is>
          <t>cf_oper_indirect__cash_flow_disp_financial_assets</t>
        </is>
      </c>
      <c r="F348" s="2" t="inlineStr">
        <is>
          <t>36</t>
        </is>
      </c>
      <c r="G348" s="2" t="inlineStr">
        <is>
          <t>reported_input</t>
        </is>
      </c>
      <c r="H348" s="2" t="inlineStr">
        <is>
          <t>extract</t>
        </is>
      </c>
    </row>
    <row r="349">
      <c r="A349" s="2" t="inlineStr">
        <is>
          <t>Cash Flow</t>
        </is>
      </c>
      <c r="B349" s="2" t="n">
        <v>18</v>
      </c>
      <c r="C349" s="2" t="inlineStr">
        <is>
          <t>B18</t>
        </is>
      </c>
      <c r="D349" s="2" t="inlineStr">
        <is>
          <t>Chg in Trade Receivables</t>
        </is>
      </c>
      <c r="E349" s="2" t="inlineStr">
        <is>
          <t>cf_oper_indirect__chg_in_trade_receivables</t>
        </is>
      </c>
      <c r="F349" s="2" t="inlineStr">
        <is>
          <t>-10</t>
        </is>
      </c>
      <c r="G349" s="2" t="inlineStr">
        <is>
          <t>reported_input</t>
        </is>
      </c>
      <c r="H349" s="2" t="inlineStr">
        <is>
          <t>extract</t>
        </is>
      </c>
    </row>
    <row r="350">
      <c r="A350" s="2" t="inlineStr">
        <is>
          <t>Cash Flow</t>
        </is>
      </c>
      <c r="B350" s="2" t="n">
        <v>19</v>
      </c>
      <c r="C350" s="2" t="inlineStr">
        <is>
          <t>B19</t>
        </is>
      </c>
      <c r="D350" s="2" t="inlineStr">
        <is>
          <t>Chg in Other Receivables</t>
        </is>
      </c>
      <c r="E350" s="2" t="inlineStr">
        <is>
          <t>cf_oper_indirect__chg_in_other_receivables</t>
        </is>
      </c>
      <c r="F350" s="2" t="inlineStr">
        <is>
          <t>27</t>
        </is>
      </c>
      <c r="G350" s="2" t="inlineStr">
        <is>
          <t>reported_input</t>
        </is>
      </c>
      <c r="H350" s="2" t="inlineStr">
        <is>
          <t>extract</t>
        </is>
      </c>
    </row>
    <row r="351">
      <c r="A351" s="2" t="inlineStr">
        <is>
          <t>Cash Flow</t>
        </is>
      </c>
      <c r="B351" s="2" t="n">
        <v>20</v>
      </c>
      <c r="C351" s="2" t="inlineStr">
        <is>
          <t>B20</t>
        </is>
      </c>
      <c r="D351" s="2" t="inlineStr">
        <is>
          <t>Chg in Inventories</t>
        </is>
      </c>
      <c r="E351" s="2" t="inlineStr">
        <is>
          <t>cf_oper_indirect__chg_in_inventories</t>
        </is>
      </c>
      <c r="F351" s="2" t="inlineStr">
        <is>
          <t>44</t>
        </is>
      </c>
      <c r="G351" s="2" t="inlineStr">
        <is>
          <t>reported_input</t>
        </is>
      </c>
      <c r="H351" s="2" t="inlineStr">
        <is>
          <t>extract</t>
        </is>
      </c>
    </row>
    <row r="352">
      <c r="A352" s="2" t="inlineStr">
        <is>
          <t>Cash Flow</t>
        </is>
      </c>
      <c r="B352" s="2" t="n">
        <v>21</v>
      </c>
      <c r="C352" s="2" t="inlineStr">
        <is>
          <t>B21</t>
        </is>
      </c>
      <c r="D352" s="2" t="inlineStr">
        <is>
          <t>Chg in Prepayments &amp; Def Assets</t>
        </is>
      </c>
      <c r="E352" s="2" t="inlineStr">
        <is>
          <t>cf_oper_indirect__chg_in_prepayments_and_def_assets</t>
        </is>
      </c>
      <c r="F352" s="2" t="inlineStr">
        <is>
          <t>-18</t>
        </is>
      </c>
      <c r="G352" s="2" t="inlineStr">
        <is>
          <t>reported_input</t>
        </is>
      </c>
      <c r="H352" s="2" t="inlineStr">
        <is>
          <t>extract</t>
        </is>
      </c>
    </row>
    <row r="353">
      <c r="A353" s="2" t="inlineStr">
        <is>
          <t>Cash Flow</t>
        </is>
      </c>
      <c r="B353" s="2" t="n">
        <v>22</v>
      </c>
      <c r="C353" s="2" t="inlineStr">
        <is>
          <t>B22</t>
        </is>
      </c>
      <c r="D353" s="2" t="inlineStr">
        <is>
          <t>Chg in Fncl Instruments(Trading)</t>
        </is>
      </c>
      <c r="E353" s="2" t="inlineStr">
        <is>
          <t>cf_oper_indirect__chg_in_fncl_instruments_trading</t>
        </is>
      </c>
      <c r="F353" s="2" t="inlineStr">
        <is>
          <t>35</t>
        </is>
      </c>
      <c r="G353" s="2" t="inlineStr">
        <is>
          <t>reported_input</t>
        </is>
      </c>
      <c r="H353" s="2" t="inlineStr">
        <is>
          <t>extract</t>
        </is>
      </c>
    </row>
    <row r="354">
      <c r="A354" s="2" t="inlineStr">
        <is>
          <t>Cash Flow</t>
        </is>
      </c>
      <c r="B354" s="2" t="n">
        <v>23</v>
      </c>
      <c r="C354" s="2" t="inlineStr">
        <is>
          <t>B23</t>
        </is>
      </c>
      <c r="D354" s="2" t="inlineStr">
        <is>
          <t>Chg in Other Current Assets</t>
        </is>
      </c>
      <c r="E354" s="2" t="inlineStr">
        <is>
          <t>cf_oper_indirect__chg_in_other_current_assets</t>
        </is>
      </c>
      <c r="F354" s="2" t="inlineStr">
        <is>
          <t>9</t>
        </is>
      </c>
      <c r="G354" s="2" t="inlineStr">
        <is>
          <t>reported_input</t>
        </is>
      </c>
      <c r="H354" s="2" t="inlineStr">
        <is>
          <t>extract</t>
        </is>
      </c>
    </row>
    <row r="355">
      <c r="A355" s="2" t="inlineStr">
        <is>
          <t>Cash Flow</t>
        </is>
      </c>
      <c r="B355" s="2" t="n">
        <v>24</v>
      </c>
      <c r="C355" s="2" t="inlineStr">
        <is>
          <t>B24</t>
        </is>
      </c>
      <c r="D355" s="2" t="inlineStr">
        <is>
          <t>Chg in Trade Payables</t>
        </is>
      </c>
      <c r="E355" s="2" t="inlineStr">
        <is>
          <t>cf_oper_indirect__chg_in_trade_payables</t>
        </is>
      </c>
      <c r="F355" s="2" t="inlineStr">
        <is>
          <t>-26</t>
        </is>
      </c>
      <c r="G355" s="2" t="inlineStr">
        <is>
          <t>reported_input</t>
        </is>
      </c>
      <c r="H355" s="2" t="inlineStr">
        <is>
          <t>extract</t>
        </is>
      </c>
    </row>
    <row r="356">
      <c r="A356" s="2" t="inlineStr">
        <is>
          <t>Cash Flow</t>
        </is>
      </c>
      <c r="B356" s="2" t="n">
        <v>25</v>
      </c>
      <c r="C356" s="2" t="inlineStr">
        <is>
          <t>B25</t>
        </is>
      </c>
      <c r="D356" s="2" t="inlineStr">
        <is>
          <t>Chg in Provisions</t>
        </is>
      </c>
      <c r="E356" s="2" t="inlineStr">
        <is>
          <t>cf_oper_indirect__chg_in_provisions</t>
        </is>
      </c>
      <c r="F356" s="2" t="inlineStr">
        <is>
          <t>43</t>
        </is>
      </c>
      <c r="G356" s="2" t="inlineStr">
        <is>
          <t>reported_input</t>
        </is>
      </c>
      <c r="H356" s="2" t="inlineStr">
        <is>
          <t>extract</t>
        </is>
      </c>
    </row>
    <row r="357">
      <c r="A357" s="2" t="inlineStr">
        <is>
          <t>Cash Flow</t>
        </is>
      </c>
      <c r="B357" s="2" t="n">
        <v>26</v>
      </c>
      <c r="C357" s="2" t="inlineStr">
        <is>
          <t>B26</t>
        </is>
      </c>
      <c r="D357" s="2" t="inlineStr">
        <is>
          <t>Chg in Post Employ Bnft Oblig</t>
        </is>
      </c>
      <c r="E357" s="2" t="inlineStr">
        <is>
          <t>cf_oper_indirect__chg_in_post_employ_bnft_oblig</t>
        </is>
      </c>
      <c r="F357" s="2" t="inlineStr">
        <is>
          <t>17</t>
        </is>
      </c>
      <c r="G357" s="2" t="inlineStr">
        <is>
          <t>reported_input</t>
        </is>
      </c>
      <c r="H357" s="2" t="inlineStr">
        <is>
          <t>extract</t>
        </is>
      </c>
    </row>
    <row r="358">
      <c r="A358" s="2" t="inlineStr">
        <is>
          <t>Cash Flow</t>
        </is>
      </c>
      <c r="B358" s="2" t="n">
        <v>27</v>
      </c>
      <c r="C358" s="2" t="inlineStr">
        <is>
          <t>B27</t>
        </is>
      </c>
      <c r="D358" s="2" t="inlineStr">
        <is>
          <t>Chg in Other Current Liab</t>
        </is>
      </c>
      <c r="E358" s="2" t="inlineStr">
        <is>
          <t>cf_oper_indirect__chg_in_other_current_liab</t>
        </is>
      </c>
      <c r="F358" s="2" t="inlineStr">
        <is>
          <t>-34</t>
        </is>
      </c>
      <c r="G358" s="2" t="inlineStr">
        <is>
          <t>reported_input</t>
        </is>
      </c>
      <c r="H358" s="2" t="inlineStr">
        <is>
          <t>extract</t>
        </is>
      </c>
    </row>
    <row r="359">
      <c r="A359" s="2" t="inlineStr">
        <is>
          <t>Cash Flow</t>
        </is>
      </c>
      <c r="B359" s="2" t="n">
        <v>28</v>
      </c>
      <c r="C359" s="2" t="inlineStr">
        <is>
          <t>B28</t>
        </is>
      </c>
      <c r="D359" s="2" t="inlineStr">
        <is>
          <t>Chg in Other Wkng Capital Items</t>
        </is>
      </c>
      <c r="E359" s="2" t="inlineStr">
        <is>
          <t>cf_oper_indirect__chg_in_other_wkng_capital_items</t>
        </is>
      </c>
      <c r="F359" s="2" t="inlineStr">
        <is>
          <t>8</t>
        </is>
      </c>
      <c r="G359" s="2" t="inlineStr">
        <is>
          <t>reported_input</t>
        </is>
      </c>
      <c r="H359" s="2" t="inlineStr">
        <is>
          <t>extract</t>
        </is>
      </c>
    </row>
    <row r="360">
      <c r="A360" s="2" t="inlineStr">
        <is>
          <t>Cash Flow</t>
        </is>
      </c>
      <c r="B360" s="2" t="n">
        <v>29</v>
      </c>
      <c r="C360" s="2" t="inlineStr">
        <is>
          <t>B29</t>
        </is>
      </c>
      <c r="D360" s="2" t="inlineStr">
        <is>
          <t>Chg in Taxes Payable</t>
        </is>
      </c>
      <c r="E360" s="2" t="inlineStr">
        <is>
          <t>cf_oper_indirect__chg_in_taxes_payable</t>
        </is>
      </c>
      <c r="F360" s="2" t="inlineStr">
        <is>
          <t>25</t>
        </is>
      </c>
      <c r="G360" s="2" t="inlineStr">
        <is>
          <t>reported_input</t>
        </is>
      </c>
      <c r="H360" s="2" t="inlineStr">
        <is>
          <t>extract</t>
        </is>
      </c>
    </row>
    <row r="361">
      <c r="A361" s="2" t="inlineStr">
        <is>
          <t>Cash Flow</t>
        </is>
      </c>
      <c r="B361" s="2" t="n">
        <v>30</v>
      </c>
      <c r="C361" s="2" t="inlineStr">
        <is>
          <t>B30</t>
        </is>
      </c>
      <c r="D361" s="2" t="inlineStr">
        <is>
          <t>Chg in Deferred Taxes</t>
        </is>
      </c>
      <c r="E361" s="2" t="inlineStr">
        <is>
          <t>cf_oper_indirect__chg_in_deferred_taxes</t>
        </is>
      </c>
      <c r="F361" s="2" t="inlineStr">
        <is>
          <t>-42</t>
        </is>
      </c>
      <c r="G361" s="2" t="inlineStr">
        <is>
          <t>reported_input</t>
        </is>
      </c>
      <c r="H361" s="2" t="inlineStr">
        <is>
          <t>extract</t>
        </is>
      </c>
    </row>
    <row r="362">
      <c r="A362" s="2" t="inlineStr">
        <is>
          <t>Cash Flow</t>
        </is>
      </c>
      <c r="B362" s="2" t="n">
        <v>31</v>
      </c>
      <c r="C362" s="2" t="inlineStr">
        <is>
          <t>B31</t>
        </is>
      </c>
      <c r="D362" s="2" t="inlineStr">
        <is>
          <t>Dividends Received(Oper)</t>
        </is>
      </c>
      <c r="E362" s="2" t="inlineStr">
        <is>
          <t>cf_oper_indirect__dividends_received_oper</t>
        </is>
      </c>
      <c r="F362" s="2" t="inlineStr">
        <is>
          <t>16</t>
        </is>
      </c>
      <c r="G362" s="2" t="inlineStr">
        <is>
          <t>reported_input</t>
        </is>
      </c>
      <c r="H362" s="2" t="inlineStr">
        <is>
          <t>extract</t>
        </is>
      </c>
    </row>
    <row r="363">
      <c r="A363" s="2" t="inlineStr">
        <is>
          <t>Cash Flow</t>
        </is>
      </c>
      <c r="B363" s="2" t="n">
        <v>32</v>
      </c>
      <c r="C363" s="2" t="inlineStr">
        <is>
          <t>B32</t>
        </is>
      </c>
      <c r="D363" s="2" t="inlineStr">
        <is>
          <t>Income Taxes Paid(Indirect)</t>
        </is>
      </c>
      <c r="E363" s="2" t="inlineStr">
        <is>
          <t>cf_oper_indirect__income_taxes_paid_indirect</t>
        </is>
      </c>
      <c r="F363" s="2" t="inlineStr">
        <is>
          <t>33</t>
        </is>
      </c>
      <c r="G363" s="2" t="inlineStr">
        <is>
          <t>reported_input</t>
        </is>
      </c>
      <c r="H363" s="2" t="inlineStr">
        <is>
          <t>extract</t>
        </is>
      </c>
    </row>
    <row r="364">
      <c r="A364" s="2" t="inlineStr">
        <is>
          <t>Cash Flow</t>
        </is>
      </c>
      <c r="B364" s="2" t="n">
        <v>33</v>
      </c>
      <c r="C364" s="2" t="inlineStr">
        <is>
          <t>B33</t>
        </is>
      </c>
      <c r="D364" s="2" t="inlineStr">
        <is>
          <t>Interest Paid(Oper)</t>
        </is>
      </c>
      <c r="E364" s="2" t="inlineStr">
        <is>
          <t>cf_oper_indirect__interest_paid_oper</t>
        </is>
      </c>
      <c r="F364" s="2" t="inlineStr">
        <is>
          <t>-7</t>
        </is>
      </c>
      <c r="G364" s="2" t="inlineStr">
        <is>
          <t>reported_input</t>
        </is>
      </c>
      <c r="H364" s="2" t="inlineStr">
        <is>
          <t>extract</t>
        </is>
      </c>
    </row>
    <row r="365">
      <c r="A365" s="2" t="inlineStr">
        <is>
          <t>Cash Flow</t>
        </is>
      </c>
      <c r="B365" s="2" t="n">
        <v>34</v>
      </c>
      <c r="C365" s="2" t="inlineStr">
        <is>
          <t>B34</t>
        </is>
      </c>
      <c r="D365" s="2" t="inlineStr">
        <is>
          <t>Dividends Paid(Oper)</t>
        </is>
      </c>
      <c r="E365" s="2" t="inlineStr">
        <is>
          <t>cf_oper_indirect__dividends_paid_oper</t>
        </is>
      </c>
      <c r="F365" s="2" t="inlineStr">
        <is>
          <t>24</t>
        </is>
      </c>
      <c r="G365" s="2" t="inlineStr">
        <is>
          <t>reported_input</t>
        </is>
      </c>
      <c r="H365" s="2" t="inlineStr">
        <is>
          <t>extract</t>
        </is>
      </c>
    </row>
    <row r="366">
      <c r="A366" s="2" t="inlineStr">
        <is>
          <t>Cash Flow</t>
        </is>
      </c>
      <c r="B366" s="2" t="n">
        <v>35</v>
      </c>
      <c r="C366" s="2" t="inlineStr">
        <is>
          <t>B35</t>
        </is>
      </c>
      <c r="D366" s="2" t="inlineStr">
        <is>
          <t>Cash Flow Extraord Items(Oper)</t>
        </is>
      </c>
      <c r="E366" s="2" t="inlineStr">
        <is>
          <t>cf_oper_indirect__cash_flow_extraord_items_oper</t>
        </is>
      </c>
      <c r="F366" s="2" t="inlineStr">
        <is>
          <t>41</t>
        </is>
      </c>
      <c r="G366" s="2" t="inlineStr">
        <is>
          <t>reported_input</t>
        </is>
      </c>
      <c r="H366" s="2" t="inlineStr">
        <is>
          <t>extract</t>
        </is>
      </c>
    </row>
    <row r="367">
      <c r="A367" s="2" t="inlineStr">
        <is>
          <t>Cash Flow</t>
        </is>
      </c>
      <c r="B367" s="2" t="n">
        <v>36</v>
      </c>
      <c r="C367" s="2" t="inlineStr">
        <is>
          <t>B36</t>
        </is>
      </c>
      <c r="D367" s="2" t="inlineStr">
        <is>
          <t>Other Non-Cash Adjs(Oper)</t>
        </is>
      </c>
      <c r="E367" s="2" t="inlineStr">
        <is>
          <t>cf_oper_indirect__other_non_cash_adjs_oper</t>
        </is>
      </c>
      <c r="F367" s="2" t="inlineStr">
        <is>
          <t>-15</t>
        </is>
      </c>
      <c r="G367" s="2" t="inlineStr">
        <is>
          <t>reported_input</t>
        </is>
      </c>
      <c r="H367" s="2" t="inlineStr">
        <is>
          <t>extract</t>
        </is>
      </c>
    </row>
    <row r="368">
      <c r="A368" s="2" t="inlineStr">
        <is>
          <t>Cash Flow</t>
        </is>
      </c>
      <c r="B368" s="2" t="n">
        <v>37</v>
      </c>
      <c r="C368" s="2" t="inlineStr">
        <is>
          <t>B37</t>
        </is>
      </c>
      <c r="D368" s="2" t="inlineStr">
        <is>
          <t>Cash Flows Oper Activ(Indirect)</t>
        </is>
      </c>
      <c r="E368" s="2" t="inlineStr">
        <is>
          <t>cf_oper_indirect__cash_flows_oper_activ_indirect</t>
        </is>
      </c>
      <c r="F368" s="2">
        <f>SUM(B6:B36)</f>
        <v/>
      </c>
      <c r="G368" s="2" t="inlineStr">
        <is>
          <t>formula</t>
        </is>
      </c>
      <c r="H368" s="2" t="inlineStr">
        <is>
          <t>derive</t>
        </is>
      </c>
    </row>
    <row r="369">
      <c r="A369" s="2" t="inlineStr">
        <is>
          <t>Cash Flow</t>
        </is>
      </c>
      <c r="B369" s="2" t="n">
        <v>39</v>
      </c>
      <c r="C369" s="2" t="inlineStr">
        <is>
          <t>B39</t>
        </is>
      </c>
      <c r="D369" s="2" t="inlineStr">
        <is>
          <t>Cash Receipts from Customers</t>
        </is>
      </c>
      <c r="E369" s="2" t="inlineStr">
        <is>
          <t>cf_oper_direct__cash_receipts_from_customers</t>
        </is>
      </c>
      <c r="F369" s="2" t="inlineStr">
        <is>
          <t>-23</t>
        </is>
      </c>
      <c r="G369" s="2" t="inlineStr">
        <is>
          <t>reported_input</t>
        </is>
      </c>
      <c r="H369" s="2" t="inlineStr">
        <is>
          <t>extract</t>
        </is>
      </c>
    </row>
    <row r="370">
      <c r="A370" s="2" t="inlineStr">
        <is>
          <t>Cash Flow</t>
        </is>
      </c>
      <c r="B370" s="2" t="n">
        <v>40</v>
      </c>
      <c r="C370" s="2" t="inlineStr">
        <is>
          <t>B40</t>
        </is>
      </c>
      <c r="D370" s="2" t="inlineStr">
        <is>
          <t>Cash Paid to Suppliers</t>
        </is>
      </c>
      <c r="E370" s="2" t="inlineStr">
        <is>
          <t>cf_oper_direct__cash_paid_to_suppliers</t>
        </is>
      </c>
      <c r="F370" s="2" t="inlineStr">
        <is>
          <t>40</t>
        </is>
      </c>
      <c r="G370" s="2" t="inlineStr">
        <is>
          <t>reported_input</t>
        </is>
      </c>
      <c r="H370" s="2" t="inlineStr">
        <is>
          <t>extract</t>
        </is>
      </c>
    </row>
    <row r="371">
      <c r="A371" s="2" t="inlineStr">
        <is>
          <t>Cash Flow</t>
        </is>
      </c>
      <c r="B371" s="2" t="n">
        <v>41</v>
      </c>
      <c r="C371" s="2" t="inlineStr">
        <is>
          <t>B41</t>
        </is>
      </c>
      <c r="D371" s="2" t="inlineStr">
        <is>
          <t>Cash Paid to Employees</t>
        </is>
      </c>
      <c r="E371" s="2" t="inlineStr">
        <is>
          <t>cf_oper_direct__cash_paid_to_employees</t>
        </is>
      </c>
      <c r="F371" s="2" t="inlineStr">
        <is>
          <t>14</t>
        </is>
      </c>
      <c r="G371" s="2" t="inlineStr">
        <is>
          <t>reported_input</t>
        </is>
      </c>
      <c r="H371" s="2" t="inlineStr">
        <is>
          <t>extract</t>
        </is>
      </c>
    </row>
    <row r="372">
      <c r="A372" s="2" t="inlineStr">
        <is>
          <t>Cash Flow</t>
        </is>
      </c>
      <c r="B372" s="2" t="n">
        <v>42</v>
      </c>
      <c r="C372" s="2" t="inlineStr">
        <is>
          <t>B42</t>
        </is>
      </c>
      <c r="D372" s="2" t="inlineStr">
        <is>
          <t>Income Taxes Paid(Direct)</t>
        </is>
      </c>
      <c r="E372" s="2" t="inlineStr">
        <is>
          <t>cf_oper_direct__income_taxes_paid_direct</t>
        </is>
      </c>
      <c r="F372" s="2" t="inlineStr">
        <is>
          <t>-31</t>
        </is>
      </c>
      <c r="G372" s="2" t="inlineStr">
        <is>
          <t>reported_input</t>
        </is>
      </c>
      <c r="H372" s="2" t="inlineStr">
        <is>
          <t>extract</t>
        </is>
      </c>
    </row>
    <row r="373">
      <c r="A373" s="2" t="inlineStr">
        <is>
          <t>Cash Flow</t>
        </is>
      </c>
      <c r="B373" s="2" t="n">
        <v>43</v>
      </c>
      <c r="C373" s="2" t="inlineStr">
        <is>
          <t>B43</t>
        </is>
      </c>
      <c r="D373" s="2" t="inlineStr">
        <is>
          <t>Borrowing Costs Paid</t>
        </is>
      </c>
      <c r="E373" s="2" t="inlineStr">
        <is>
          <t>cf_oper_direct__borrowing_costs_paid</t>
        </is>
      </c>
      <c r="F373" s="2" t="inlineStr">
        <is>
          <t>5</t>
        </is>
      </c>
      <c r="G373" s="2" t="inlineStr">
        <is>
          <t>reported_input</t>
        </is>
      </c>
      <c r="H373" s="2" t="inlineStr">
        <is>
          <t>extract</t>
        </is>
      </c>
    </row>
    <row r="374">
      <c r="A374" s="2" t="inlineStr">
        <is>
          <t>Cash Flow</t>
        </is>
      </c>
      <c r="B374" s="2" t="n">
        <v>44</v>
      </c>
      <c r="C374" s="2" t="inlineStr">
        <is>
          <t>B44</t>
        </is>
      </c>
      <c r="D374" s="2" t="inlineStr">
        <is>
          <t>Cash Flows Oper Activ(Direct)</t>
        </is>
      </c>
      <c r="E374" s="2" t="inlineStr">
        <is>
          <t>cf_oper_direct__cash_flows_oper_activ_direct</t>
        </is>
      </c>
      <c r="F374" s="2">
        <f>SUM(B39:B43)</f>
        <v/>
      </c>
      <c r="G374" s="2" t="inlineStr">
        <is>
          <t>formula</t>
        </is>
      </c>
      <c r="H374" s="2" t="inlineStr">
        <is>
          <t>derive</t>
        </is>
      </c>
    </row>
    <row r="375">
      <c r="A375" s="2" t="inlineStr">
        <is>
          <t>Cash Flow</t>
        </is>
      </c>
      <c r="B375" s="2" t="n">
        <v>46</v>
      </c>
      <c r="C375" s="2" t="inlineStr">
        <is>
          <t>B46</t>
        </is>
      </c>
      <c r="D375" s="2" t="inlineStr">
        <is>
          <t>Purchase Intangible Assets</t>
        </is>
      </c>
      <c r="E375" s="2" t="inlineStr">
        <is>
          <t>cf_investing__purchase_intangible_assets</t>
        </is>
      </c>
      <c r="F375" s="2" t="inlineStr">
        <is>
          <t>13</t>
        </is>
      </c>
      <c r="G375" s="2" t="inlineStr">
        <is>
          <t>reported_input</t>
        </is>
      </c>
      <c r="H375" s="2" t="inlineStr">
        <is>
          <t>extract</t>
        </is>
      </c>
    </row>
    <row r="376">
      <c r="A376" s="2" t="inlineStr">
        <is>
          <t>Cash Flow</t>
        </is>
      </c>
      <c r="B376" s="2" t="n">
        <v>47</v>
      </c>
      <c r="C376" s="2" t="inlineStr">
        <is>
          <t>B47</t>
        </is>
      </c>
      <c r="D376" s="2" t="inlineStr">
        <is>
          <t>Proceeds Sale Intgbl Assets</t>
        </is>
      </c>
      <c r="E376" s="2" t="inlineStr">
        <is>
          <t>cf_investing__proceeds_sale_intgbl_assets</t>
        </is>
      </c>
      <c r="F376" s="2" t="inlineStr">
        <is>
          <t>30</t>
        </is>
      </c>
      <c r="G376" s="2" t="inlineStr">
        <is>
          <t>reported_input</t>
        </is>
      </c>
      <c r="H376" s="2" t="inlineStr">
        <is>
          <t>extract</t>
        </is>
      </c>
    </row>
    <row r="377">
      <c r="A377" s="2" t="inlineStr">
        <is>
          <t>Cash Flow</t>
        </is>
      </c>
      <c r="B377" s="2" t="n">
        <v>48</v>
      </c>
      <c r="C377" s="2" t="inlineStr">
        <is>
          <t>B48</t>
        </is>
      </c>
      <c r="D377" s="2" t="inlineStr">
        <is>
          <t>Purchase PPE</t>
        </is>
      </c>
      <c r="E377" s="2" t="inlineStr">
        <is>
          <t>cf_investing__purchase_ppe</t>
        </is>
      </c>
      <c r="F377" s="2" t="inlineStr">
        <is>
          <t>-47</t>
        </is>
      </c>
      <c r="G377" s="2" t="inlineStr">
        <is>
          <t>reported_input</t>
        </is>
      </c>
      <c r="H377" s="2" t="inlineStr">
        <is>
          <t>extract</t>
        </is>
      </c>
    </row>
    <row r="378">
      <c r="A378" s="2" t="inlineStr">
        <is>
          <t>Cash Flow</t>
        </is>
      </c>
      <c r="B378" s="2" t="n">
        <v>49</v>
      </c>
      <c r="C378" s="2" t="inlineStr">
        <is>
          <t>B49</t>
        </is>
      </c>
      <c r="D378" s="2" t="inlineStr">
        <is>
          <t>Proceeds Sale PPE</t>
        </is>
      </c>
      <c r="E378" s="2" t="inlineStr">
        <is>
          <t>cf_investing__proceeds_sale_ppe</t>
        </is>
      </c>
      <c r="F378" s="2" t="inlineStr">
        <is>
          <t>21</t>
        </is>
      </c>
      <c r="G378" s="2" t="inlineStr">
        <is>
          <t>reported_input</t>
        </is>
      </c>
      <c r="H378" s="2" t="inlineStr">
        <is>
          <t>extract</t>
        </is>
      </c>
    </row>
    <row r="379">
      <c r="A379" s="2" t="inlineStr">
        <is>
          <t>Cash Flow</t>
        </is>
      </c>
      <c r="B379" s="2" t="n">
        <v>50</v>
      </c>
      <c r="C379" s="2" t="inlineStr">
        <is>
          <t>B50</t>
        </is>
      </c>
      <c r="D379" s="2" t="inlineStr">
        <is>
          <t>Purchase Investment Property</t>
        </is>
      </c>
      <c r="E379" s="2" t="inlineStr">
        <is>
          <t>cf_investing__purchase_investment_property</t>
        </is>
      </c>
      <c r="F379" s="2" t="inlineStr">
        <is>
          <t>38</t>
        </is>
      </c>
      <c r="G379" s="2" t="inlineStr">
        <is>
          <t>reported_input</t>
        </is>
      </c>
      <c r="H379" s="2" t="inlineStr">
        <is>
          <t>extract</t>
        </is>
      </c>
    </row>
    <row r="380">
      <c r="A380" s="2" t="inlineStr">
        <is>
          <t>Cash Flow</t>
        </is>
      </c>
      <c r="B380" s="2" t="n">
        <v>51</v>
      </c>
      <c r="C380" s="2" t="inlineStr">
        <is>
          <t>B51</t>
        </is>
      </c>
      <c r="D380" s="2" t="inlineStr">
        <is>
          <t>Proceeds Sale Investment Prop</t>
        </is>
      </c>
      <c r="E380" s="2" t="inlineStr">
        <is>
          <t>cf_investing__proceeds_sale_investment_prop</t>
        </is>
      </c>
      <c r="F380" s="2" t="inlineStr">
        <is>
          <t>-12</t>
        </is>
      </c>
      <c r="G380" s="2" t="inlineStr">
        <is>
          <t>reported_input</t>
        </is>
      </c>
      <c r="H380" s="2" t="inlineStr">
        <is>
          <t>extract</t>
        </is>
      </c>
    </row>
    <row r="381">
      <c r="A381" s="2" t="inlineStr">
        <is>
          <t>Cash Flow</t>
        </is>
      </c>
      <c r="B381" s="2" t="n">
        <v>52</v>
      </c>
      <c r="C381" s="2" t="inlineStr">
        <is>
          <t>B52</t>
        </is>
      </c>
      <c r="D381" s="2" t="inlineStr">
        <is>
          <t>Purchase Financial Assets</t>
        </is>
      </c>
      <c r="E381" s="2" t="inlineStr">
        <is>
          <t>cf_investing__purchase_financial_assets</t>
        </is>
      </c>
      <c r="F381" s="2" t="inlineStr">
        <is>
          <t>29</t>
        </is>
      </c>
      <c r="G381" s="2" t="inlineStr">
        <is>
          <t>reported_input</t>
        </is>
      </c>
      <c r="H381" s="2" t="inlineStr">
        <is>
          <t>extract</t>
        </is>
      </c>
    </row>
    <row r="382">
      <c r="A382" s="2" t="inlineStr">
        <is>
          <t>Cash Flow</t>
        </is>
      </c>
      <c r="B382" s="2" t="n">
        <v>53</v>
      </c>
      <c r="C382" s="2" t="inlineStr">
        <is>
          <t>B53</t>
        </is>
      </c>
      <c r="D382" s="2" t="inlineStr">
        <is>
          <t>Proceeds Sale Fncl Assets</t>
        </is>
      </c>
      <c r="E382" s="2" t="inlineStr">
        <is>
          <t>cf_investing__proceeds_sale_fncl_assets</t>
        </is>
      </c>
      <c r="F382" s="2" t="inlineStr">
        <is>
          <t>46</t>
        </is>
      </c>
      <c r="G382" s="2" t="inlineStr">
        <is>
          <t>reported_input</t>
        </is>
      </c>
      <c r="H382" s="2" t="inlineStr">
        <is>
          <t>extract</t>
        </is>
      </c>
    </row>
    <row r="383">
      <c r="A383" s="2" t="inlineStr">
        <is>
          <t>Cash Flow</t>
        </is>
      </c>
      <c r="B383" s="2" t="n">
        <v>54</v>
      </c>
      <c r="C383" s="2" t="inlineStr">
        <is>
          <t>B54</t>
        </is>
      </c>
      <c r="D383" s="2" t="inlineStr">
        <is>
          <t>Purchase Other Assets</t>
        </is>
      </c>
      <c r="E383" s="2" t="inlineStr">
        <is>
          <t>cf_investing__purchase_other_assets</t>
        </is>
      </c>
      <c r="F383" s="2" t="inlineStr">
        <is>
          <t>-20</t>
        </is>
      </c>
      <c r="G383" s="2" t="inlineStr">
        <is>
          <t>reported_input</t>
        </is>
      </c>
      <c r="H383" s="2" t="inlineStr">
        <is>
          <t>extract</t>
        </is>
      </c>
    </row>
    <row r="384">
      <c r="A384" s="2" t="inlineStr">
        <is>
          <t>Cash Flow</t>
        </is>
      </c>
      <c r="B384" s="2" t="n">
        <v>55</v>
      </c>
      <c r="C384" s="2" t="inlineStr">
        <is>
          <t>B55</t>
        </is>
      </c>
      <c r="D384" s="2" t="inlineStr">
        <is>
          <t>Proceeds Sale Other Assets</t>
        </is>
      </c>
      <c r="E384" s="2" t="inlineStr">
        <is>
          <t>cf_investing__proceeds_sale_other_assets</t>
        </is>
      </c>
      <c r="F384" s="2" t="inlineStr">
        <is>
          <t>37</t>
        </is>
      </c>
      <c r="G384" s="2" t="inlineStr">
        <is>
          <t>reported_input</t>
        </is>
      </c>
      <c r="H384" s="2" t="inlineStr">
        <is>
          <t>extract</t>
        </is>
      </c>
    </row>
    <row r="385">
      <c r="A385" s="2" t="inlineStr">
        <is>
          <t>Cash Flow</t>
        </is>
      </c>
      <c r="B385" s="2" t="n">
        <v>56</v>
      </c>
      <c r="C385" s="2" t="inlineStr">
        <is>
          <t>B56</t>
        </is>
      </c>
      <c r="D385" s="2" t="inlineStr">
        <is>
          <t>Investment Assoc &amp; Affiliates</t>
        </is>
      </c>
      <c r="E385" s="2" t="inlineStr">
        <is>
          <t>cf_investing__investment_assoc_and_affiliates</t>
        </is>
      </c>
      <c r="F385" s="2" t="inlineStr">
        <is>
          <t>11</t>
        </is>
      </c>
      <c r="G385" s="2" t="inlineStr">
        <is>
          <t>reported_input</t>
        </is>
      </c>
      <c r="H385" s="2" t="inlineStr">
        <is>
          <t>extract</t>
        </is>
      </c>
    </row>
    <row r="386">
      <c r="A386" s="2" t="inlineStr">
        <is>
          <t>Cash Flow</t>
        </is>
      </c>
      <c r="B386" s="2" t="n">
        <v>57</v>
      </c>
      <c r="C386" s="2" t="inlineStr">
        <is>
          <t>B57</t>
        </is>
      </c>
      <c r="D386" s="2" t="inlineStr">
        <is>
          <t>Sale Assoc &amp; Affiliates</t>
        </is>
      </c>
      <c r="E386" s="2" t="inlineStr">
        <is>
          <t>cf_investing__sale_assoc_and_affiliates</t>
        </is>
      </c>
      <c r="F386" s="2" t="inlineStr">
        <is>
          <t>-28</t>
        </is>
      </c>
      <c r="G386" s="2" t="inlineStr">
        <is>
          <t>reported_input</t>
        </is>
      </c>
      <c r="H386" s="2" t="inlineStr">
        <is>
          <t>extract</t>
        </is>
      </c>
    </row>
    <row r="387">
      <c r="A387" s="2" t="inlineStr">
        <is>
          <t>Cash Flow</t>
        </is>
      </c>
      <c r="B387" s="2" t="n">
        <v>58</v>
      </c>
      <c r="C387" s="2" t="inlineStr">
        <is>
          <t>B58</t>
        </is>
      </c>
      <c r="D387" s="2" t="inlineStr">
        <is>
          <t>Acq of Sub(Net of Cash Acqrd)</t>
        </is>
      </c>
      <c r="E387" s="2" t="inlineStr">
        <is>
          <t>cf_investing__acq_of_sub_net_of_cash_acqrd</t>
        </is>
      </c>
      <c r="F387" s="2" t="inlineStr">
        <is>
          <t>45</t>
        </is>
      </c>
      <c r="G387" s="2" t="inlineStr">
        <is>
          <t>reported_input</t>
        </is>
      </c>
      <c r="H387" s="2" t="inlineStr">
        <is>
          <t>extract</t>
        </is>
      </c>
    </row>
    <row r="388">
      <c r="A388" s="2" t="inlineStr">
        <is>
          <t>Cash Flow</t>
        </is>
      </c>
      <c r="B388" s="2" t="n">
        <v>59</v>
      </c>
      <c r="C388" s="2" t="inlineStr">
        <is>
          <t>B59</t>
        </is>
      </c>
      <c r="D388" s="2" t="inlineStr">
        <is>
          <t>Proceeds Sale of Subsidiary</t>
        </is>
      </c>
      <c r="E388" s="2" t="inlineStr">
        <is>
          <t>cf_investing__proceeds_sale_of_subsidiary</t>
        </is>
      </c>
      <c r="F388" s="2" t="inlineStr">
        <is>
          <t>19</t>
        </is>
      </c>
      <c r="G388" s="2" t="inlineStr">
        <is>
          <t>reported_input</t>
        </is>
      </c>
      <c r="H388" s="2" t="inlineStr">
        <is>
          <t>extract</t>
        </is>
      </c>
    </row>
    <row r="389">
      <c r="A389" s="2" t="inlineStr">
        <is>
          <t>Cash Flow</t>
        </is>
      </c>
      <c r="B389" s="2" t="n">
        <v>60</v>
      </c>
      <c r="C389" s="2" t="inlineStr">
        <is>
          <t>B60</t>
        </is>
      </c>
      <c r="D389" s="2" t="inlineStr">
        <is>
          <t>Payment Fin Lease Liab</t>
        </is>
      </c>
      <c r="E389" s="2" t="inlineStr">
        <is>
          <t>cf_investing__payment_fin_lease_liab</t>
        </is>
      </c>
      <c r="F389" s="2" t="inlineStr">
        <is>
          <t>-36</t>
        </is>
      </c>
      <c r="G389" s="2" t="inlineStr">
        <is>
          <t>reported_input</t>
        </is>
      </c>
      <c r="H389" s="2" t="inlineStr">
        <is>
          <t>extract</t>
        </is>
      </c>
    </row>
    <row r="390">
      <c r="A390" s="2" t="inlineStr">
        <is>
          <t>Cash Flow</t>
        </is>
      </c>
      <c r="B390" s="2" t="n">
        <v>61</v>
      </c>
      <c r="C390" s="2" t="inlineStr">
        <is>
          <t>B61</t>
        </is>
      </c>
      <c r="D390" s="2" t="inlineStr">
        <is>
          <t>Interest Income Rcvd(Invest)</t>
        </is>
      </c>
      <c r="E390" s="2" t="inlineStr">
        <is>
          <t>cf_investing__interest_income_rcvd_invest</t>
        </is>
      </c>
      <c r="F390" s="2" t="inlineStr">
        <is>
          <t>10</t>
        </is>
      </c>
      <c r="G390" s="2" t="inlineStr">
        <is>
          <t>reported_input</t>
        </is>
      </c>
      <c r="H390" s="2" t="inlineStr">
        <is>
          <t>extract</t>
        </is>
      </c>
    </row>
    <row r="391">
      <c r="A391" s="2" t="inlineStr">
        <is>
          <t>Cash Flow</t>
        </is>
      </c>
      <c r="B391" s="2" t="n">
        <v>62</v>
      </c>
      <c r="C391" s="2" t="inlineStr">
        <is>
          <t>B62</t>
        </is>
      </c>
      <c r="D391" s="2" t="inlineStr">
        <is>
          <t>Dividends Received(Invest)</t>
        </is>
      </c>
      <c r="E391" s="2" t="inlineStr">
        <is>
          <t>cf_investing__dividends_received_invest</t>
        </is>
      </c>
      <c r="F391" s="2" t="inlineStr">
        <is>
          <t>27</t>
        </is>
      </c>
      <c r="G391" s="2" t="inlineStr">
        <is>
          <t>reported_input</t>
        </is>
      </c>
      <c r="H391" s="2" t="inlineStr">
        <is>
          <t>extract</t>
        </is>
      </c>
    </row>
    <row r="392">
      <c r="A392" s="2" t="inlineStr">
        <is>
          <t>Cash Flow</t>
        </is>
      </c>
      <c r="B392" s="2" t="n">
        <v>63</v>
      </c>
      <c r="C392" s="2" t="inlineStr">
        <is>
          <t>B63</t>
        </is>
      </c>
      <c r="D392" s="2" t="inlineStr">
        <is>
          <t>Cash Flow Extraord Items(Invest)</t>
        </is>
      </c>
      <c r="E392" s="2" t="inlineStr">
        <is>
          <t>cf_investing__cash_flow_extraord_items_invest</t>
        </is>
      </c>
      <c r="F392" s="2" t="inlineStr">
        <is>
          <t>-44</t>
        </is>
      </c>
      <c r="G392" s="2" t="inlineStr">
        <is>
          <t>reported_input</t>
        </is>
      </c>
      <c r="H392" s="2" t="inlineStr">
        <is>
          <t>extract</t>
        </is>
      </c>
    </row>
    <row r="393">
      <c r="A393" s="2" t="inlineStr">
        <is>
          <t>Cash Flow</t>
        </is>
      </c>
      <c r="B393" s="2" t="n">
        <v>64</v>
      </c>
      <c r="C393" s="2" t="inlineStr">
        <is>
          <t>B64</t>
        </is>
      </c>
      <c r="D393" s="2" t="inlineStr">
        <is>
          <t>Cash Flow Hedging(Invest)</t>
        </is>
      </c>
      <c r="E393" s="2" t="inlineStr">
        <is>
          <t>cf_investing__cash_flow_hedging_invest</t>
        </is>
      </c>
      <c r="F393" s="2" t="inlineStr">
        <is>
          <t>18</t>
        </is>
      </c>
      <c r="G393" s="2" t="inlineStr">
        <is>
          <t>reported_input</t>
        </is>
      </c>
      <c r="H393" s="2" t="inlineStr">
        <is>
          <t>extract</t>
        </is>
      </c>
    </row>
    <row r="394">
      <c r="A394" s="2" t="inlineStr">
        <is>
          <t>Cash Flow</t>
        </is>
      </c>
      <c r="B394" s="2" t="n">
        <v>65</v>
      </c>
      <c r="C394" s="2" t="inlineStr">
        <is>
          <t>B65</t>
        </is>
      </c>
      <c r="D394" s="2" t="inlineStr">
        <is>
          <t>Other Invest Cash Flows</t>
        </is>
      </c>
      <c r="E394" s="2" t="inlineStr">
        <is>
          <t>cf_investing__other_invest_cash_flows</t>
        </is>
      </c>
      <c r="F394" s="2" t="inlineStr">
        <is>
          <t>35</t>
        </is>
      </c>
      <c r="G394" s="2" t="inlineStr">
        <is>
          <t>reported_input</t>
        </is>
      </c>
      <c r="H394" s="2" t="inlineStr">
        <is>
          <t>extract</t>
        </is>
      </c>
    </row>
    <row r="395">
      <c r="A395" s="2" t="inlineStr">
        <is>
          <t>Cash Flow</t>
        </is>
      </c>
      <c r="B395" s="2" t="n">
        <v>66</v>
      </c>
      <c r="C395" s="2" t="inlineStr">
        <is>
          <t>B66</t>
        </is>
      </c>
      <c r="D395" s="2" t="inlineStr">
        <is>
          <t>Cash Flows from Invest Activities</t>
        </is>
      </c>
      <c r="E395" s="2" t="inlineStr">
        <is>
          <t>cf_investing__cash_flows_from_invest_activities</t>
        </is>
      </c>
      <c r="F395" s="2">
        <f>SUM(B46:B65)</f>
        <v/>
      </c>
      <c r="G395" s="2" t="inlineStr">
        <is>
          <t>formula</t>
        </is>
      </c>
      <c r="H395" s="2" t="inlineStr">
        <is>
          <t>derive</t>
        </is>
      </c>
    </row>
    <row r="396">
      <c r="A396" s="2" t="inlineStr">
        <is>
          <t>Cash Flow</t>
        </is>
      </c>
      <c r="B396" s="2" t="n">
        <v>68</v>
      </c>
      <c r="C396" s="2" t="inlineStr">
        <is>
          <t>B68</t>
        </is>
      </c>
      <c r="D396" s="2" t="inlineStr">
        <is>
          <t>Net Proceeds Issuance of Capital</t>
        </is>
      </c>
      <c r="E396" s="2" t="inlineStr">
        <is>
          <t>cf_financing__net_proceeds_issuance_of_capital</t>
        </is>
      </c>
      <c r="F396" s="2" t="inlineStr">
        <is>
          <t>43</t>
        </is>
      </c>
      <c r="G396" s="2" t="inlineStr">
        <is>
          <t>reported_input</t>
        </is>
      </c>
      <c r="H396" s="2" t="inlineStr">
        <is>
          <t>extract</t>
        </is>
      </c>
    </row>
    <row r="397">
      <c r="A397" s="2" t="inlineStr">
        <is>
          <t>Cash Flow</t>
        </is>
      </c>
      <c r="B397" s="2" t="n">
        <v>69</v>
      </c>
      <c r="C397" s="2" t="inlineStr">
        <is>
          <t>B69</t>
        </is>
      </c>
      <c r="D397" s="2" t="inlineStr">
        <is>
          <t>Purchase(Sale) Treasury Stock</t>
        </is>
      </c>
      <c r="E397" s="2" t="inlineStr">
        <is>
          <t>cf_financing__purchase_sale_treasury_stock</t>
        </is>
      </c>
      <c r="F397" s="2" t="inlineStr">
        <is>
          <t>-17</t>
        </is>
      </c>
      <c r="G397" s="2" t="inlineStr">
        <is>
          <t>reported_input</t>
        </is>
      </c>
      <c r="H397" s="2" t="inlineStr">
        <is>
          <t>extract</t>
        </is>
      </c>
    </row>
    <row r="398">
      <c r="A398" s="2" t="inlineStr">
        <is>
          <t>Cash Flow</t>
        </is>
      </c>
      <c r="B398" s="2" t="n">
        <v>70</v>
      </c>
      <c r="C398" s="2" t="inlineStr">
        <is>
          <t>B70</t>
        </is>
      </c>
      <c r="D398" s="2" t="inlineStr">
        <is>
          <t>Proceeds Non-Cur Borrowings</t>
        </is>
      </c>
      <c r="E398" s="2" t="inlineStr">
        <is>
          <t>cf_financing__proceeds_non_cur_borrowings</t>
        </is>
      </c>
      <c r="F398" s="2" t="inlineStr">
        <is>
          <t>34</t>
        </is>
      </c>
      <c r="G398" s="2" t="inlineStr">
        <is>
          <t>reported_input</t>
        </is>
      </c>
      <c r="H398" s="2" t="inlineStr">
        <is>
          <t>extract</t>
        </is>
      </c>
    </row>
    <row r="399">
      <c r="A399" s="2" t="inlineStr">
        <is>
          <t>Cash Flow</t>
        </is>
      </c>
      <c r="B399" s="2" t="n">
        <v>71</v>
      </c>
      <c r="C399" s="2" t="inlineStr">
        <is>
          <t>B71</t>
        </is>
      </c>
      <c r="D399" s="2" t="inlineStr">
        <is>
          <t>Issue Costs Non-Cur Borrowings</t>
        </is>
      </c>
      <c r="E399" s="2" t="inlineStr">
        <is>
          <t>cf_financing__issue_costs_non_cur_borrowings</t>
        </is>
      </c>
      <c r="F399" s="2" t="inlineStr">
        <is>
          <t>8</t>
        </is>
      </c>
      <c r="G399" s="2" t="inlineStr">
        <is>
          <t>reported_input</t>
        </is>
      </c>
      <c r="H399" s="2" t="inlineStr">
        <is>
          <t>extract</t>
        </is>
      </c>
    </row>
    <row r="400">
      <c r="A400" s="2" t="inlineStr">
        <is>
          <t>Cash Flow</t>
        </is>
      </c>
      <c r="B400" s="2" t="n">
        <v>72</v>
      </c>
      <c r="C400" s="2" t="inlineStr">
        <is>
          <t>B72</t>
        </is>
      </c>
      <c r="D400" s="2" t="inlineStr">
        <is>
          <t>Repayments Non-Cur Borrowings</t>
        </is>
      </c>
      <c r="E400" s="2" t="inlineStr">
        <is>
          <t>cf_financing__repayments_non_cur_borrowings</t>
        </is>
      </c>
      <c r="F400" s="2" t="inlineStr">
        <is>
          <t>-25</t>
        </is>
      </c>
      <c r="G400" s="2" t="inlineStr">
        <is>
          <t>reported_input</t>
        </is>
      </c>
      <c r="H400" s="2" t="inlineStr">
        <is>
          <t>extract</t>
        </is>
      </c>
    </row>
    <row r="401">
      <c r="A401" s="2" t="inlineStr">
        <is>
          <t>Cash Flow</t>
        </is>
      </c>
      <c r="B401" s="2" t="n">
        <v>73</v>
      </c>
      <c r="C401" s="2" t="inlineStr">
        <is>
          <t>B73</t>
        </is>
      </c>
      <c r="D401" s="2" t="inlineStr">
        <is>
          <t>Chg in Current Borrowings</t>
        </is>
      </c>
      <c r="E401" s="2" t="inlineStr">
        <is>
          <t>cf_financing__chg_in_current_borrowings</t>
        </is>
      </c>
      <c r="F401" s="2" t="inlineStr">
        <is>
          <t>42</t>
        </is>
      </c>
      <c r="G401" s="2" t="inlineStr">
        <is>
          <t>reported_input</t>
        </is>
      </c>
      <c r="H401" s="2" t="inlineStr">
        <is>
          <t>extract</t>
        </is>
      </c>
    </row>
    <row r="402">
      <c r="A402" s="2" t="inlineStr">
        <is>
          <t>Cash Flow</t>
        </is>
      </c>
      <c r="B402" s="2" t="n">
        <v>74</v>
      </c>
      <c r="C402" s="2" t="inlineStr">
        <is>
          <t>B74</t>
        </is>
      </c>
      <c r="D402" s="2" t="inlineStr">
        <is>
          <t>Interest Paid(Fin)</t>
        </is>
      </c>
      <c r="E402" s="2" t="inlineStr">
        <is>
          <t>cf_financing__interest_paid_fin</t>
        </is>
      </c>
      <c r="F402" s="2" t="inlineStr">
        <is>
          <t>16</t>
        </is>
      </c>
      <c r="G402" s="2" t="inlineStr">
        <is>
          <t>reported_input</t>
        </is>
      </c>
      <c r="H402" s="2" t="inlineStr">
        <is>
          <t>extract</t>
        </is>
      </c>
    </row>
    <row r="403">
      <c r="A403" s="2" t="inlineStr">
        <is>
          <t>Cash Flow</t>
        </is>
      </c>
      <c r="B403" s="2" t="n">
        <v>75</v>
      </c>
      <c r="C403" s="2" t="inlineStr">
        <is>
          <t>B75</t>
        </is>
      </c>
      <c r="D403" s="2" t="inlineStr">
        <is>
          <t>Translation Adj Relating to Cash</t>
        </is>
      </c>
      <c r="E403" s="2" t="inlineStr">
        <is>
          <t>cf_financing__translation_adj_relating_to_cash</t>
        </is>
      </c>
      <c r="F403" s="2" t="inlineStr">
        <is>
          <t>-33</t>
        </is>
      </c>
      <c r="G403" s="2" t="inlineStr">
        <is>
          <t>reported_input</t>
        </is>
      </c>
      <c r="H403" s="2" t="inlineStr">
        <is>
          <t>extract</t>
        </is>
      </c>
    </row>
    <row r="404">
      <c r="A404" s="2" t="inlineStr">
        <is>
          <t>Cash Flow</t>
        </is>
      </c>
      <c r="B404" s="2" t="n">
        <v>76</v>
      </c>
      <c r="C404" s="2" t="inlineStr">
        <is>
          <t>B76</t>
        </is>
      </c>
      <c r="D404" s="2" t="inlineStr">
        <is>
          <t>Cash Flow Extraord Items(Fin)</t>
        </is>
      </c>
      <c r="E404" s="2" t="inlineStr">
        <is>
          <t>cf_financing__cash_flow_extraord_items_fin</t>
        </is>
      </c>
      <c r="F404" s="2" t="inlineStr">
        <is>
          <t>7</t>
        </is>
      </c>
      <c r="G404" s="2" t="inlineStr">
        <is>
          <t>reported_input</t>
        </is>
      </c>
      <c r="H404" s="2" t="inlineStr">
        <is>
          <t>extract</t>
        </is>
      </c>
    </row>
    <row r="405">
      <c r="A405" s="2" t="inlineStr">
        <is>
          <t>Cash Flow</t>
        </is>
      </c>
      <c r="B405" s="2" t="n">
        <v>77</v>
      </c>
      <c r="C405" s="2" t="inlineStr">
        <is>
          <t>B77</t>
        </is>
      </c>
      <c r="D405" s="2" t="inlineStr">
        <is>
          <t>Cash Flow from Hedging(Fin)</t>
        </is>
      </c>
      <c r="E405" s="2" t="inlineStr">
        <is>
          <t>cf_financing__cash_flow_from_hedging_fin</t>
        </is>
      </c>
      <c r="F405" s="2" t="inlineStr">
        <is>
          <t>24</t>
        </is>
      </c>
      <c r="G405" s="2" t="inlineStr">
        <is>
          <t>reported_input</t>
        </is>
      </c>
      <c r="H405" s="2" t="inlineStr">
        <is>
          <t>extract</t>
        </is>
      </c>
    </row>
    <row r="406">
      <c r="A406" s="2" t="inlineStr">
        <is>
          <t>Cash Flow</t>
        </is>
      </c>
      <c r="B406" s="2" t="n">
        <v>78</v>
      </c>
      <c r="C406" s="2" t="inlineStr">
        <is>
          <t>B78</t>
        </is>
      </c>
      <c r="D406" s="2" t="inlineStr">
        <is>
          <t>Dividends Paid(Fin)</t>
        </is>
      </c>
      <c r="E406" s="2" t="inlineStr">
        <is>
          <t>cf_financing__dividends_paid_fin</t>
        </is>
      </c>
      <c r="F406" s="2" t="inlineStr">
        <is>
          <t>-41</t>
        </is>
      </c>
      <c r="G406" s="2" t="inlineStr">
        <is>
          <t>reported_input</t>
        </is>
      </c>
      <c r="H406" s="2" t="inlineStr">
        <is>
          <t>extract</t>
        </is>
      </c>
    </row>
    <row r="407">
      <c r="A407" s="2" t="inlineStr">
        <is>
          <t>Cash Flow</t>
        </is>
      </c>
      <c r="B407" s="2" t="n">
        <v>79</v>
      </c>
      <c r="C407" s="2" t="inlineStr">
        <is>
          <t>B79</t>
        </is>
      </c>
      <c r="D407" s="2" t="inlineStr">
        <is>
          <t>Dvds Paid(Minority S'holders)</t>
        </is>
      </c>
      <c r="E407" s="2" t="inlineStr">
        <is>
          <t>cf_financing__dvds_paid_minority_sholders</t>
        </is>
      </c>
      <c r="F407" s="2" t="inlineStr">
        <is>
          <t>15</t>
        </is>
      </c>
      <c r="G407" s="2" t="inlineStr">
        <is>
          <t>reported_input</t>
        </is>
      </c>
      <c r="H407" s="2" t="inlineStr">
        <is>
          <t>extract</t>
        </is>
      </c>
    </row>
    <row r="408">
      <c r="A408" s="2" t="inlineStr">
        <is>
          <t>Cash Flow</t>
        </is>
      </c>
      <c r="B408" s="2" t="n">
        <v>80</v>
      </c>
      <c r="C408" s="2" t="inlineStr">
        <is>
          <t>B80</t>
        </is>
      </c>
      <c r="D408" s="2" t="inlineStr">
        <is>
          <t>Other Financing Cash Flows</t>
        </is>
      </c>
      <c r="E408" s="2" t="inlineStr">
        <is>
          <t>cf_financing__other_financing_cash_flows</t>
        </is>
      </c>
      <c r="F408" s="2" t="inlineStr">
        <is>
          <t>32</t>
        </is>
      </c>
      <c r="G408" s="2" t="inlineStr">
        <is>
          <t>reported_input</t>
        </is>
      </c>
      <c r="H408" s="2" t="inlineStr">
        <is>
          <t>extract</t>
        </is>
      </c>
    </row>
    <row r="409">
      <c r="A409" s="2" t="inlineStr">
        <is>
          <t>Cash Flow</t>
        </is>
      </c>
      <c r="B409" s="2" t="n">
        <v>81</v>
      </c>
      <c r="C409" s="2" t="inlineStr">
        <is>
          <t>B81</t>
        </is>
      </c>
      <c r="D409" s="2" t="inlineStr">
        <is>
          <t>Cash Flows from Finance Activities</t>
        </is>
      </c>
      <c r="E409" s="2" t="inlineStr">
        <is>
          <t>cf_financing__cash_flows_from_finance_activities</t>
        </is>
      </c>
      <c r="F409" s="2">
        <f>SUM(B68:B80)</f>
        <v/>
      </c>
      <c r="G409" s="2" t="inlineStr">
        <is>
          <t>formula</t>
        </is>
      </c>
      <c r="H409" s="2" t="inlineStr">
        <is>
          <t>derive</t>
        </is>
      </c>
    </row>
    <row r="410">
      <c r="A410" s="2" t="inlineStr">
        <is>
          <t>Cash Flow</t>
        </is>
      </c>
      <c r="B410" s="2" t="n">
        <v>82</v>
      </c>
      <c r="C410" s="2" t="inlineStr">
        <is>
          <t>B82</t>
        </is>
      </c>
      <c r="D410" s="2" t="inlineStr">
        <is>
          <t>Net Foreign Exchange Difference</t>
        </is>
      </c>
      <c r="E410" s="2" t="inlineStr">
        <is>
          <t>cf_financing__net_foreign_exchange_difference</t>
        </is>
      </c>
      <c r="F410" s="2" t="inlineStr">
        <is>
          <t>23</t>
        </is>
      </c>
      <c r="G410" s="2" t="inlineStr">
        <is>
          <t>reported_input</t>
        </is>
      </c>
      <c r="H410" s="2" t="inlineStr">
        <is>
          <t>extract</t>
        </is>
      </c>
    </row>
    <row r="411">
      <c r="A411" s="2" t="inlineStr">
        <is>
          <t>Cash Flow</t>
        </is>
      </c>
      <c r="B411" s="2" t="n">
        <v>83</v>
      </c>
      <c r="C411" s="2" t="inlineStr">
        <is>
          <t>B83</t>
        </is>
      </c>
      <c r="D411" s="2" t="inlineStr">
        <is>
          <t>Beg of Period-Cash &amp; Cash Equiv</t>
        </is>
      </c>
      <c r="E411" s="2" t="inlineStr">
        <is>
          <t>cf_financing__beg_of_period_cash_and_cash_equiv</t>
        </is>
      </c>
      <c r="F411" s="2" t="inlineStr">
        <is>
          <t>500</t>
        </is>
      </c>
      <c r="G411" s="2" t="inlineStr">
        <is>
          <t>reported_input</t>
        </is>
      </c>
      <c r="H411" s="2" t="inlineStr">
        <is>
          <t>extract</t>
        </is>
      </c>
    </row>
    <row r="412">
      <c r="A412" s="2" t="inlineStr">
        <is>
          <t>Cash Flow</t>
        </is>
      </c>
      <c r="B412" s="2" t="n">
        <v>84</v>
      </c>
      <c r="C412" s="2" t="inlineStr">
        <is>
          <t>B84</t>
        </is>
      </c>
      <c r="D412" s="2" t="inlineStr">
        <is>
          <t>End of Period-Cash &amp; Cash Equiv</t>
        </is>
      </c>
      <c r="E412" s="2" t="inlineStr">
        <is>
          <t>cf_financing__end_of_period_cash_and_cash_equiv</t>
        </is>
      </c>
      <c r="F412" s="2">
        <f>B83+B37+B66+B81+B82</f>
        <v/>
      </c>
      <c r="G412" s="2" t="inlineStr">
        <is>
          <t>formula</t>
        </is>
      </c>
      <c r="H412" s="2" t="inlineStr">
        <is>
          <t>derive</t>
        </is>
      </c>
    </row>
    <row r="413">
      <c r="A413" s="2" t="inlineStr">
        <is>
          <t>Cash Flow</t>
        </is>
      </c>
      <c r="B413" s="2" t="n">
        <v>85</v>
      </c>
      <c r="C413" s="2" t="inlineStr">
        <is>
          <t>B85</t>
        </is>
      </c>
      <c r="D413" s="2" t="inlineStr">
        <is>
          <t>Unexplained Adjustment to Cash</t>
        </is>
      </c>
      <c r="E413" s="2" t="inlineStr">
        <is>
          <t>cf_financing__unexplained_adjustment_to_cash</t>
        </is>
      </c>
      <c r="F413" s="2">
        <f>B84-B83-B37-B66-B81-B82</f>
        <v/>
      </c>
      <c r="G413" s="2" t="inlineStr">
        <is>
          <t>formula</t>
        </is>
      </c>
      <c r="H413" s="2" t="inlineStr">
        <is>
          <t>derive</t>
        </is>
      </c>
    </row>
    <row r="414">
      <c r="A414" s="2" t="inlineStr">
        <is>
          <t>Covenants &amp; Supplemental</t>
        </is>
      </c>
      <c r="B414" s="2" t="n">
        <v>6</v>
      </c>
      <c r="C414" s="2" t="inlineStr">
        <is>
          <t>B6</t>
        </is>
      </c>
      <c r="D414" s="2" t="inlineStr">
        <is>
          <t>Exchange Rate(Period End)</t>
        </is>
      </c>
      <c r="E414" s="2" t="inlineStr">
        <is>
          <t>supplemental_data__exchange_rate_period_end</t>
        </is>
      </c>
      <c r="F414" s="2" t="inlineStr">
        <is>
          <t>1</t>
        </is>
      </c>
      <c r="G414" s="2" t="inlineStr">
        <is>
          <t>reported_input</t>
        </is>
      </c>
      <c r="H414" s="2" t="inlineStr">
        <is>
          <t>extract</t>
        </is>
      </c>
    </row>
    <row r="415">
      <c r="A415" s="2" t="inlineStr">
        <is>
          <t>Covenants &amp; Supplemental</t>
        </is>
      </c>
      <c r="B415" s="2" t="n">
        <v>7</v>
      </c>
      <c r="C415" s="2" t="inlineStr">
        <is>
          <t>B7</t>
        </is>
      </c>
      <c r="D415" s="2" t="inlineStr">
        <is>
          <t>Exchange Rate(Period Average)</t>
        </is>
      </c>
      <c r="E415" s="2" t="inlineStr">
        <is>
          <t>supplemental_data__exchange_rate_period_average</t>
        </is>
      </c>
      <c r="F415" s="2" t="inlineStr">
        <is>
          <t>1</t>
        </is>
      </c>
      <c r="G415" s="2" t="inlineStr">
        <is>
          <t>reported_input</t>
        </is>
      </c>
      <c r="H415" s="2" t="inlineStr">
        <is>
          <t>extract</t>
        </is>
      </c>
    </row>
    <row r="416">
      <c r="A416" s="2" t="inlineStr">
        <is>
          <t>Covenants &amp; Supplemental</t>
        </is>
      </c>
      <c r="B416" s="2" t="n">
        <v>8</v>
      </c>
      <c r="C416" s="2" t="inlineStr">
        <is>
          <t>B8</t>
        </is>
      </c>
      <c r="D416" s="2" t="inlineStr">
        <is>
          <t>Num Outstanding Common Shares</t>
        </is>
      </c>
      <c r="E416" s="2" t="inlineStr">
        <is>
          <t>supplemental_data__num_outstanding_common_shares</t>
        </is>
      </c>
      <c r="F416" s="2" t="inlineStr">
        <is>
          <t>100000</t>
        </is>
      </c>
      <c r="G416" s="2" t="inlineStr">
        <is>
          <t>reported_input</t>
        </is>
      </c>
      <c r="H416" s="2" t="inlineStr">
        <is>
          <t>extract</t>
        </is>
      </c>
    </row>
    <row r="417">
      <c r="A417" s="2" t="inlineStr">
        <is>
          <t>Covenants &amp; Supplemental</t>
        </is>
      </c>
      <c r="B417" s="2" t="n">
        <v>9</v>
      </c>
      <c r="C417" s="2" t="inlineStr">
        <is>
          <t>B9</t>
        </is>
      </c>
      <c r="D417" s="2" t="inlineStr">
        <is>
          <t>Num Outstanding Preferred Shares</t>
        </is>
      </c>
      <c r="E417" s="2" t="inlineStr">
        <is>
          <t>supplemental_data__num_outstanding_preferred_shares</t>
        </is>
      </c>
      <c r="F417" s="2" t="inlineStr">
        <is>
          <t>0</t>
        </is>
      </c>
      <c r="G417" s="2" t="inlineStr">
        <is>
          <t>reported_input</t>
        </is>
      </c>
      <c r="H417" s="2" t="inlineStr">
        <is>
          <t>extract</t>
        </is>
      </c>
    </row>
    <row r="418">
      <c r="A418" s="2" t="inlineStr">
        <is>
          <t>Covenants &amp; Supplemental</t>
        </is>
      </c>
      <c r="B418" s="2" t="n">
        <v>10</v>
      </c>
      <c r="C418" s="2" t="inlineStr">
        <is>
          <t>B10</t>
        </is>
      </c>
      <c r="D418" s="2" t="inlineStr">
        <is>
          <t>Num Employees</t>
        </is>
      </c>
      <c r="E418" s="2" t="inlineStr">
        <is>
          <t>supplemental_data__num_employees</t>
        </is>
      </c>
      <c r="F418" s="2" t="inlineStr">
        <is>
          <t>250</t>
        </is>
      </c>
      <c r="G418" s="2" t="inlineStr">
        <is>
          <t>reported_input</t>
        </is>
      </c>
      <c r="H418" s="2" t="inlineStr">
        <is>
          <t>extract</t>
        </is>
      </c>
    </row>
    <row r="419">
      <c r="A419" s="2" t="inlineStr">
        <is>
          <t>Covenants &amp; Supplemental</t>
        </is>
      </c>
      <c r="B419" s="2" t="n">
        <v>11</v>
      </c>
      <c r="C419" s="2" t="inlineStr">
        <is>
          <t>B11</t>
        </is>
      </c>
      <c r="D419" s="2" t="inlineStr">
        <is>
          <t>Gross Premium Written*Insur. Co. Only</t>
        </is>
      </c>
      <c r="E419" s="2" t="inlineStr">
        <is>
          <t>supplemental_data__gross_premium_written_insur_co_only</t>
        </is>
      </c>
      <c r="F419" s="2" t="inlineStr">
        <is>
          <t>16</t>
        </is>
      </c>
      <c r="G419" s="2" t="inlineStr">
        <is>
          <t>reported_input</t>
        </is>
      </c>
      <c r="H419" s="2" t="inlineStr">
        <is>
          <t>extract</t>
        </is>
      </c>
    </row>
    <row r="420">
      <c r="A420" s="2" t="inlineStr">
        <is>
          <t>Covenants &amp; Supplemental</t>
        </is>
      </c>
      <c r="B420" s="2" t="n">
        <v>12</v>
      </c>
      <c r="C420" s="2" t="inlineStr">
        <is>
          <t>B12</t>
        </is>
      </c>
      <c r="D420" s="2" t="inlineStr">
        <is>
          <t>Gross Premium Written - life*Insur. Co. Only</t>
        </is>
      </c>
      <c r="E420" s="2" t="inlineStr">
        <is>
          <t>supplemental_data__gross_premium_written_life_insur_co_only</t>
        </is>
      </c>
      <c r="F420" s="2" t="inlineStr">
        <is>
          <t>33</t>
        </is>
      </c>
      <c r="G420" s="2" t="inlineStr">
        <is>
          <t>reported_input</t>
        </is>
      </c>
      <c r="H420" s="2" t="inlineStr">
        <is>
          <t>extract</t>
        </is>
      </c>
    </row>
    <row r="421">
      <c r="A421" s="2" t="inlineStr">
        <is>
          <t>Covenants &amp; Supplemental</t>
        </is>
      </c>
      <c r="B421" s="2" t="n">
        <v>13</v>
      </c>
      <c r="C421" s="2" t="inlineStr">
        <is>
          <t>B13</t>
        </is>
      </c>
      <c r="D421" s="2" t="inlineStr">
        <is>
          <t>Gross Premium Written - Non-life*Insur. Co. Only</t>
        </is>
      </c>
      <c r="E421" s="2" t="inlineStr">
        <is>
          <t>supplemental_data__gross_premium_written_non_life_insur_co_only</t>
        </is>
      </c>
      <c r="F421" s="2" t="inlineStr">
        <is>
          <t>7</t>
        </is>
      </c>
      <c r="G421" s="2" t="inlineStr">
        <is>
          <t>reported_input</t>
        </is>
      </c>
      <c r="H421" s="2" t="inlineStr">
        <is>
          <t>extract</t>
        </is>
      </c>
    </row>
    <row r="422">
      <c r="A422" s="2" t="inlineStr">
        <is>
          <t>Covenants &amp; Supplemental</t>
        </is>
      </c>
      <c r="B422" s="2" t="n">
        <v>14</v>
      </c>
      <c r="C422" s="2" t="inlineStr">
        <is>
          <t>B14</t>
        </is>
      </c>
      <c r="D422" s="2" t="inlineStr">
        <is>
          <t>Net Premium Written*Insur. Co. Only</t>
        </is>
      </c>
      <c r="E422" s="2" t="inlineStr">
        <is>
          <t>supplemental_data__net_premium_written_insur_co_only</t>
        </is>
      </c>
      <c r="F422" s="2" t="inlineStr">
        <is>
          <t>24</t>
        </is>
      </c>
      <c r="G422" s="2" t="inlineStr">
        <is>
          <t>reported_input</t>
        </is>
      </c>
      <c r="H422" s="2" t="inlineStr">
        <is>
          <t>extract</t>
        </is>
      </c>
    </row>
    <row r="423">
      <c r="A423" s="2" t="inlineStr">
        <is>
          <t>Covenants &amp; Supplemental</t>
        </is>
      </c>
      <c r="B423" s="2" t="n">
        <v>15</v>
      </c>
      <c r="C423" s="2" t="inlineStr">
        <is>
          <t>B15</t>
        </is>
      </c>
      <c r="D423" s="2" t="inlineStr">
        <is>
          <t>Net Investment Income*Insur. Co. Only</t>
        </is>
      </c>
      <c r="E423" s="2" t="inlineStr">
        <is>
          <t>supplemental_data__net_investment_income_insur_co_only</t>
        </is>
      </c>
      <c r="F423" s="2" t="inlineStr">
        <is>
          <t>41</t>
        </is>
      </c>
      <c r="G423" s="2" t="inlineStr">
        <is>
          <t>reported_input</t>
        </is>
      </c>
      <c r="H423" s="2" t="inlineStr">
        <is>
          <t>extract</t>
        </is>
      </c>
    </row>
    <row r="424">
      <c r="A424" s="2" t="inlineStr">
        <is>
          <t>Covenants &amp; Supplemental</t>
        </is>
      </c>
      <c r="B424" s="2" t="n">
        <v>16</v>
      </c>
      <c r="C424" s="2" t="inlineStr">
        <is>
          <t>B16</t>
        </is>
      </c>
      <c r="D424" s="2" t="inlineStr">
        <is>
          <t>Net Technical Reserve(Equity side)*Insur. Co. Only</t>
        </is>
      </c>
      <c r="E424" s="2" t="inlineStr">
        <is>
          <t>supplemental_data__net_technical_reserve_equity_side_insur_co_only</t>
        </is>
      </c>
      <c r="F424" s="2" t="inlineStr">
        <is>
          <t>15</t>
        </is>
      </c>
      <c r="G424" s="2" t="inlineStr">
        <is>
          <t>reported_input</t>
        </is>
      </c>
      <c r="H424" s="2" t="inlineStr">
        <is>
          <t>extract</t>
        </is>
      </c>
    </row>
    <row r="425">
      <c r="A425" s="2" t="inlineStr">
        <is>
          <t>Covenants &amp; Supplemental</t>
        </is>
      </c>
      <c r="B425" s="2" t="n">
        <v>17</v>
      </c>
      <c r="C425" s="2" t="inlineStr">
        <is>
          <t>B17</t>
        </is>
      </c>
      <c r="D425" s="2" t="inlineStr">
        <is>
          <t>Net Technical Reserve(Liab. side)*Insur. Co. Only</t>
        </is>
      </c>
      <c r="E425" s="2" t="inlineStr">
        <is>
          <t>supplemental_data__net_technical_reserve_liab_side_insur_co_only</t>
        </is>
      </c>
      <c r="F425" s="2" t="inlineStr">
        <is>
          <t>32</t>
        </is>
      </c>
      <c r="G425" s="2" t="inlineStr">
        <is>
          <t>reported_input</t>
        </is>
      </c>
      <c r="H425" s="2" t="inlineStr">
        <is>
          <t>extract</t>
        </is>
      </c>
    </row>
    <row r="426">
      <c r="A426" s="2" t="inlineStr">
        <is>
          <t>Covenants &amp; Supplemental</t>
        </is>
      </c>
      <c r="B426" s="2" t="n">
        <v>19</v>
      </c>
      <c r="C426" s="2" t="inlineStr">
        <is>
          <t>B19</t>
        </is>
      </c>
      <c r="D426" s="2" t="inlineStr">
        <is>
          <t>Off Balance Sheet Assets</t>
        </is>
      </c>
      <c r="E426" s="2" t="inlineStr">
        <is>
          <t>off_balance_sheet__off_balance_sheet_assets</t>
        </is>
      </c>
      <c r="F426" s="2" t="inlineStr">
        <is>
          <t>23</t>
        </is>
      </c>
      <c r="G426" s="2" t="inlineStr">
        <is>
          <t>reported_input</t>
        </is>
      </c>
      <c r="H426" s="2" t="inlineStr">
        <is>
          <t>extract</t>
        </is>
      </c>
    </row>
    <row r="427">
      <c r="A427" s="2" t="inlineStr">
        <is>
          <t>Covenants &amp; Supplemental</t>
        </is>
      </c>
      <c r="B427" s="2" t="n">
        <v>20</v>
      </c>
      <c r="C427" s="2" t="inlineStr">
        <is>
          <t>B20</t>
        </is>
      </c>
      <c r="D427" s="2" t="inlineStr">
        <is>
          <t>Operating Lease Commitments</t>
        </is>
      </c>
      <c r="E427" s="2" t="inlineStr">
        <is>
          <t>off_balance_sheet__operating_lease_commitments</t>
        </is>
      </c>
      <c r="F427" s="2" t="inlineStr">
        <is>
          <t>40</t>
        </is>
      </c>
      <c r="G427" s="2" t="inlineStr">
        <is>
          <t>reported_input</t>
        </is>
      </c>
      <c r="H427" s="2" t="inlineStr">
        <is>
          <t>extract</t>
        </is>
      </c>
    </row>
    <row r="428">
      <c r="A428" s="2" t="inlineStr">
        <is>
          <t>Covenants &amp; Supplemental</t>
        </is>
      </c>
      <c r="B428" s="2" t="n">
        <v>21</v>
      </c>
      <c r="C428" s="2" t="inlineStr">
        <is>
          <t>B21</t>
        </is>
      </c>
      <c r="D428" s="2" t="inlineStr">
        <is>
          <t>Off Balance Sheet Liabilities</t>
        </is>
      </c>
      <c r="E428" s="2" t="inlineStr">
        <is>
          <t>off_balance_sheet__off_balance_sheet_liabilities</t>
        </is>
      </c>
      <c r="F428" s="2" t="inlineStr">
        <is>
          <t>14</t>
        </is>
      </c>
      <c r="G428" s="2" t="inlineStr">
        <is>
          <t>reported_input</t>
        </is>
      </c>
      <c r="H428" s="2" t="inlineStr">
        <is>
          <t>extract</t>
        </is>
      </c>
    </row>
    <row r="429">
      <c r="A429" s="2" t="inlineStr">
        <is>
          <t>Covenants &amp; Supplemental</t>
        </is>
      </c>
      <c r="B429" s="2" t="n">
        <v>23</v>
      </c>
      <c r="C429" s="2" t="inlineStr">
        <is>
          <t>B23</t>
        </is>
      </c>
      <c r="D429" s="2" t="inlineStr">
        <is>
          <t>Min Working Capital</t>
        </is>
      </c>
      <c r="E429" s="2" t="inlineStr">
        <is>
          <t>credit_compliance__min_working_capital</t>
        </is>
      </c>
      <c r="F429" s="2" t="inlineStr">
        <is>
          <t>5</t>
        </is>
      </c>
      <c r="G429" s="2" t="inlineStr">
        <is>
          <t>reported_input</t>
        </is>
      </c>
      <c r="H429" s="2" t="inlineStr">
        <is>
          <t>extract</t>
        </is>
      </c>
    </row>
    <row r="430">
      <c r="A430" s="2" t="inlineStr">
        <is>
          <t>Covenants &amp; Supplemental</t>
        </is>
      </c>
      <c r="B430" s="2" t="n">
        <v>24</v>
      </c>
      <c r="C430" s="2" t="inlineStr">
        <is>
          <t>B24</t>
        </is>
      </c>
      <c r="D430" s="2" t="inlineStr">
        <is>
          <t>Min Current Ratio</t>
        </is>
      </c>
      <c r="E430" s="2" t="inlineStr">
        <is>
          <t>credit_compliance__min_current_ratio</t>
        </is>
      </c>
      <c r="F430" s="2" t="inlineStr">
        <is>
          <t>22</t>
        </is>
      </c>
      <c r="G430" s="2" t="inlineStr">
        <is>
          <t>reported_input</t>
        </is>
      </c>
      <c r="H430" s="2" t="inlineStr">
        <is>
          <t>extract</t>
        </is>
      </c>
    </row>
    <row r="431">
      <c r="A431" s="2" t="inlineStr">
        <is>
          <t>Covenants &amp; Supplemental</t>
        </is>
      </c>
      <c r="B431" s="2" t="n">
        <v>25</v>
      </c>
      <c r="C431" s="2" t="inlineStr">
        <is>
          <t>B25</t>
        </is>
      </c>
      <c r="D431" s="2" t="inlineStr">
        <is>
          <t>Min Quick Ratio</t>
        </is>
      </c>
      <c r="E431" s="2" t="inlineStr">
        <is>
          <t>credit_compliance__min_quick_ratio</t>
        </is>
      </c>
      <c r="F431" s="2" t="inlineStr">
        <is>
          <t>39</t>
        </is>
      </c>
      <c r="G431" s="2" t="inlineStr">
        <is>
          <t>reported_input</t>
        </is>
      </c>
      <c r="H431" s="2" t="inlineStr">
        <is>
          <t>extract</t>
        </is>
      </c>
    </row>
    <row r="432">
      <c r="A432" s="2" t="inlineStr">
        <is>
          <t>Covenants &amp; Supplemental</t>
        </is>
      </c>
      <c r="B432" s="2" t="n">
        <v>26</v>
      </c>
      <c r="C432" s="2" t="inlineStr">
        <is>
          <t>B26</t>
        </is>
      </c>
      <c r="D432" s="2" t="inlineStr">
        <is>
          <t>Max Debt to Tangible Worth</t>
        </is>
      </c>
      <c r="E432" s="2" t="inlineStr">
        <is>
          <t>credit_compliance__max_debt_to_tangible_worth</t>
        </is>
      </c>
      <c r="F432" s="2" t="inlineStr">
        <is>
          <t>13</t>
        </is>
      </c>
      <c r="G432" s="2" t="inlineStr">
        <is>
          <t>reported_input</t>
        </is>
      </c>
      <c r="H432" s="2" t="inlineStr">
        <is>
          <t>extract</t>
        </is>
      </c>
    </row>
    <row r="433">
      <c r="A433" s="2" t="inlineStr">
        <is>
          <t>Covenants &amp; Supplemental</t>
        </is>
      </c>
      <c r="B433" s="2" t="n">
        <v>27</v>
      </c>
      <c r="C433" s="2" t="inlineStr">
        <is>
          <t>B27</t>
        </is>
      </c>
      <c r="D433" s="2" t="inlineStr">
        <is>
          <t>Min Interest Coverage</t>
        </is>
      </c>
      <c r="E433" s="2" t="inlineStr">
        <is>
          <t>credit_compliance__min_interest_coverage</t>
        </is>
      </c>
      <c r="F433" s="2" t="inlineStr">
        <is>
          <t>30</t>
        </is>
      </c>
      <c r="G433" s="2" t="inlineStr">
        <is>
          <t>reported_input</t>
        </is>
      </c>
      <c r="H433" s="2" t="inlineStr">
        <is>
          <t>extract</t>
        </is>
      </c>
    </row>
    <row r="434">
      <c r="A434" s="2" t="inlineStr">
        <is>
          <t>Covenants &amp; Supplemental</t>
        </is>
      </c>
      <c r="B434" s="2" t="n">
        <v>28</v>
      </c>
      <c r="C434" s="2" t="inlineStr">
        <is>
          <t>B28</t>
        </is>
      </c>
      <c r="D434" s="2" t="inlineStr">
        <is>
          <t>Min Earnings Coverage</t>
        </is>
      </c>
      <c r="E434" s="2" t="inlineStr">
        <is>
          <t>credit_compliance__min_earnings_coverage</t>
        </is>
      </c>
      <c r="F434" s="2" t="inlineStr">
        <is>
          <t>4</t>
        </is>
      </c>
      <c r="G434" s="2" t="inlineStr">
        <is>
          <t>reported_input</t>
        </is>
      </c>
      <c r="H434" s="2" t="inlineStr">
        <is>
          <t>extract</t>
        </is>
      </c>
    </row>
    <row r="435">
      <c r="A435" s="2" t="inlineStr">
        <is>
          <t>Covenants &amp; Supplemental</t>
        </is>
      </c>
      <c r="B435" s="2" t="n">
        <v>29</v>
      </c>
      <c r="C435" s="2" t="inlineStr">
        <is>
          <t>B29</t>
        </is>
      </c>
      <c r="D435" s="2" t="inlineStr">
        <is>
          <t>Min Cash Flow Coverage</t>
        </is>
      </c>
      <c r="E435" s="2" t="inlineStr">
        <is>
          <t>credit_compliance__min_cash_flow_coverage</t>
        </is>
      </c>
      <c r="F435" s="2" t="inlineStr">
        <is>
          <t>21</t>
        </is>
      </c>
      <c r="G435" s="2" t="inlineStr">
        <is>
          <t>reported_input</t>
        </is>
      </c>
      <c r="H435" s="2" t="inlineStr">
        <is>
          <t>extract</t>
        </is>
      </c>
    </row>
    <row r="436">
      <c r="A436" s="2" t="inlineStr">
        <is>
          <t>Covenants &amp; Supplemental</t>
        </is>
      </c>
      <c r="B436" s="2" t="n">
        <v>30</v>
      </c>
      <c r="C436" s="2" t="inlineStr">
        <is>
          <t>B30</t>
        </is>
      </c>
      <c r="D436" s="2" t="inlineStr">
        <is>
          <t>Max Capital Expenditures</t>
        </is>
      </c>
      <c r="E436" s="2" t="inlineStr">
        <is>
          <t>credit_compliance__max_capital_expenditures</t>
        </is>
      </c>
      <c r="F436" s="2" t="inlineStr">
        <is>
          <t>38</t>
        </is>
      </c>
      <c r="G436" s="2" t="inlineStr">
        <is>
          <t>reported_input</t>
        </is>
      </c>
      <c r="H436" s="2" t="inlineStr">
        <is>
          <t>extract</t>
        </is>
      </c>
    </row>
    <row r="437">
      <c r="A437" s="2" t="inlineStr">
        <is>
          <t>Covenants &amp; Supplemental</t>
        </is>
      </c>
      <c r="B437" s="2" t="n">
        <v>31</v>
      </c>
      <c r="C437" s="2" t="inlineStr">
        <is>
          <t>B31</t>
        </is>
      </c>
      <c r="D437" s="2" t="inlineStr">
        <is>
          <t>Max Off Balance Sheet Leverage</t>
        </is>
      </c>
      <c r="E437" s="2" t="inlineStr">
        <is>
          <t>credit_compliance__max_off_balance_sheet_leverage</t>
        </is>
      </c>
      <c r="F437" s="2" t="inlineStr">
        <is>
          <t>12</t>
        </is>
      </c>
      <c r="G437" s="2" t="inlineStr">
        <is>
          <t>reported_input</t>
        </is>
      </c>
      <c r="H437" s="2" t="inlineStr">
        <is>
          <t>extract</t>
        </is>
      </c>
    </row>
    <row r="438">
      <c r="A438" s="2" t="inlineStr">
        <is>
          <t>Covenants &amp; Supplemental</t>
        </is>
      </c>
      <c r="B438" s="2" t="n">
        <v>32</v>
      </c>
      <c r="C438" s="2" t="inlineStr">
        <is>
          <t>B32</t>
        </is>
      </c>
      <c r="D438" s="2" t="inlineStr">
        <is>
          <t>Min Net Profit Margin</t>
        </is>
      </c>
      <c r="E438" s="2" t="inlineStr">
        <is>
          <t>credit_compliance__min_net_profit_margin</t>
        </is>
      </c>
      <c r="F438" s="2" t="inlineStr">
        <is>
          <t>29</t>
        </is>
      </c>
      <c r="G438" s="2" t="inlineStr">
        <is>
          <t>reported_input</t>
        </is>
      </c>
      <c r="H438" s="2" t="inlineStr">
        <is>
          <t>extract</t>
        </is>
      </c>
    </row>
    <row r="439">
      <c r="A439" s="2" t="inlineStr">
        <is>
          <t>Covenants &amp; Supplemental</t>
        </is>
      </c>
      <c r="B439" s="2" t="n">
        <v>33</v>
      </c>
      <c r="C439" s="2" t="inlineStr">
        <is>
          <t>B33</t>
        </is>
      </c>
      <c r="D439" s="2" t="inlineStr">
        <is>
          <t>Min Return on Assets</t>
        </is>
      </c>
      <c r="E439" s="2" t="inlineStr">
        <is>
          <t>credit_compliance__min_return_on_assets</t>
        </is>
      </c>
      <c r="F439" s="2" t="inlineStr">
        <is>
          <t>3</t>
        </is>
      </c>
      <c r="G439" s="2" t="inlineStr">
        <is>
          <t>reported_input</t>
        </is>
      </c>
      <c r="H439" s="2" t="inlineStr">
        <is>
          <t>extract</t>
        </is>
      </c>
    </row>
    <row r="440">
      <c r="A440" s="2" t="inlineStr">
        <is>
          <t>Covenants &amp; Supplemental</t>
        </is>
      </c>
      <c r="B440" s="2" t="n">
        <v>34</v>
      </c>
      <c r="C440" s="2" t="inlineStr">
        <is>
          <t>B34</t>
        </is>
      </c>
      <c r="D440" s="2" t="inlineStr">
        <is>
          <t>Min Return on Equity</t>
        </is>
      </c>
      <c r="E440" s="2" t="inlineStr">
        <is>
          <t>credit_compliance__min_return_on_equity</t>
        </is>
      </c>
      <c r="F440" s="2" t="inlineStr">
        <is>
          <t>20</t>
        </is>
      </c>
      <c r="G440" s="2" t="inlineStr">
        <is>
          <t>reported_input</t>
        </is>
      </c>
      <c r="H440" s="2" t="inlineStr">
        <is>
          <t>extract</t>
        </is>
      </c>
    </row>
    <row r="441">
      <c r="A441" s="2" t="inlineStr">
        <is>
          <t>Covenants &amp; Supplemental</t>
        </is>
      </c>
      <c r="B441" s="2" t="n">
        <v>35</v>
      </c>
      <c r="C441" s="2" t="inlineStr">
        <is>
          <t>B35</t>
        </is>
      </c>
      <c r="D441" s="2" t="inlineStr">
        <is>
          <t>Max Net Trade Receivable Days</t>
        </is>
      </c>
      <c r="E441" s="2" t="inlineStr">
        <is>
          <t>credit_compliance__max_net_trade_receivable_days</t>
        </is>
      </c>
      <c r="F441" s="2" t="inlineStr">
        <is>
          <t>37</t>
        </is>
      </c>
      <c r="G441" s="2" t="inlineStr">
        <is>
          <t>reported_input</t>
        </is>
      </c>
      <c r="H441" s="2" t="inlineStr">
        <is>
          <t>extract</t>
        </is>
      </c>
    </row>
    <row r="442">
      <c r="A442" s="2" t="inlineStr">
        <is>
          <t>Covenants &amp; Supplemental</t>
        </is>
      </c>
      <c r="B442" s="2" t="n">
        <v>36</v>
      </c>
      <c r="C442" s="2" t="inlineStr">
        <is>
          <t>B36</t>
        </is>
      </c>
      <c r="D442" s="2" t="inlineStr">
        <is>
          <t>Max Inventory Days</t>
        </is>
      </c>
      <c r="E442" s="2" t="inlineStr">
        <is>
          <t>credit_compliance__max_inventory_days</t>
        </is>
      </c>
      <c r="F442" s="2" t="inlineStr">
        <is>
          <t>11</t>
        </is>
      </c>
      <c r="G442" s="2" t="inlineStr">
        <is>
          <t>reported_input</t>
        </is>
      </c>
      <c r="H442" s="2" t="inlineStr">
        <is>
          <t>extract</t>
        </is>
      </c>
    </row>
    <row r="443">
      <c r="A443" s="2" t="inlineStr">
        <is>
          <t>Covenants &amp; Supplemental</t>
        </is>
      </c>
      <c r="B443" s="2" t="n">
        <v>37</v>
      </c>
      <c r="C443" s="2" t="inlineStr">
        <is>
          <t>B37</t>
        </is>
      </c>
      <c r="D443" s="2" t="inlineStr">
        <is>
          <t>Max Trade Payable Days</t>
        </is>
      </c>
      <c r="E443" s="2" t="inlineStr">
        <is>
          <t>credit_compliance__max_trade_payable_days</t>
        </is>
      </c>
      <c r="F443" s="2" t="inlineStr">
        <is>
          <t>28</t>
        </is>
      </c>
      <c r="G443" s="2" t="inlineStr">
        <is>
          <t>reported_input</t>
        </is>
      </c>
      <c r="H443" s="2" t="inlineStr">
        <is>
          <t>extract</t>
        </is>
      </c>
    </row>
    <row r="444">
      <c r="A444" s="2" t="inlineStr">
        <is>
          <t>Covenants &amp; Supplemental</t>
        </is>
      </c>
      <c r="B444" s="2" t="n">
        <v>38</v>
      </c>
      <c r="C444" s="2" t="inlineStr">
        <is>
          <t>B38</t>
        </is>
      </c>
      <c r="D444" s="2" t="inlineStr">
        <is>
          <t>Max Sales Growth</t>
        </is>
      </c>
      <c r="E444" s="2" t="inlineStr">
        <is>
          <t>credit_compliance__max_sales_growth</t>
        </is>
      </c>
      <c r="F444" s="2" t="inlineStr">
        <is>
          <t>2</t>
        </is>
      </c>
      <c r="G444" s="2" t="inlineStr">
        <is>
          <t>reported_input</t>
        </is>
      </c>
      <c r="H444" s="2" t="inlineStr">
        <is>
          <t>extract</t>
        </is>
      </c>
    </row>
    <row r="445">
      <c r="A445" s="2" t="inlineStr">
        <is>
          <t>Covenants &amp; Supplemental</t>
        </is>
      </c>
      <c r="B445" s="2" t="n">
        <v>39</v>
      </c>
      <c r="C445" s="2" t="inlineStr">
        <is>
          <t>B39</t>
        </is>
      </c>
      <c r="D445" s="2" t="inlineStr">
        <is>
          <t>Min Tangible Net Worth</t>
        </is>
      </c>
      <c r="E445" s="2" t="inlineStr">
        <is>
          <t>credit_compliance__min_tangible_net_worth</t>
        </is>
      </c>
      <c r="F445" s="2" t="inlineStr">
        <is>
          <t>19</t>
        </is>
      </c>
      <c r="G445" s="2" t="inlineStr">
        <is>
          <t>reported_input</t>
        </is>
      </c>
      <c r="H445" s="2" t="inlineStr">
        <is>
          <t>extract</t>
        </is>
      </c>
    </row>
    <row r="446">
      <c r="A446" s="2" t="inlineStr">
        <is>
          <t>Covenants &amp; Supplemental</t>
        </is>
      </c>
      <c r="B446" s="2" t="n">
        <v>40</v>
      </c>
      <c r="C446" s="2" t="inlineStr">
        <is>
          <t>B40</t>
        </is>
      </c>
      <c r="D446" s="2" t="inlineStr">
        <is>
          <t>Max Subordinated Debt</t>
        </is>
      </c>
      <c r="E446" s="2" t="inlineStr">
        <is>
          <t>credit_compliance__max_subordinated_debt</t>
        </is>
      </c>
      <c r="F446" s="2" t="inlineStr">
        <is>
          <t>36</t>
        </is>
      </c>
      <c r="G446" s="2" t="inlineStr">
        <is>
          <t>reported_input</t>
        </is>
      </c>
      <c r="H446" s="2" t="inlineStr">
        <is>
          <t>extract</t>
        </is>
      </c>
    </row>
    <row r="447">
      <c r="A447" s="2" t="inlineStr">
        <is>
          <t>Covenants &amp; Supplemental</t>
        </is>
      </c>
      <c r="B447" s="2" t="n">
        <v>41</v>
      </c>
      <c r="C447" s="2" t="inlineStr">
        <is>
          <t>B41</t>
        </is>
      </c>
      <c r="D447" s="2" t="inlineStr">
        <is>
          <t>Max Cash Dividends</t>
        </is>
      </c>
      <c r="E447" s="2" t="inlineStr">
        <is>
          <t>credit_compliance__max_cash_dividends</t>
        </is>
      </c>
      <c r="F447" s="2" t="inlineStr">
        <is>
          <t>10</t>
        </is>
      </c>
      <c r="G447" s="2" t="inlineStr">
        <is>
          <t>reported_input</t>
        </is>
      </c>
      <c r="H447" s="2" t="inlineStr">
        <is>
          <t>extract</t>
        </is>
      </c>
    </row>
    <row r="448">
      <c r="A448" s="2" t="inlineStr">
        <is>
          <t>Covenants &amp; Supplemental</t>
        </is>
      </c>
      <c r="B448" s="2" t="n">
        <v>42</v>
      </c>
      <c r="C448" s="2" t="inlineStr">
        <is>
          <t>B42</t>
        </is>
      </c>
      <c r="D448" s="2" t="inlineStr">
        <is>
          <t>Min Cash Balance</t>
        </is>
      </c>
      <c r="E448" s="2" t="inlineStr">
        <is>
          <t>credit_compliance__min_cash_balance</t>
        </is>
      </c>
      <c r="F448" s="2" t="inlineStr">
        <is>
          <t>27</t>
        </is>
      </c>
      <c r="G448" s="2" t="inlineStr">
        <is>
          <t>reported_input</t>
        </is>
      </c>
      <c r="H448" s="2" t="inlineStr">
        <is>
          <t>extract</t>
        </is>
      </c>
    </row>
    <row r="449">
      <c r="A449" s="2" t="inlineStr">
        <is>
          <t>Covenants &amp; Supplemental</t>
        </is>
      </c>
      <c r="B449" s="2" t="n">
        <v>45</v>
      </c>
      <c r="C449" s="2" t="inlineStr">
        <is>
          <t>B45</t>
        </is>
      </c>
      <c r="D449" s="2" t="inlineStr">
        <is>
          <t>Capital commitments for fixed assets</t>
        </is>
      </c>
      <c r="E449" s="2" t="inlineStr">
        <is>
          <t>commitments__capital_commitments_for_fixed_assets</t>
        </is>
      </c>
      <c r="F449" s="2" t="inlineStr">
        <is>
          <t>35</t>
        </is>
      </c>
      <c r="G449" s="2" t="inlineStr">
        <is>
          <t>reported_input</t>
        </is>
      </c>
      <c r="H449" s="2" t="inlineStr">
        <is>
          <t>extract</t>
        </is>
      </c>
    </row>
    <row r="450">
      <c r="A450" s="2" t="inlineStr">
        <is>
          <t>Covenants &amp; Supplemental</t>
        </is>
      </c>
      <c r="B450" s="2" t="n">
        <v>46</v>
      </c>
      <c r="C450" s="2" t="inlineStr">
        <is>
          <t>B46</t>
        </is>
      </c>
      <c r="D450" s="2" t="inlineStr">
        <is>
          <t>Capital commitments for LT assets</t>
        </is>
      </c>
      <c r="E450" s="2" t="inlineStr">
        <is>
          <t>commitments__capital_commitments_for_lt_assets</t>
        </is>
      </c>
      <c r="F450" s="2" t="inlineStr">
        <is>
          <t>9</t>
        </is>
      </c>
      <c r="G450" s="2" t="inlineStr">
        <is>
          <t>reported_input</t>
        </is>
      </c>
      <c r="H450" s="2" t="inlineStr">
        <is>
          <t>extract</t>
        </is>
      </c>
    </row>
    <row r="451">
      <c r="A451" s="2" t="inlineStr">
        <is>
          <t>Covenants &amp; Supplemental</t>
        </is>
      </c>
      <c r="B451" s="2" t="n">
        <v>47</v>
      </c>
      <c r="C451" s="2" t="inlineStr">
        <is>
          <t>B47</t>
        </is>
      </c>
      <c r="D451" s="2" t="inlineStr">
        <is>
          <t>Capital commitments for intangible assets</t>
        </is>
      </c>
      <c r="E451" s="2" t="inlineStr">
        <is>
          <t>commitments__capital_commitments_for_intangible_assets</t>
        </is>
      </c>
      <c r="F451" s="2" t="inlineStr">
        <is>
          <t>26</t>
        </is>
      </c>
      <c r="G451" s="2" t="inlineStr">
        <is>
          <t>reported_input</t>
        </is>
      </c>
      <c r="H451" s="2" t="inlineStr">
        <is>
          <t>extract</t>
        </is>
      </c>
    </row>
    <row r="452">
      <c r="A452" s="2" t="inlineStr">
        <is>
          <t>Covenants &amp; Supplemental</t>
        </is>
      </c>
      <c r="B452" s="2" t="n">
        <v>48</v>
      </c>
      <c r="C452" s="2" t="inlineStr">
        <is>
          <t>B48</t>
        </is>
      </c>
      <c r="D452" s="2" t="inlineStr">
        <is>
          <t>Capital Commitments for Investments</t>
        </is>
      </c>
      <c r="E452" s="2" t="inlineStr">
        <is>
          <t>commitments__capital_commitments_for_investments</t>
        </is>
      </c>
      <c r="F452" s="2" t="inlineStr">
        <is>
          <t>43</t>
        </is>
      </c>
      <c r="G452" s="2" t="inlineStr">
        <is>
          <t>reported_input</t>
        </is>
      </c>
      <c r="H452" s="2" t="inlineStr">
        <is>
          <t>extract</t>
        </is>
      </c>
    </row>
    <row r="453">
      <c r="A453" s="2" t="inlineStr">
        <is>
          <t>Covenants &amp; Supplemental</t>
        </is>
      </c>
      <c r="B453" s="2" t="n">
        <v>49</v>
      </c>
      <c r="C453" s="2" t="inlineStr">
        <is>
          <t>B49</t>
        </is>
      </c>
      <c r="D453" s="2" t="inlineStr">
        <is>
          <t>Capital Commitments</t>
        </is>
      </c>
      <c r="E453" s="2" t="inlineStr">
        <is>
          <t>commitments__capital_commitments</t>
        </is>
      </c>
      <c r="F453" s="2">
        <f>SUM(B45:B48)</f>
        <v/>
      </c>
      <c r="G453" s="2" t="inlineStr">
        <is>
          <t>formula</t>
        </is>
      </c>
      <c r="H453" s="2" t="inlineStr">
        <is>
          <t>derive</t>
        </is>
      </c>
    </row>
    <row r="454">
      <c r="A454" s="2" t="inlineStr">
        <is>
          <t>Covenants &amp; Supplemental</t>
        </is>
      </c>
      <c r="B454" s="2" t="n">
        <v>50</v>
      </c>
      <c r="C454" s="2" t="inlineStr">
        <is>
          <t>B50</t>
        </is>
      </c>
      <c r="D454" s="2" t="inlineStr">
        <is>
          <t>Operating Lease Commitments (Notes)</t>
        </is>
      </c>
      <c r="E454" s="2" t="inlineStr">
        <is>
          <t>commitments__operating_lease_commitments_notes</t>
        </is>
      </c>
      <c r="F454" s="2" t="inlineStr">
        <is>
          <t>34</t>
        </is>
      </c>
      <c r="G454" s="2" t="inlineStr">
        <is>
          <t>reported_input</t>
        </is>
      </c>
      <c r="H454" s="2" t="inlineStr">
        <is>
          <t>extract</t>
        </is>
      </c>
    </row>
    <row r="455">
      <c r="A455" s="2" t="inlineStr">
        <is>
          <t>Notes</t>
        </is>
      </c>
      <c r="B455" s="2" t="n">
        <v>6</v>
      </c>
      <c r="C455" s="2" t="inlineStr">
        <is>
          <t>B6</t>
        </is>
      </c>
      <c r="D455" s="2" t="inlineStr">
        <is>
          <t>Related Party Transactions</t>
        </is>
      </c>
      <c r="E455" s="2" t="inlineStr">
        <is>
          <t>notes__related_party_transactions</t>
        </is>
      </c>
      <c r="F455" s="2" t="inlineStr">
        <is>
          <t>Illustrative disclosure: related-party sales of HKD 120 and purchases of HKD 85 during the period.</t>
        </is>
      </c>
      <c r="G455" s="2" t="inlineStr">
        <is>
          <t>reported_input</t>
        </is>
      </c>
      <c r="H455" s="2" t="inlineStr">
        <is>
          <t>extract</t>
        </is>
      </c>
    </row>
    <row r="456">
      <c r="A456" s="2" t="inlineStr">
        <is>
          <t>Notes</t>
        </is>
      </c>
      <c r="B456" s="2" t="n">
        <v>7</v>
      </c>
      <c r="C456" s="2" t="inlineStr">
        <is>
          <t>B7</t>
        </is>
      </c>
      <c r="D456" s="2" t="inlineStr">
        <is>
          <t>Pledged Assets</t>
        </is>
      </c>
      <c r="E456" s="2" t="inlineStr">
        <is>
          <t>notes__pledged_assets</t>
        </is>
      </c>
      <c r="F456" s="2" t="inlineStr">
        <is>
          <t>Illustrative disclosure: cash, receivables, inventories and fixed assets with a carrying value of HKD 600 are pledged as security.</t>
        </is>
      </c>
      <c r="G456" s="2" t="inlineStr">
        <is>
          <t>reported_input</t>
        </is>
      </c>
      <c r="H456" s="2" t="inlineStr">
        <is>
          <t>extract</t>
        </is>
      </c>
    </row>
    <row r="457">
      <c r="A457" s="2" t="inlineStr">
        <is>
          <t>Notes</t>
        </is>
      </c>
      <c r="B457" s="2" t="n">
        <v>8</v>
      </c>
      <c r="C457" s="2" t="inlineStr">
        <is>
          <t>B8</t>
        </is>
      </c>
      <c r="D457" s="2" t="inlineStr">
        <is>
          <t>Secure Borrowings</t>
        </is>
      </c>
      <c r="E457" s="2" t="inlineStr">
        <is>
          <t>notes__secure_borrowings</t>
        </is>
      </c>
      <c r="F457" s="2" t="inlineStr">
        <is>
          <t>Illustrative disclosure: secured bank borrowings comprise HKD 250 short-term and HKD 400 long-term facilities.</t>
        </is>
      </c>
      <c r="G457" s="2" t="inlineStr">
        <is>
          <t>reported_input</t>
        </is>
      </c>
      <c r="H457" s="2" t="inlineStr">
        <is>
          <t>extract</t>
        </is>
      </c>
    </row>
    <row r="458">
      <c r="A458" s="2" t="inlineStr">
        <is>
          <t>Notes</t>
        </is>
      </c>
      <c r="B458" s="2" t="n">
        <v>9</v>
      </c>
      <c r="C458" s="2" t="inlineStr">
        <is>
          <t>B9</t>
        </is>
      </c>
      <c r="D458" s="2" t="inlineStr">
        <is>
          <t>Derivatives</t>
        </is>
      </c>
      <c r="E458" s="2" t="inlineStr">
        <is>
          <t>notes__derivatives</t>
        </is>
      </c>
      <c r="F458" s="2" t="inlineStr">
        <is>
          <t>Illustrative disclosure: derivative assets are HKD 35 and derivative liabilities are HKD 28.</t>
        </is>
      </c>
      <c r="G458" s="2" t="inlineStr">
        <is>
          <t>reported_input</t>
        </is>
      </c>
      <c r="H458" s="2" t="inlineStr">
        <is>
          <t>extract</t>
        </is>
      </c>
    </row>
    <row r="459">
      <c r="A459" s="2" t="inlineStr">
        <is>
          <t>Notes</t>
        </is>
      </c>
      <c r="B459" s="2" t="n">
        <v>10</v>
      </c>
      <c r="C459" s="2" t="inlineStr">
        <is>
          <t>B10</t>
        </is>
      </c>
      <c r="D459" s="2" t="inlineStr">
        <is>
          <t>Contingent liabilities</t>
        </is>
      </c>
      <c r="E459" s="2" t="inlineStr">
        <is>
          <t>notes__contingent_liabilities</t>
        </is>
      </c>
      <c r="F459" s="2" t="inlineStr">
        <is>
          <t>Illustrative disclosure: guarantees and litigation exposures total HKD 75; outcome remains uncertain.</t>
        </is>
      </c>
      <c r="G459" s="2" t="inlineStr">
        <is>
          <t>reported_input</t>
        </is>
      </c>
      <c r="H459" s="2" t="inlineStr">
        <is>
          <t>extract</t>
        </is>
      </c>
    </row>
    <row r="460">
      <c r="A460" s="2" t="inlineStr">
        <is>
          <t>Notes</t>
        </is>
      </c>
      <c r="B460" s="2" t="n">
        <v>11</v>
      </c>
      <c r="C460" s="2" t="inlineStr">
        <is>
          <t>B11</t>
        </is>
      </c>
      <c r="D460" s="2" t="inlineStr">
        <is>
          <t>Auditor's opinion</t>
        </is>
      </c>
      <c r="E460" s="2" t="inlineStr">
        <is>
          <t>notes__auditors_opinion</t>
        </is>
      </c>
      <c r="F460" s="2" t="inlineStr">
        <is>
          <t>Unqualified opinion — illustrative dummy text only.</t>
        </is>
      </c>
      <c r="G460" s="2" t="inlineStr">
        <is>
          <t>reported_input</t>
        </is>
      </c>
      <c r="H460" s="2" t="inlineStr">
        <is>
          <t>extract</t>
        </is>
      </c>
    </row>
    <row r="461">
      <c r="A461" s="2" t="inlineStr">
        <is>
          <t>Notes</t>
        </is>
      </c>
      <c r="B461" s="2" t="n">
        <v>12</v>
      </c>
      <c r="C461" s="2" t="inlineStr">
        <is>
          <t>B12</t>
        </is>
      </c>
      <c r="D461" s="2" t="inlineStr">
        <is>
          <t>其他Notes</t>
        </is>
      </c>
      <c r="E461" s="2" t="inlineStr">
        <is>
          <t>notes__notes</t>
        </is>
      </c>
      <c r="F461" s="2" t="inlineStr">
        <is>
          <t>Illustrative placeholder for other financial statement notes.</t>
        </is>
      </c>
      <c r="G461" s="2" t="inlineStr">
        <is>
          <t>reported_input</t>
        </is>
      </c>
      <c r="H461" s="2" t="inlineStr">
        <is>
          <t>extract</t>
        </is>
      </c>
    </row>
    <row r="462">
      <c r="A462" s="2" t="inlineStr">
        <is>
          <t>Notes</t>
        </is>
      </c>
      <c r="B462" s="2" t="n">
        <v>13</v>
      </c>
      <c r="C462" s="2" t="inlineStr">
        <is>
          <t>B13</t>
        </is>
      </c>
      <c r="D462" s="2" t="inlineStr">
        <is>
          <t>Confirmed with RM</t>
        </is>
      </c>
      <c r="E462" s="2" t="inlineStr">
        <is>
          <t>notes__confirmed_with_rm</t>
        </is>
      </c>
      <c r="F462" s="2" t="inlineStr">
        <is>
          <t>Pending relationship-manager confirmation — illustrative status.</t>
        </is>
      </c>
      <c r="G462" s="2" t="inlineStr">
        <is>
          <t>reported_input</t>
        </is>
      </c>
      <c r="H462" s="2" t="inlineStr">
        <is>
          <t>extract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ht="30" customHeight="1">
      <c r="A1" s="1" t="inlineStr">
        <is>
          <t>Revised extraction-focused ontology</t>
        </is>
      </c>
      <c r="B1" s="1" t="n"/>
    </row>
    <row r="2">
      <c r="A2" s="2" t="inlineStr">
        <is>
          <t>Source template</t>
        </is>
      </c>
      <c r="B2" s="2" t="inlineStr">
        <is>
          <t>Copy of Output_CSV Template.xlsx</t>
        </is>
      </c>
    </row>
    <row r="3">
      <c r="A3" s="2" t="inlineStr">
        <is>
          <t>Rule applied</t>
        </is>
      </c>
      <c r="B3" s="2" t="inlineStr">
        <is>
          <t>Only cells that still contain an Excel formula in the attached workbook are classified as derive. Every other retained field is classified as extract, including fields that may have been formula-driven in an earlier version.</t>
        </is>
      </c>
    </row>
    <row r="4">
      <c r="A4" s="2" t="inlineStr">
        <is>
          <t>Direct extraction</t>
        </is>
      </c>
      <c r="B4" s="2" t="inlineStr">
        <is>
          <t>Extraction mode = extract; Alias matching enabled; source must be reported in the relevant statement or note with provenance.</t>
        </is>
      </c>
    </row>
    <row r="5">
      <c r="A5" s="2" t="inlineStr">
        <is>
          <t>Formula-driven fields</t>
        </is>
      </c>
      <c r="B5" s="2" t="inlineStr">
        <is>
          <t>Extraction mode = derive; Alias matching disabled; calculate only from retained template formula dependencies.</t>
        </is>
      </c>
    </row>
    <row r="6">
      <c r="A6" s="2" t="inlineStr">
        <is>
          <t>Anti-double-counting</t>
        </is>
      </c>
      <c r="B6" s="2" t="inlineStr">
        <is>
          <t>Do not count both a parent total and its children as independent source facts. Do not use an Others line as a balancing plug.</t>
        </is>
      </c>
    </row>
    <row r="7">
      <c r="A7" s="2" t="inlineStr">
        <is>
          <t>Workbook contents</t>
        </is>
      </c>
      <c r="B7" s="2" t="inlineStr">
        <is>
          <t>Concepts, Sections, Formula Dependencies, Template Field Audit, README</t>
        </is>
      </c>
    </row>
    <row r="8">
      <c r="A8" s="2" t="inlineStr">
        <is>
          <t>Counts</t>
        </is>
      </c>
      <c r="B8" s="2" t="inlineStr">
        <is>
          <t>425 extract fields; 36 derive fields; 461 total ontology concepts.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2026-08-26T07:37:58Z</dcterms:created>
  <dcterms:modified xmlns:dcterms="http://purl.org/dc/terms/" xmlns:xsi="http://www.w3.org/2001/XMLSchema-instance" xsi:type="dcterms:W3CDTF">2026-08-26T07:38:01Z</dcterms:modified>
</cp:coreProperties>
</file>