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isil-my.sharepoint.com/personal/kashmirap_ad_crisil_com/Documents/Kashmira/Jio Credit/Financial template/Final/"/>
    </mc:Choice>
  </mc:AlternateContent>
  <xr:revisionPtr revIDLastSave="180" documentId="8_{3554F4A7-1A75-46B9-A9A4-420ED93CFA54}" xr6:coauthVersionLast="47" xr6:coauthVersionMax="47" xr10:uidLastSave="{52F4FFD4-8245-485D-8264-3FA33A318BB5}"/>
  <bookViews>
    <workbookView xWindow="-110" yWindow="-110" windowWidth="19420" windowHeight="11500" firstSheet="1" activeTab="4" xr2:uid="{00000000-000D-0000-FFFF-FFFF00000000}"/>
  </bookViews>
  <sheets>
    <sheet name="Profit and Loss Statement" sheetId="2" r:id="rId1"/>
    <sheet name="Balance Sheet" sheetId="3" r:id="rId2"/>
    <sheet name="Additional Information" sheetId="4" r:id="rId3"/>
    <sheet name="Ratios" sheetId="5" state="hidden" r:id="rId4"/>
    <sheet name="Financial Spreading &amp; Analysi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0" i="6" l="1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BL220" i="6"/>
  <c r="BM220" i="6"/>
  <c r="BN220" i="6"/>
  <c r="AH220" i="6"/>
  <c r="AJ210" i="6"/>
  <c r="AK210" i="6" s="1"/>
  <c r="AL210" i="6" s="1"/>
  <c r="AM210" i="6" s="1"/>
  <c r="AN210" i="6" s="1"/>
  <c r="AO210" i="6" s="1"/>
  <c r="AP210" i="6" s="1"/>
  <c r="AQ210" i="6" s="1"/>
  <c r="AR210" i="6" s="1"/>
  <c r="AS210" i="6" s="1"/>
  <c r="AT210" i="6" s="1"/>
  <c r="AU210" i="6" s="1"/>
  <c r="AV210" i="6" s="1"/>
  <c r="AW210" i="6" s="1"/>
  <c r="AX210" i="6" s="1"/>
  <c r="AY210" i="6" s="1"/>
  <c r="AZ210" i="6" s="1"/>
  <c r="BA210" i="6" s="1"/>
  <c r="BB210" i="6" s="1"/>
  <c r="BC210" i="6" s="1"/>
  <c r="BD210" i="6" s="1"/>
  <c r="BE210" i="6" s="1"/>
  <c r="BF210" i="6" s="1"/>
  <c r="BG210" i="6" s="1"/>
  <c r="BH210" i="6" s="1"/>
  <c r="BI210" i="6" s="1"/>
  <c r="BJ210" i="6" s="1"/>
  <c r="BK210" i="6" s="1"/>
  <c r="BL210" i="6" s="1"/>
  <c r="BM210" i="6" s="1"/>
  <c r="BN210" i="6" s="1"/>
  <c r="AI210" i="6"/>
  <c r="AJ191" i="6"/>
  <c r="AK191" i="6"/>
  <c r="AL191" i="6"/>
  <c r="AM191" i="6"/>
  <c r="AN191" i="6"/>
  <c r="AO191" i="6"/>
  <c r="AP191" i="6" s="1"/>
  <c r="AQ191" i="6" s="1"/>
  <c r="AR191" i="6" s="1"/>
  <c r="AS191" i="6" s="1"/>
  <c r="AT191" i="6" s="1"/>
  <c r="AU191" i="6" s="1"/>
  <c r="AV191" i="6" s="1"/>
  <c r="AW191" i="6" s="1"/>
  <c r="AX191" i="6" s="1"/>
  <c r="AY191" i="6" s="1"/>
  <c r="AZ191" i="6" s="1"/>
  <c r="BA191" i="6" s="1"/>
  <c r="BB191" i="6" s="1"/>
  <c r="BC191" i="6" s="1"/>
  <c r="BD191" i="6" s="1"/>
  <c r="BE191" i="6" s="1"/>
  <c r="BF191" i="6" s="1"/>
  <c r="BG191" i="6" s="1"/>
  <c r="BH191" i="6" s="1"/>
  <c r="BI191" i="6" s="1"/>
  <c r="BJ191" i="6" s="1"/>
  <c r="BK191" i="6" s="1"/>
  <c r="BL191" i="6" s="1"/>
  <c r="BM191" i="6" s="1"/>
  <c r="BN191" i="6" s="1"/>
  <c r="AI191" i="6"/>
  <c r="AI146" i="6"/>
  <c r="AJ146" i="6"/>
  <c r="H129" i="3"/>
  <c r="I129" i="3"/>
  <c r="J129" i="3"/>
  <c r="K129" i="3" s="1"/>
  <c r="L129" i="3" s="1"/>
  <c r="M129" i="3" s="1"/>
  <c r="N129" i="3" s="1"/>
  <c r="O129" i="3" s="1"/>
  <c r="P129" i="3" s="1"/>
  <c r="Q129" i="3" s="1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AG129" i="3" s="1"/>
  <c r="AH129" i="3" s="1"/>
  <c r="AI129" i="3" s="1"/>
  <c r="G129" i="3"/>
  <c r="H110" i="3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AG110" i="3" s="1"/>
  <c r="AH110" i="3" s="1"/>
  <c r="AI110" i="3" s="1"/>
  <c r="G110" i="3"/>
  <c r="G65" i="3"/>
  <c r="H65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F139" i="3"/>
  <c r="AH298" i="6"/>
  <c r="AI97" i="2" l="1"/>
  <c r="AJ312" i="6"/>
  <c r="AJ311" i="6"/>
  <c r="AJ309" i="6"/>
  <c r="AJ308" i="6"/>
  <c r="AJ307" i="6"/>
  <c r="AJ306" i="6"/>
  <c r="AJ304" i="6"/>
  <c r="BN297" i="6"/>
  <c r="BM297" i="6"/>
  <c r="BL297" i="6"/>
  <c r="BK297" i="6"/>
  <c r="BJ297" i="6"/>
  <c r="BI297" i="6"/>
  <c r="BH297" i="6"/>
  <c r="BG297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BN296" i="6"/>
  <c r="BM296" i="6"/>
  <c r="BL296" i="6"/>
  <c r="BK296" i="6"/>
  <c r="BJ296" i="6"/>
  <c r="BI296" i="6"/>
  <c r="BH296" i="6"/>
  <c r="BG296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BN295" i="6"/>
  <c r="BM295" i="6"/>
  <c r="BL295" i="6"/>
  <c r="BK295" i="6"/>
  <c r="BJ295" i="6"/>
  <c r="BI295" i="6"/>
  <c r="BH295" i="6"/>
  <c r="BG295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BN294" i="6"/>
  <c r="BM294" i="6"/>
  <c r="BL294" i="6"/>
  <c r="BK294" i="6"/>
  <c r="BJ294" i="6"/>
  <c r="BI294" i="6"/>
  <c r="BH294" i="6"/>
  <c r="BG294" i="6"/>
  <c r="BF294" i="6"/>
  <c r="BE294" i="6"/>
  <c r="BD294" i="6"/>
  <c r="BC294" i="6"/>
  <c r="BB294" i="6"/>
  <c r="BA294" i="6"/>
  <c r="AZ294" i="6"/>
  <c r="AY294" i="6"/>
  <c r="AX294" i="6"/>
  <c r="AW294" i="6"/>
  <c r="AV294" i="6"/>
  <c r="AU294" i="6"/>
  <c r="AT294" i="6"/>
  <c r="AS294" i="6"/>
  <c r="AR294" i="6"/>
  <c r="AQ294" i="6"/>
  <c r="AP294" i="6"/>
  <c r="AO294" i="6"/>
  <c r="AN294" i="6"/>
  <c r="AM294" i="6"/>
  <c r="AL294" i="6"/>
  <c r="AK294" i="6"/>
  <c r="AJ294" i="6"/>
  <c r="AI294" i="6"/>
  <c r="AH294" i="6"/>
  <c r="BN293" i="6"/>
  <c r="BM293" i="6"/>
  <c r="BL293" i="6"/>
  <c r="BK293" i="6"/>
  <c r="BJ293" i="6"/>
  <c r="BI293" i="6"/>
  <c r="BH293" i="6"/>
  <c r="BG293" i="6"/>
  <c r="BF293" i="6"/>
  <c r="BE293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BN292" i="6"/>
  <c r="BM292" i="6"/>
  <c r="BL292" i="6"/>
  <c r="BK292" i="6"/>
  <c r="BJ292" i="6"/>
  <c r="BI292" i="6"/>
  <c r="BH292" i="6"/>
  <c r="BG292" i="6"/>
  <c r="BF292" i="6"/>
  <c r="BE292" i="6"/>
  <c r="BD292" i="6"/>
  <c r="BC292" i="6"/>
  <c r="BB292" i="6"/>
  <c r="BA292" i="6"/>
  <c r="AZ292" i="6"/>
  <c r="AY292" i="6"/>
  <c r="AX292" i="6"/>
  <c r="AW292" i="6"/>
  <c r="AV292" i="6"/>
  <c r="AU292" i="6"/>
  <c r="AT292" i="6"/>
  <c r="AS292" i="6"/>
  <c r="AR292" i="6"/>
  <c r="AQ292" i="6"/>
  <c r="AP292" i="6"/>
  <c r="AO292" i="6"/>
  <c r="AN292" i="6"/>
  <c r="AM292" i="6"/>
  <c r="AL292" i="6"/>
  <c r="AK292" i="6"/>
  <c r="AJ292" i="6"/>
  <c r="AI292" i="6"/>
  <c r="AH292" i="6"/>
  <c r="BN291" i="6"/>
  <c r="BM291" i="6"/>
  <c r="BL291" i="6"/>
  <c r="BK291" i="6"/>
  <c r="BJ291" i="6"/>
  <c r="BI291" i="6"/>
  <c r="BH291" i="6"/>
  <c r="BG291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BN290" i="6"/>
  <c r="BM290" i="6"/>
  <c r="BL290" i="6"/>
  <c r="BK290" i="6"/>
  <c r="BJ290" i="6"/>
  <c r="BI290" i="6"/>
  <c r="BH290" i="6"/>
  <c r="BG290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/>
  <c r="AQ290" i="6"/>
  <c r="AP290" i="6"/>
  <c r="AO290" i="6"/>
  <c r="AN290" i="6"/>
  <c r="AM290" i="6"/>
  <c r="AL290" i="6"/>
  <c r="AK290" i="6"/>
  <c r="AJ290" i="6"/>
  <c r="AI290" i="6"/>
  <c r="AH290" i="6"/>
  <c r="BN289" i="6"/>
  <c r="BM289" i="6"/>
  <c r="BL289" i="6"/>
  <c r="BK289" i="6"/>
  <c r="BJ289" i="6"/>
  <c r="BI289" i="6"/>
  <c r="BH289" i="6"/>
  <c r="BG289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O289" i="6"/>
  <c r="AN289" i="6"/>
  <c r="AM289" i="6"/>
  <c r="AL289" i="6"/>
  <c r="AK289" i="6"/>
  <c r="AJ289" i="6"/>
  <c r="AI289" i="6"/>
  <c r="AH289" i="6"/>
  <c r="BN288" i="6"/>
  <c r="BM288" i="6"/>
  <c r="BL288" i="6"/>
  <c r="BK288" i="6"/>
  <c r="BJ288" i="6"/>
  <c r="BI288" i="6"/>
  <c r="BH288" i="6"/>
  <c r="BG288" i="6"/>
  <c r="BF288" i="6"/>
  <c r="BE288" i="6"/>
  <c r="BD288" i="6"/>
  <c r="BC288" i="6"/>
  <c r="BB288" i="6"/>
  <c r="BA288" i="6"/>
  <c r="AZ288" i="6"/>
  <c r="AY288" i="6"/>
  <c r="AX288" i="6"/>
  <c r="AW288" i="6"/>
  <c r="AV288" i="6"/>
  <c r="AU288" i="6"/>
  <c r="AT288" i="6"/>
  <c r="AS288" i="6"/>
  <c r="AR288" i="6"/>
  <c r="AQ288" i="6"/>
  <c r="AP288" i="6"/>
  <c r="AO288" i="6"/>
  <c r="AN288" i="6"/>
  <c r="AM288" i="6"/>
  <c r="AL288" i="6"/>
  <c r="AK288" i="6"/>
  <c r="AJ288" i="6"/>
  <c r="AI288" i="6"/>
  <c r="AH288" i="6"/>
  <c r="BN287" i="6"/>
  <c r="BM287" i="6"/>
  <c r="BL287" i="6"/>
  <c r="BK287" i="6"/>
  <c r="BJ287" i="6"/>
  <c r="BI287" i="6"/>
  <c r="BH287" i="6"/>
  <c r="BG287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AS287" i="6"/>
  <c r="AR287" i="6"/>
  <c r="AQ287" i="6"/>
  <c r="AP287" i="6"/>
  <c r="AO287" i="6"/>
  <c r="AN287" i="6"/>
  <c r="AM287" i="6"/>
  <c r="AL287" i="6"/>
  <c r="AK287" i="6"/>
  <c r="AJ287" i="6"/>
  <c r="AI287" i="6"/>
  <c r="AH287" i="6"/>
  <c r="AH286" i="6"/>
  <c r="BN285" i="6"/>
  <c r="BM285" i="6"/>
  <c r="BL285" i="6"/>
  <c r="BK285" i="6"/>
  <c r="BJ285" i="6"/>
  <c r="BI285" i="6"/>
  <c r="BH285" i="6"/>
  <c r="BG285" i="6"/>
  <c r="BF285" i="6"/>
  <c r="BE285" i="6"/>
  <c r="BD285" i="6"/>
  <c r="BC285" i="6"/>
  <c r="BB285" i="6"/>
  <c r="BA285" i="6"/>
  <c r="AZ285" i="6"/>
  <c r="AY285" i="6"/>
  <c r="AX285" i="6"/>
  <c r="AW285" i="6"/>
  <c r="AV285" i="6"/>
  <c r="AU285" i="6"/>
  <c r="AT285" i="6"/>
  <c r="AS285" i="6"/>
  <c r="AR285" i="6"/>
  <c r="AQ285" i="6"/>
  <c r="AP285" i="6"/>
  <c r="AO285" i="6"/>
  <c r="AN285" i="6"/>
  <c r="AM285" i="6"/>
  <c r="AL285" i="6"/>
  <c r="AK285" i="6"/>
  <c r="AJ285" i="6"/>
  <c r="AI285" i="6"/>
  <c r="AH285" i="6"/>
  <c r="BN284" i="6"/>
  <c r="BM284" i="6"/>
  <c r="BL284" i="6"/>
  <c r="BK284" i="6"/>
  <c r="BJ284" i="6"/>
  <c r="BI284" i="6"/>
  <c r="BH284" i="6"/>
  <c r="BG284" i="6"/>
  <c r="BF284" i="6"/>
  <c r="BE284" i="6"/>
  <c r="BD284" i="6"/>
  <c r="BC284" i="6"/>
  <c r="BB284" i="6"/>
  <c r="BA284" i="6"/>
  <c r="AZ284" i="6"/>
  <c r="AY284" i="6"/>
  <c r="AX284" i="6"/>
  <c r="AW284" i="6"/>
  <c r="AV284" i="6"/>
  <c r="AU284" i="6"/>
  <c r="AT284" i="6"/>
  <c r="AS284" i="6"/>
  <c r="AR284" i="6"/>
  <c r="AQ284" i="6"/>
  <c r="AP284" i="6"/>
  <c r="AO284" i="6"/>
  <c r="AN284" i="6"/>
  <c r="AM284" i="6"/>
  <c r="AL284" i="6"/>
  <c r="AK284" i="6"/>
  <c r="AJ284" i="6"/>
  <c r="AI284" i="6"/>
  <c r="AH284" i="6"/>
  <c r="BN283" i="6"/>
  <c r="BM283" i="6"/>
  <c r="BL283" i="6"/>
  <c r="BK283" i="6"/>
  <c r="BJ283" i="6"/>
  <c r="BI283" i="6"/>
  <c r="BH283" i="6"/>
  <c r="BG283" i="6"/>
  <c r="BF283" i="6"/>
  <c r="BE283" i="6"/>
  <c r="BD283" i="6"/>
  <c r="BC283" i="6"/>
  <c r="BB283" i="6"/>
  <c r="BA283" i="6"/>
  <c r="AZ283" i="6"/>
  <c r="AY283" i="6"/>
  <c r="AX283" i="6"/>
  <c r="AW283" i="6"/>
  <c r="AV283" i="6"/>
  <c r="AU283" i="6"/>
  <c r="AT283" i="6"/>
  <c r="AS283" i="6"/>
  <c r="AR283" i="6"/>
  <c r="AQ283" i="6"/>
  <c r="AP283" i="6"/>
  <c r="AO283" i="6"/>
  <c r="AN283" i="6"/>
  <c r="AM283" i="6"/>
  <c r="AL283" i="6"/>
  <c r="AK283" i="6"/>
  <c r="AJ283" i="6"/>
  <c r="AI283" i="6"/>
  <c r="AH283" i="6"/>
  <c r="BN282" i="6"/>
  <c r="BM282" i="6"/>
  <c r="BL282" i="6"/>
  <c r="BK282" i="6"/>
  <c r="BJ282" i="6"/>
  <c r="BI282" i="6"/>
  <c r="BH282" i="6"/>
  <c r="BG282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H281" i="6"/>
  <c r="BN280" i="6"/>
  <c r="BM280" i="6"/>
  <c r="BL280" i="6"/>
  <c r="BK280" i="6"/>
  <c r="BJ280" i="6"/>
  <c r="BI280" i="6"/>
  <c r="BH280" i="6"/>
  <c r="BG280" i="6"/>
  <c r="BF280" i="6"/>
  <c r="BE280" i="6"/>
  <c r="BD280" i="6"/>
  <c r="BC280" i="6"/>
  <c r="BB280" i="6"/>
  <c r="BA280" i="6"/>
  <c r="AZ280" i="6"/>
  <c r="AY280" i="6"/>
  <c r="AX280" i="6"/>
  <c r="AW280" i="6"/>
  <c r="AV280" i="6"/>
  <c r="AU280" i="6"/>
  <c r="AT280" i="6"/>
  <c r="AS280" i="6"/>
  <c r="AR280" i="6"/>
  <c r="AQ280" i="6"/>
  <c r="AP280" i="6"/>
  <c r="AO280" i="6"/>
  <c r="AN280" i="6"/>
  <c r="AM280" i="6"/>
  <c r="AL280" i="6"/>
  <c r="AK280" i="6"/>
  <c r="AJ280" i="6"/>
  <c r="AI280" i="6"/>
  <c r="AH280" i="6"/>
  <c r="BN279" i="6"/>
  <c r="BM279" i="6"/>
  <c r="BL279" i="6"/>
  <c r="BK279" i="6"/>
  <c r="BJ279" i="6"/>
  <c r="BI279" i="6"/>
  <c r="BH279" i="6"/>
  <c r="BG279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9" i="6"/>
  <c r="AH279" i="6"/>
  <c r="BN278" i="6"/>
  <c r="BM278" i="6"/>
  <c r="BL278" i="6"/>
  <c r="BK278" i="6"/>
  <c r="BJ278" i="6"/>
  <c r="BI278" i="6"/>
  <c r="BH278" i="6"/>
  <c r="BG278" i="6"/>
  <c r="BF278" i="6"/>
  <c r="BE278" i="6"/>
  <c r="BD278" i="6"/>
  <c r="BC278" i="6"/>
  <c r="BB278" i="6"/>
  <c r="BA278" i="6"/>
  <c r="AZ278" i="6"/>
  <c r="AY278" i="6"/>
  <c r="AX278" i="6"/>
  <c r="AW278" i="6"/>
  <c r="AV278" i="6"/>
  <c r="AU278" i="6"/>
  <c r="AT278" i="6"/>
  <c r="AS278" i="6"/>
  <c r="AR278" i="6"/>
  <c r="AQ278" i="6"/>
  <c r="AP278" i="6"/>
  <c r="AO278" i="6"/>
  <c r="AN278" i="6"/>
  <c r="AM278" i="6"/>
  <c r="AL278" i="6"/>
  <c r="AK278" i="6"/>
  <c r="AJ278" i="6"/>
  <c r="AI278" i="6"/>
  <c r="AH278" i="6"/>
  <c r="BN277" i="6"/>
  <c r="BM277" i="6"/>
  <c r="BL277" i="6"/>
  <c r="BK277" i="6"/>
  <c r="BJ277" i="6"/>
  <c r="BI277" i="6"/>
  <c r="BH277" i="6"/>
  <c r="BG277" i="6"/>
  <c r="BF277" i="6"/>
  <c r="BE277" i="6"/>
  <c r="BD277" i="6"/>
  <c r="BC277" i="6"/>
  <c r="BB277" i="6"/>
  <c r="BA277" i="6"/>
  <c r="AZ277" i="6"/>
  <c r="AY277" i="6"/>
  <c r="AX277" i="6"/>
  <c r="AW277" i="6"/>
  <c r="AV277" i="6"/>
  <c r="AU277" i="6"/>
  <c r="AT277" i="6"/>
  <c r="AS277" i="6"/>
  <c r="AR277" i="6"/>
  <c r="AQ277" i="6"/>
  <c r="AP277" i="6"/>
  <c r="AO277" i="6"/>
  <c r="AN277" i="6"/>
  <c r="AM277" i="6"/>
  <c r="AL277" i="6"/>
  <c r="AK277" i="6"/>
  <c r="AJ277" i="6"/>
  <c r="AI277" i="6"/>
  <c r="AH277" i="6"/>
  <c r="BN276" i="6"/>
  <c r="BM276" i="6"/>
  <c r="BL276" i="6"/>
  <c r="BK276" i="6"/>
  <c r="BJ276" i="6"/>
  <c r="BI276" i="6"/>
  <c r="BH276" i="6"/>
  <c r="BG276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H276" i="6"/>
  <c r="AH275" i="6"/>
  <c r="AH274" i="6"/>
  <c r="BN273" i="6"/>
  <c r="BM273" i="6"/>
  <c r="BL273" i="6"/>
  <c r="BK273" i="6"/>
  <c r="BJ273" i="6"/>
  <c r="BI273" i="6"/>
  <c r="BH273" i="6"/>
  <c r="BG273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BN272" i="6"/>
  <c r="BM272" i="6"/>
  <c r="BL272" i="6"/>
  <c r="BK272" i="6"/>
  <c r="BJ272" i="6"/>
  <c r="BI272" i="6"/>
  <c r="BH272" i="6"/>
  <c r="BG272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H271" i="6"/>
  <c r="AH270" i="6"/>
  <c r="AH269" i="6"/>
  <c r="AH268" i="6"/>
  <c r="BN267" i="6"/>
  <c r="BM267" i="6"/>
  <c r="BL267" i="6"/>
  <c r="BK267" i="6"/>
  <c r="BJ267" i="6"/>
  <c r="BI267" i="6"/>
  <c r="BH267" i="6"/>
  <c r="BG267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BN266" i="6"/>
  <c r="BM266" i="6"/>
  <c r="BL266" i="6"/>
  <c r="BK266" i="6"/>
  <c r="BJ266" i="6"/>
  <c r="BI266" i="6"/>
  <c r="BH266" i="6"/>
  <c r="BG266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BN265" i="6"/>
  <c r="BM265" i="6"/>
  <c r="BL265" i="6"/>
  <c r="BK265" i="6"/>
  <c r="BJ265" i="6"/>
  <c r="BI265" i="6"/>
  <c r="BH265" i="6"/>
  <c r="BG265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BN264" i="6"/>
  <c r="BM264" i="6"/>
  <c r="BL264" i="6"/>
  <c r="BK264" i="6"/>
  <c r="BJ264" i="6"/>
  <c r="BI264" i="6"/>
  <c r="BH264" i="6"/>
  <c r="BG264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BN263" i="6"/>
  <c r="BM263" i="6"/>
  <c r="BL263" i="6"/>
  <c r="BK263" i="6"/>
  <c r="BJ263" i="6"/>
  <c r="BI263" i="6"/>
  <c r="BH263" i="6"/>
  <c r="BG263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BN262" i="6"/>
  <c r="BM262" i="6"/>
  <c r="BL262" i="6"/>
  <c r="BK262" i="6"/>
  <c r="BJ262" i="6"/>
  <c r="BI262" i="6"/>
  <c r="BH262" i="6"/>
  <c r="BG262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BN261" i="6"/>
  <c r="BM261" i="6"/>
  <c r="BL261" i="6"/>
  <c r="BK261" i="6"/>
  <c r="BJ261" i="6"/>
  <c r="BI261" i="6"/>
  <c r="BH261" i="6"/>
  <c r="BG261" i="6"/>
  <c r="BF261" i="6"/>
  <c r="BE261" i="6"/>
  <c r="BD261" i="6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BN260" i="6"/>
  <c r="BM260" i="6"/>
  <c r="BL260" i="6"/>
  <c r="BK260" i="6"/>
  <c r="BJ260" i="6"/>
  <c r="BI260" i="6"/>
  <c r="BH260" i="6"/>
  <c r="BG260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BN259" i="6"/>
  <c r="BM259" i="6"/>
  <c r="BL259" i="6"/>
  <c r="BK259" i="6"/>
  <c r="BJ259" i="6"/>
  <c r="BI259" i="6"/>
  <c r="BH259" i="6"/>
  <c r="BG259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BN258" i="6"/>
  <c r="BM258" i="6"/>
  <c r="BL258" i="6"/>
  <c r="BK258" i="6"/>
  <c r="BJ258" i="6"/>
  <c r="BI258" i="6"/>
  <c r="BH258" i="6"/>
  <c r="BG258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H257" i="6"/>
  <c r="BN256" i="6"/>
  <c r="BM256" i="6"/>
  <c r="BL256" i="6"/>
  <c r="BK256" i="6"/>
  <c r="BJ256" i="6"/>
  <c r="BI256" i="6"/>
  <c r="BH256" i="6"/>
  <c r="BG256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BN255" i="6"/>
  <c r="BM255" i="6"/>
  <c r="BL255" i="6"/>
  <c r="BK255" i="6"/>
  <c r="BJ255" i="6"/>
  <c r="BI255" i="6"/>
  <c r="BH255" i="6"/>
  <c r="BG255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BN253" i="6"/>
  <c r="BM253" i="6"/>
  <c r="BL253" i="6"/>
  <c r="BK253" i="6"/>
  <c r="BJ253" i="6"/>
  <c r="BI253" i="6"/>
  <c r="BH253" i="6"/>
  <c r="BG253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H252" i="6"/>
  <c r="AH251" i="6"/>
  <c r="BN250" i="6"/>
  <c r="BM250" i="6"/>
  <c r="BL250" i="6"/>
  <c r="BK250" i="6"/>
  <c r="BJ250" i="6"/>
  <c r="BI250" i="6"/>
  <c r="BH250" i="6"/>
  <c r="BG250" i="6"/>
  <c r="BF250" i="6"/>
  <c r="BE250" i="6"/>
  <c r="BD250" i="6"/>
  <c r="BC250" i="6"/>
  <c r="BB250" i="6"/>
  <c r="BA250" i="6"/>
  <c r="AZ250" i="6"/>
  <c r="AY250" i="6"/>
  <c r="AX250" i="6"/>
  <c r="AW250" i="6"/>
  <c r="AV250" i="6"/>
  <c r="AU250" i="6"/>
  <c r="AT250" i="6"/>
  <c r="AS250" i="6"/>
  <c r="AR250" i="6"/>
  <c r="AQ250" i="6"/>
  <c r="AP250" i="6"/>
  <c r="AO250" i="6"/>
  <c r="AN250" i="6"/>
  <c r="AM250" i="6"/>
  <c r="AL250" i="6"/>
  <c r="AK250" i="6"/>
  <c r="AJ250" i="6"/>
  <c r="AI250" i="6"/>
  <c r="AH250" i="6"/>
  <c r="BN249" i="6"/>
  <c r="BM249" i="6"/>
  <c r="BL249" i="6"/>
  <c r="BK249" i="6"/>
  <c r="BJ249" i="6"/>
  <c r="BI249" i="6"/>
  <c r="BH249" i="6"/>
  <c r="BG249" i="6"/>
  <c r="BF249" i="6"/>
  <c r="BE249" i="6"/>
  <c r="BD249" i="6"/>
  <c r="BC249" i="6"/>
  <c r="BB249" i="6"/>
  <c r="BA249" i="6"/>
  <c r="AZ249" i="6"/>
  <c r="AY249" i="6"/>
  <c r="AX249" i="6"/>
  <c r="AW249" i="6"/>
  <c r="AV249" i="6"/>
  <c r="AU249" i="6"/>
  <c r="AT249" i="6"/>
  <c r="AS249" i="6"/>
  <c r="AR249" i="6"/>
  <c r="AQ249" i="6"/>
  <c r="AP249" i="6"/>
  <c r="AO249" i="6"/>
  <c r="AN249" i="6"/>
  <c r="AM249" i="6"/>
  <c r="AL249" i="6"/>
  <c r="AK249" i="6"/>
  <c r="AJ249" i="6"/>
  <c r="AI249" i="6"/>
  <c r="AH249" i="6"/>
  <c r="BN248" i="6"/>
  <c r="BM248" i="6"/>
  <c r="BL248" i="6"/>
  <c r="BK248" i="6"/>
  <c r="BJ248" i="6"/>
  <c r="BI248" i="6"/>
  <c r="BH248" i="6"/>
  <c r="BG248" i="6"/>
  <c r="BF248" i="6"/>
  <c r="BE248" i="6"/>
  <c r="BD248" i="6"/>
  <c r="BC248" i="6"/>
  <c r="BB248" i="6"/>
  <c r="BA248" i="6"/>
  <c r="AZ248" i="6"/>
  <c r="AY248" i="6"/>
  <c r="AX248" i="6"/>
  <c r="AW248" i="6"/>
  <c r="AV248" i="6"/>
  <c r="AU248" i="6"/>
  <c r="AT248" i="6"/>
  <c r="AS248" i="6"/>
  <c r="AR248" i="6"/>
  <c r="AQ248" i="6"/>
  <c r="AP248" i="6"/>
  <c r="AO248" i="6"/>
  <c r="AN248" i="6"/>
  <c r="AM248" i="6"/>
  <c r="AL248" i="6"/>
  <c r="AK248" i="6"/>
  <c r="AJ248" i="6"/>
  <c r="AI248" i="6"/>
  <c r="AH248" i="6"/>
  <c r="BN247" i="6"/>
  <c r="BM247" i="6"/>
  <c r="BL247" i="6"/>
  <c r="BK247" i="6"/>
  <c r="BJ247" i="6"/>
  <c r="BI247" i="6"/>
  <c r="BH247" i="6"/>
  <c r="BG247" i="6"/>
  <c r="BF247" i="6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BN246" i="6"/>
  <c r="BM246" i="6"/>
  <c r="BL246" i="6"/>
  <c r="BK246" i="6"/>
  <c r="BJ246" i="6"/>
  <c r="BI246" i="6"/>
  <c r="BH246" i="6"/>
  <c r="BG246" i="6"/>
  <c r="BF246" i="6"/>
  <c r="BE246" i="6"/>
  <c r="BD246" i="6"/>
  <c r="BC246" i="6"/>
  <c r="BB246" i="6"/>
  <c r="BA246" i="6"/>
  <c r="AZ246" i="6"/>
  <c r="AY246" i="6"/>
  <c r="AX246" i="6"/>
  <c r="AW246" i="6"/>
  <c r="AV246" i="6"/>
  <c r="AU246" i="6"/>
  <c r="AT246" i="6"/>
  <c r="AS246" i="6"/>
  <c r="AR246" i="6"/>
  <c r="AQ246" i="6"/>
  <c r="AP246" i="6"/>
  <c r="AO246" i="6"/>
  <c r="AN246" i="6"/>
  <c r="AM246" i="6"/>
  <c r="AL246" i="6"/>
  <c r="AK246" i="6"/>
  <c r="AJ246" i="6"/>
  <c r="AI246" i="6"/>
  <c r="AH246" i="6"/>
  <c r="BN245" i="6"/>
  <c r="BM245" i="6"/>
  <c r="BL245" i="6"/>
  <c r="BK245" i="6"/>
  <c r="BJ245" i="6"/>
  <c r="BI245" i="6"/>
  <c r="BH245" i="6"/>
  <c r="BG245" i="6"/>
  <c r="BF245" i="6"/>
  <c r="BE245" i="6"/>
  <c r="BD245" i="6"/>
  <c r="BC245" i="6"/>
  <c r="BB245" i="6"/>
  <c r="BA245" i="6"/>
  <c r="AZ245" i="6"/>
  <c r="AY245" i="6"/>
  <c r="AX245" i="6"/>
  <c r="AW245" i="6"/>
  <c r="AV245" i="6"/>
  <c r="AU245" i="6"/>
  <c r="AT245" i="6"/>
  <c r="AS245" i="6"/>
  <c r="AR245" i="6"/>
  <c r="AQ245" i="6"/>
  <c r="AP245" i="6"/>
  <c r="AO245" i="6"/>
  <c r="AN245" i="6"/>
  <c r="AM245" i="6"/>
  <c r="AL245" i="6"/>
  <c r="AK245" i="6"/>
  <c r="AJ245" i="6"/>
  <c r="AI245" i="6"/>
  <c r="AH245" i="6"/>
  <c r="BN244" i="6"/>
  <c r="BM244" i="6"/>
  <c r="BL244" i="6"/>
  <c r="BK244" i="6"/>
  <c r="BJ244" i="6"/>
  <c r="BI244" i="6"/>
  <c r="BH244" i="6"/>
  <c r="BG244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H244" i="6"/>
  <c r="BN243" i="6"/>
  <c r="BM243" i="6"/>
  <c r="BL243" i="6"/>
  <c r="BK243" i="6"/>
  <c r="BJ243" i="6"/>
  <c r="BI243" i="6"/>
  <c r="BH243" i="6"/>
  <c r="BG243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BN242" i="6"/>
  <c r="BM242" i="6"/>
  <c r="BL242" i="6"/>
  <c r="BK242" i="6"/>
  <c r="BJ242" i="6"/>
  <c r="BI242" i="6"/>
  <c r="BH242" i="6"/>
  <c r="BG242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/>
  <c r="AQ242" i="6"/>
  <c r="AP242" i="6"/>
  <c r="AO242" i="6"/>
  <c r="AN242" i="6"/>
  <c r="AM242" i="6"/>
  <c r="AL242" i="6"/>
  <c r="AK242" i="6"/>
  <c r="AJ242" i="6"/>
  <c r="AI242" i="6"/>
  <c r="AH242" i="6"/>
  <c r="BN241" i="6"/>
  <c r="BM241" i="6"/>
  <c r="BL241" i="6"/>
  <c r="BK241" i="6"/>
  <c r="BJ241" i="6"/>
  <c r="BI241" i="6"/>
  <c r="BH241" i="6"/>
  <c r="BG241" i="6"/>
  <c r="BF241" i="6"/>
  <c r="BE241" i="6"/>
  <c r="BD241" i="6"/>
  <c r="BC241" i="6"/>
  <c r="BB241" i="6"/>
  <c r="BA241" i="6"/>
  <c r="AZ241" i="6"/>
  <c r="AY241" i="6"/>
  <c r="AX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K241" i="6"/>
  <c r="AJ241" i="6"/>
  <c r="AI241" i="6"/>
  <c r="AH241" i="6"/>
  <c r="BN240" i="6"/>
  <c r="BM240" i="6"/>
  <c r="BL240" i="6"/>
  <c r="BK240" i="6"/>
  <c r="BJ240" i="6"/>
  <c r="BI240" i="6"/>
  <c r="BH240" i="6"/>
  <c r="BG240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M240" i="6"/>
  <c r="AL240" i="6"/>
  <c r="AK240" i="6"/>
  <c r="AJ240" i="6"/>
  <c r="AI240" i="6"/>
  <c r="AH240" i="6"/>
  <c r="BN238" i="6"/>
  <c r="BM238" i="6"/>
  <c r="BL238" i="6"/>
  <c r="BK238" i="6"/>
  <c r="BJ238" i="6"/>
  <c r="BI238" i="6"/>
  <c r="BH238" i="6"/>
  <c r="BG238" i="6"/>
  <c r="BF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AS238" i="6"/>
  <c r="AR238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BN237" i="6"/>
  <c r="BM237" i="6"/>
  <c r="BL237" i="6"/>
  <c r="BK237" i="6"/>
  <c r="BJ237" i="6"/>
  <c r="BI237" i="6"/>
  <c r="BH237" i="6"/>
  <c r="BG237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BN223" i="6"/>
  <c r="BM223" i="6"/>
  <c r="BL223" i="6"/>
  <c r="BK223" i="6"/>
  <c r="BJ223" i="6"/>
  <c r="BI223" i="6"/>
  <c r="BH223" i="6"/>
  <c r="BG223" i="6"/>
  <c r="BF223" i="6"/>
  <c r="BE223" i="6"/>
  <c r="BD223" i="6"/>
  <c r="BC223" i="6"/>
  <c r="BB223" i="6"/>
  <c r="BA223" i="6"/>
  <c r="AZ223" i="6"/>
  <c r="AY223" i="6"/>
  <c r="AX223" i="6"/>
  <c r="AW223" i="6"/>
  <c r="AV223" i="6"/>
  <c r="AU223" i="6"/>
  <c r="AT223" i="6"/>
  <c r="AS223" i="6"/>
  <c r="AR223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BN221" i="6"/>
  <c r="BM221" i="6"/>
  <c r="BL221" i="6"/>
  <c r="BK221" i="6"/>
  <c r="BJ221" i="6"/>
  <c r="BI221" i="6"/>
  <c r="BH221" i="6"/>
  <c r="BG221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BN219" i="6"/>
  <c r="BM219" i="6"/>
  <c r="BL219" i="6"/>
  <c r="BK219" i="6"/>
  <c r="BJ219" i="6"/>
  <c r="BI219" i="6"/>
  <c r="BH219" i="6"/>
  <c r="BG219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BN218" i="6"/>
  <c r="BM218" i="6"/>
  <c r="BL218" i="6"/>
  <c r="BK218" i="6"/>
  <c r="BJ218" i="6"/>
  <c r="BI218" i="6"/>
  <c r="BH218" i="6"/>
  <c r="BG218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AJ217" i="6"/>
  <c r="AJ252" i="6" s="1"/>
  <c r="AI217" i="6"/>
  <c r="AI252" i="6" s="1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BN215" i="6"/>
  <c r="BN214" i="6" s="1"/>
  <c r="BM215" i="6"/>
  <c r="BM214" i="6" s="1"/>
  <c r="BL215" i="6"/>
  <c r="BL214" i="6" s="1"/>
  <c r="BK215" i="6"/>
  <c r="BK214" i="6" s="1"/>
  <c r="BJ215" i="6"/>
  <c r="BJ214" i="6" s="1"/>
  <c r="BI215" i="6"/>
  <c r="BI214" i="6" s="1"/>
  <c r="BH215" i="6"/>
  <c r="BH214" i="6" s="1"/>
  <c r="BG215" i="6"/>
  <c r="BG214" i="6" s="1"/>
  <c r="BF215" i="6"/>
  <c r="BF214" i="6" s="1"/>
  <c r="BE215" i="6"/>
  <c r="BE214" i="6" s="1"/>
  <c r="BD215" i="6"/>
  <c r="BD214" i="6" s="1"/>
  <c r="BC215" i="6"/>
  <c r="BC214" i="6" s="1"/>
  <c r="BB215" i="6"/>
  <c r="BB214" i="6" s="1"/>
  <c r="BA215" i="6"/>
  <c r="BA214" i="6" s="1"/>
  <c r="AZ215" i="6"/>
  <c r="AZ214" i="6" s="1"/>
  <c r="AY215" i="6"/>
  <c r="AY214" i="6" s="1"/>
  <c r="AX215" i="6"/>
  <c r="AX214" i="6" s="1"/>
  <c r="AW215" i="6"/>
  <c r="AW214" i="6" s="1"/>
  <c r="AV215" i="6"/>
  <c r="AV214" i="6" s="1"/>
  <c r="AU215" i="6"/>
  <c r="AU214" i="6" s="1"/>
  <c r="AT215" i="6"/>
  <c r="AT214" i="6" s="1"/>
  <c r="AS215" i="6"/>
  <c r="AS214" i="6" s="1"/>
  <c r="AR215" i="6"/>
  <c r="AR214" i="6" s="1"/>
  <c r="AQ215" i="6"/>
  <c r="AQ214" i="6" s="1"/>
  <c r="AP215" i="6"/>
  <c r="AP214" i="6" s="1"/>
  <c r="AO215" i="6"/>
  <c r="AO214" i="6" s="1"/>
  <c r="AN215" i="6"/>
  <c r="AN214" i="6" s="1"/>
  <c r="AM215" i="6"/>
  <c r="AM214" i="6" s="1"/>
  <c r="AL215" i="6"/>
  <c r="AL214" i="6" s="1"/>
  <c r="AK215" i="6"/>
  <c r="AK214" i="6" s="1"/>
  <c r="AJ215" i="6"/>
  <c r="AJ214" i="6" s="1"/>
  <c r="AI215" i="6"/>
  <c r="AI214" i="6" s="1"/>
  <c r="AH215" i="6"/>
  <c r="AG215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AH214" i="6"/>
  <c r="AG214" i="6"/>
  <c r="AF214" i="6"/>
  <c r="AE214" i="6"/>
  <c r="AD214" i="6"/>
  <c r="AC214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AJ211" i="6"/>
  <c r="AI211" i="6"/>
  <c r="AH211" i="6"/>
  <c r="AG211" i="6"/>
  <c r="AF211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AK211" i="6"/>
  <c r="BN207" i="6"/>
  <c r="BM207" i="6"/>
  <c r="BL207" i="6"/>
  <c r="BK207" i="6"/>
  <c r="BJ207" i="6"/>
  <c r="BI207" i="6"/>
  <c r="BH207" i="6"/>
  <c r="BG207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BN200" i="6"/>
  <c r="BM200" i="6"/>
  <c r="BL200" i="6"/>
  <c r="BK200" i="6"/>
  <c r="BJ200" i="6"/>
  <c r="BI200" i="6"/>
  <c r="BH200" i="6"/>
  <c r="BG200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BN195" i="6"/>
  <c r="BM195" i="6"/>
  <c r="BL195" i="6"/>
  <c r="BK195" i="6"/>
  <c r="BJ195" i="6"/>
  <c r="BI195" i="6"/>
  <c r="BH195" i="6"/>
  <c r="BG195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AK192" i="6"/>
  <c r="AK251" i="6" s="1"/>
  <c r="AK281" i="6" s="1"/>
  <c r="AJ192" i="6"/>
  <c r="AI192" i="6"/>
  <c r="AI251" i="6" s="1"/>
  <c r="AI281" i="6" s="1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BN188" i="6"/>
  <c r="BM188" i="6"/>
  <c r="BL188" i="6"/>
  <c r="BK188" i="6"/>
  <c r="BJ188" i="6"/>
  <c r="BI188" i="6"/>
  <c r="BH188" i="6"/>
  <c r="BG188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BN185" i="6"/>
  <c r="BM185" i="6"/>
  <c r="BL185" i="6"/>
  <c r="BK185" i="6"/>
  <c r="BJ185" i="6"/>
  <c r="BI185" i="6"/>
  <c r="BH185" i="6"/>
  <c r="BG185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BN179" i="6"/>
  <c r="BM179" i="6"/>
  <c r="BL179" i="6"/>
  <c r="BK179" i="6"/>
  <c r="BJ179" i="6"/>
  <c r="BI179" i="6"/>
  <c r="BH179" i="6"/>
  <c r="BG179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BN171" i="6"/>
  <c r="BM171" i="6"/>
  <c r="BL171" i="6"/>
  <c r="BK171" i="6"/>
  <c r="BJ171" i="6"/>
  <c r="BI171" i="6"/>
  <c r="BH171" i="6"/>
  <c r="BG171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BN170" i="6"/>
  <c r="BM170" i="6"/>
  <c r="BL170" i="6"/>
  <c r="BK170" i="6"/>
  <c r="BJ170" i="6"/>
  <c r="BI170" i="6"/>
  <c r="BH170" i="6"/>
  <c r="BG170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BN166" i="6"/>
  <c r="BM166" i="6"/>
  <c r="BL166" i="6"/>
  <c r="BK166" i="6"/>
  <c r="BJ166" i="6"/>
  <c r="BI166" i="6"/>
  <c r="BH166" i="6"/>
  <c r="BG166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BN160" i="6"/>
  <c r="BM160" i="6"/>
  <c r="BL160" i="6"/>
  <c r="BK160" i="6"/>
  <c r="BJ160" i="6"/>
  <c r="BI160" i="6"/>
  <c r="BH160" i="6"/>
  <c r="BG160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AL146" i="6"/>
  <c r="AL155" i="6" s="1"/>
  <c r="AK146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BN128" i="6"/>
  <c r="BM128" i="6"/>
  <c r="BL128" i="6"/>
  <c r="BK128" i="6"/>
  <c r="BJ128" i="6"/>
  <c r="BI128" i="6"/>
  <c r="BH128" i="6"/>
  <c r="BG128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BN127" i="6"/>
  <c r="BM127" i="6"/>
  <c r="BL127" i="6"/>
  <c r="BK127" i="6"/>
  <c r="BJ127" i="6"/>
  <c r="BI127" i="6"/>
  <c r="BH127" i="6"/>
  <c r="BG127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BN114" i="6"/>
  <c r="BM114" i="6"/>
  <c r="BL114" i="6"/>
  <c r="BK114" i="6"/>
  <c r="BJ114" i="6"/>
  <c r="BI114" i="6"/>
  <c r="BH114" i="6"/>
  <c r="BG114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BN88" i="6"/>
  <c r="BM88" i="6"/>
  <c r="BL88" i="6"/>
  <c r="BK88" i="6"/>
  <c r="BJ88" i="6"/>
  <c r="BI88" i="6"/>
  <c r="BH88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P20" i="6"/>
  <c r="EO20" i="6"/>
  <c r="EN20" i="6"/>
  <c r="EM20" i="6"/>
  <c r="EL20" i="6"/>
  <c r="EK20" i="6"/>
  <c r="EJ20" i="6"/>
  <c r="EI20" i="6"/>
  <c r="EH20" i="6"/>
  <c r="EG20" i="6"/>
  <c r="EF20" i="6"/>
  <c r="EE20" i="6"/>
  <c r="ED20" i="6"/>
  <c r="EC20" i="6"/>
  <c r="EB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F16" i="4"/>
  <c r="F15" i="4"/>
  <c r="F14" i="4"/>
  <c r="F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AC7" i="4"/>
  <c r="AB7" i="4"/>
  <c r="AA7" i="4"/>
  <c r="Z7" i="4"/>
  <c r="X7" i="4"/>
  <c r="P7" i="4"/>
  <c r="M7" i="4"/>
  <c r="L7" i="4"/>
  <c r="K7" i="4"/>
  <c r="J7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F4" i="4"/>
  <c r="F2" i="4"/>
  <c r="F1" i="4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AH134" i="3"/>
  <c r="AH133" i="3" s="1"/>
  <c r="AG134" i="3"/>
  <c r="AG133" i="3" s="1"/>
  <c r="AE134" i="3"/>
  <c r="AE133" i="3" s="1"/>
  <c r="AD134" i="3"/>
  <c r="AD133" i="3" s="1"/>
  <c r="AC134" i="3"/>
  <c r="AC133" i="3" s="1"/>
  <c r="AB134" i="3"/>
  <c r="AB133" i="3" s="1"/>
  <c r="Z134" i="3"/>
  <c r="Z133" i="3" s="1"/>
  <c r="V134" i="3"/>
  <c r="V133" i="3" s="1"/>
  <c r="R134" i="3"/>
  <c r="R133" i="3" s="1"/>
  <c r="Q134" i="3"/>
  <c r="Q133" i="3" s="1"/>
  <c r="O134" i="3"/>
  <c r="O133" i="3" s="1"/>
  <c r="N134" i="3"/>
  <c r="N133" i="3" s="1"/>
  <c r="M134" i="3"/>
  <c r="M133" i="3" s="1"/>
  <c r="L134" i="3"/>
  <c r="L133" i="3" s="1"/>
  <c r="J134" i="3"/>
  <c r="J133" i="3" s="1"/>
  <c r="F131" i="3"/>
  <c r="I130" i="3"/>
  <c r="H130" i="3"/>
  <c r="G130" i="3"/>
  <c r="F130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H111" i="3"/>
  <c r="G111" i="3"/>
  <c r="F111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H75" i="3"/>
  <c r="G75" i="3"/>
  <c r="F75" i="3"/>
  <c r="H74" i="3"/>
  <c r="G74" i="3"/>
  <c r="F74" i="3"/>
  <c r="F136" i="3" s="1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F16" i="3"/>
  <c r="F15" i="3"/>
  <c r="F14" i="3"/>
  <c r="F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I9" i="3"/>
  <c r="AI134" i="3" s="1"/>
  <c r="AI133" i="3" s="1"/>
  <c r="AH9" i="3"/>
  <c r="AG9" i="3"/>
  <c r="AF9" i="3"/>
  <c r="AF134" i="3" s="1"/>
  <c r="AF133" i="3" s="1"/>
  <c r="AE9" i="3"/>
  <c r="AD9" i="3"/>
  <c r="AC9" i="3"/>
  <c r="AB9" i="3"/>
  <c r="AA9" i="3"/>
  <c r="AA134" i="3" s="1"/>
  <c r="AA133" i="3" s="1"/>
  <c r="Z9" i="3"/>
  <c r="Y9" i="3"/>
  <c r="Y134" i="3" s="1"/>
  <c r="Y133" i="3" s="1"/>
  <c r="X9" i="3"/>
  <c r="X134" i="3" s="1"/>
  <c r="X133" i="3" s="1"/>
  <c r="W9" i="3"/>
  <c r="W134" i="3" s="1"/>
  <c r="W133" i="3" s="1"/>
  <c r="V9" i="3"/>
  <c r="U9" i="3"/>
  <c r="U134" i="3" s="1"/>
  <c r="U133" i="3" s="1"/>
  <c r="T9" i="3"/>
  <c r="T134" i="3" s="1"/>
  <c r="T133" i="3" s="1"/>
  <c r="S9" i="3"/>
  <c r="S134" i="3" s="1"/>
  <c r="S133" i="3" s="1"/>
  <c r="R9" i="3"/>
  <c r="Q9" i="3"/>
  <c r="P9" i="3"/>
  <c r="P134" i="3" s="1"/>
  <c r="P133" i="3" s="1"/>
  <c r="O9" i="3"/>
  <c r="N9" i="3"/>
  <c r="M9" i="3"/>
  <c r="L9" i="3"/>
  <c r="K9" i="3"/>
  <c r="K134" i="3" s="1"/>
  <c r="K133" i="3" s="1"/>
  <c r="J9" i="3"/>
  <c r="I9" i="3"/>
  <c r="I134" i="3" s="1"/>
  <c r="I133" i="3" s="1"/>
  <c r="H9" i="3"/>
  <c r="H134" i="3" s="1"/>
  <c r="H133" i="3" s="1"/>
  <c r="G9" i="3"/>
  <c r="G134" i="3" s="1"/>
  <c r="G133" i="3" s="1"/>
  <c r="F9" i="3"/>
  <c r="F134" i="3" s="1"/>
  <c r="F133" i="3" s="1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B7" i="3"/>
  <c r="W7" i="3"/>
  <c r="U7" i="3"/>
  <c r="T7" i="3"/>
  <c r="O7" i="3"/>
  <c r="L7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F2" i="3"/>
  <c r="F1" i="3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F43" i="2" s="1"/>
  <c r="F56" i="2" s="1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I43" i="2" s="1"/>
  <c r="I56" i="2" s="1"/>
  <c r="I57" i="2" s="1"/>
  <c r="I62" i="2" s="1"/>
  <c r="I89" i="2" s="1"/>
  <c r="I93" i="2" s="1"/>
  <c r="H30" i="2"/>
  <c r="G30" i="2"/>
  <c r="F30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H25" i="2" s="1"/>
  <c r="G23" i="2"/>
  <c r="G25" i="2" s="1"/>
  <c r="F23" i="2"/>
  <c r="F25" i="2" s="1"/>
  <c r="F28" i="2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I7" i="2"/>
  <c r="AI7" i="3" s="1"/>
  <c r="AH7" i="2"/>
  <c r="AH7" i="4" s="1"/>
  <c r="AG7" i="2"/>
  <c r="AG7" i="4" s="1"/>
  <c r="AF7" i="2"/>
  <c r="AF7" i="4" s="1"/>
  <c r="AE7" i="2"/>
  <c r="AE7" i="4" s="1"/>
  <c r="AD7" i="2"/>
  <c r="AD7" i="3" s="1"/>
  <c r="AC7" i="2"/>
  <c r="AC7" i="3" s="1"/>
  <c r="AB7" i="2"/>
  <c r="AA7" i="2"/>
  <c r="AA7" i="3" s="1"/>
  <c r="Z7" i="2"/>
  <c r="Z7" i="3" s="1"/>
  <c r="Y7" i="2"/>
  <c r="Y7" i="3" s="1"/>
  <c r="X7" i="2"/>
  <c r="X7" i="3" s="1"/>
  <c r="W7" i="2"/>
  <c r="W7" i="4" s="1"/>
  <c r="V7" i="2"/>
  <c r="V7" i="3" s="1"/>
  <c r="U7" i="2"/>
  <c r="U7" i="4" s="1"/>
  <c r="T7" i="2"/>
  <c r="T7" i="4" s="1"/>
  <c r="S7" i="2"/>
  <c r="S7" i="3" s="1"/>
  <c r="R7" i="2"/>
  <c r="R7" i="4" s="1"/>
  <c r="Q7" i="2"/>
  <c r="Q7" i="4" s="1"/>
  <c r="P7" i="2"/>
  <c r="P7" i="3" s="1"/>
  <c r="O7" i="2"/>
  <c r="O7" i="4" s="1"/>
  <c r="N7" i="2"/>
  <c r="N7" i="3" s="1"/>
  <c r="M7" i="2"/>
  <c r="M7" i="3" s="1"/>
  <c r="L7" i="2"/>
  <c r="K7" i="2"/>
  <c r="K7" i="3" s="1"/>
  <c r="J7" i="2"/>
  <c r="J7" i="3" s="1"/>
  <c r="I7" i="2"/>
  <c r="I7" i="3" s="1"/>
  <c r="H7" i="2"/>
  <c r="H7" i="3" s="1"/>
  <c r="G7" i="2"/>
  <c r="G7" i="4" s="1"/>
  <c r="F7" i="2"/>
  <c r="F7" i="4" s="1"/>
  <c r="AJ212" i="6" l="1"/>
  <c r="AJ301" i="6" s="1"/>
  <c r="AK217" i="6"/>
  <c r="AK252" i="6" s="1"/>
  <c r="AL192" i="6"/>
  <c r="AK212" i="6"/>
  <c r="AL251" i="6"/>
  <c r="AL281" i="6" s="1"/>
  <c r="AN192" i="6"/>
  <c r="AM192" i="6"/>
  <c r="AJ251" i="6"/>
  <c r="AJ281" i="6" s="1"/>
  <c r="AI298" i="6"/>
  <c r="AI257" i="6"/>
  <c r="AI286" i="6"/>
  <c r="AI270" i="6"/>
  <c r="AI268" i="6"/>
  <c r="AI274" i="6"/>
  <c r="AJ298" i="6"/>
  <c r="AJ286" i="6"/>
  <c r="AJ270" i="6"/>
  <c r="AJ268" i="6"/>
  <c r="AJ257" i="6"/>
  <c r="AJ274" i="6"/>
  <c r="AL156" i="6"/>
  <c r="AK298" i="6"/>
  <c r="AK286" i="6"/>
  <c r="AK270" i="6"/>
  <c r="AK268" i="6"/>
  <c r="AK274" i="6"/>
  <c r="AK257" i="6"/>
  <c r="AM146" i="6"/>
  <c r="J130" i="3"/>
  <c r="G136" i="3"/>
  <c r="H136" i="3"/>
  <c r="G131" i="3"/>
  <c r="H131" i="3"/>
  <c r="H7" i="4"/>
  <c r="G43" i="2"/>
  <c r="G56" i="2" s="1"/>
  <c r="I111" i="3"/>
  <c r="I131" i="3" s="1"/>
  <c r="J111" i="3"/>
  <c r="J131" i="3" s="1"/>
  <c r="H43" i="2"/>
  <c r="H56" i="2" s="1"/>
  <c r="F57" i="2"/>
  <c r="F62" i="2" s="1"/>
  <c r="F89" i="2" s="1"/>
  <c r="F93" i="2" s="1"/>
  <c r="F96" i="2" s="1"/>
  <c r="F97" i="2" s="1"/>
  <c r="I96" i="2"/>
  <c r="I65" i="3" s="1"/>
  <c r="I26" i="2"/>
  <c r="H28" i="2"/>
  <c r="G7" i="3"/>
  <c r="AE7" i="3"/>
  <c r="S7" i="4"/>
  <c r="AI7" i="4"/>
  <c r="AF7" i="3"/>
  <c r="Q7" i="3"/>
  <c r="AG7" i="3"/>
  <c r="R7" i="3"/>
  <c r="AH7" i="3"/>
  <c r="V7" i="4"/>
  <c r="I7" i="4"/>
  <c r="Y7" i="4"/>
  <c r="N7" i="4"/>
  <c r="AD7" i="4"/>
  <c r="F7" i="3"/>
  <c r="H26" i="2"/>
  <c r="G26" i="2"/>
  <c r="G28" i="2"/>
  <c r="AJ310" i="6" l="1"/>
  <c r="AJ303" i="6"/>
  <c r="AJ305" i="6"/>
  <c r="AJ302" i="6"/>
  <c r="AL211" i="6"/>
  <c r="AN251" i="6"/>
  <c r="AN281" i="6" s="1"/>
  <c r="AO192" i="6"/>
  <c r="AM251" i="6"/>
  <c r="AM281" i="6" s="1"/>
  <c r="AJ271" i="6"/>
  <c r="AJ269" i="6"/>
  <c r="AJ275" i="6"/>
  <c r="AI271" i="6"/>
  <c r="AI269" i="6"/>
  <c r="AI275" i="6"/>
  <c r="AM155" i="6"/>
  <c r="AN146" i="6"/>
  <c r="AK271" i="6"/>
  <c r="AK269" i="6"/>
  <c r="AK275" i="6"/>
  <c r="K130" i="3"/>
  <c r="G57" i="2"/>
  <c r="G62" i="2" s="1"/>
  <c r="G89" i="2" s="1"/>
  <c r="G93" i="2" s="1"/>
  <c r="G96" i="2" s="1"/>
  <c r="G97" i="2" s="1"/>
  <c r="H57" i="2"/>
  <c r="H62" i="2" s="1"/>
  <c r="H89" i="2" s="1"/>
  <c r="H93" i="2" s="1"/>
  <c r="H96" i="2" s="1"/>
  <c r="H97" i="2" s="1"/>
  <c r="K111" i="3"/>
  <c r="K131" i="3" s="1"/>
  <c r="J65" i="3"/>
  <c r="I74" i="3"/>
  <c r="I97" i="2"/>
  <c r="AM211" i="6" l="1"/>
  <c r="AM212" i="6" s="1"/>
  <c r="AL217" i="6"/>
  <c r="AL252" i="6" s="1"/>
  <c r="AL212" i="6"/>
  <c r="AO251" i="6"/>
  <c r="AO281" i="6" s="1"/>
  <c r="AP192" i="6"/>
  <c r="AM156" i="6"/>
  <c r="AN155" i="6"/>
  <c r="AO146" i="6"/>
  <c r="L130" i="3"/>
  <c r="L111" i="3"/>
  <c r="L131" i="3" s="1"/>
  <c r="I75" i="3"/>
  <c r="I136" i="3"/>
  <c r="K65" i="3"/>
  <c r="J74" i="3"/>
  <c r="AM217" i="6" l="1"/>
  <c r="AM252" i="6" s="1"/>
  <c r="AL298" i="6"/>
  <c r="AL286" i="6"/>
  <c r="AL270" i="6"/>
  <c r="AL268" i="6"/>
  <c r="AL274" i="6"/>
  <c r="AL257" i="6"/>
  <c r="AJ317" i="6"/>
  <c r="AJ314" i="6"/>
  <c r="AJ325" i="6"/>
  <c r="AJ315" i="6"/>
  <c r="AJ322" i="6"/>
  <c r="AJ324" i="6"/>
  <c r="AJ323" i="6"/>
  <c r="AJ319" i="6"/>
  <c r="AJ318" i="6"/>
  <c r="AJ321" i="6"/>
  <c r="AJ316" i="6"/>
  <c r="AJ320" i="6"/>
  <c r="AN211" i="6"/>
  <c r="AN212" i="6" s="1"/>
  <c r="AQ192" i="6"/>
  <c r="AP251" i="6"/>
  <c r="AP281" i="6" s="1"/>
  <c r="AN156" i="6"/>
  <c r="AN217" i="6"/>
  <c r="AN252" i="6" s="1"/>
  <c r="AO155" i="6"/>
  <c r="AP146" i="6"/>
  <c r="AM298" i="6"/>
  <c r="AM268" i="6"/>
  <c r="AM286" i="6"/>
  <c r="AM257" i="6"/>
  <c r="AM270" i="6"/>
  <c r="AM274" i="6"/>
  <c r="M130" i="3"/>
  <c r="M111" i="3"/>
  <c r="M131" i="3" s="1"/>
  <c r="J75" i="3"/>
  <c r="J136" i="3"/>
  <c r="L65" i="3"/>
  <c r="K74" i="3"/>
  <c r="AO211" i="6" l="1"/>
  <c r="AO212" i="6" s="1"/>
  <c r="AL275" i="6"/>
  <c r="AL269" i="6"/>
  <c r="AL271" i="6"/>
  <c r="AR192" i="6"/>
  <c r="AQ251" i="6"/>
  <c r="AQ281" i="6" s="1"/>
  <c r="AQ146" i="6"/>
  <c r="AP155" i="6"/>
  <c r="AM269" i="6"/>
  <c r="AM275" i="6"/>
  <c r="AM271" i="6"/>
  <c r="AN298" i="6"/>
  <c r="AN268" i="6"/>
  <c r="AN274" i="6"/>
  <c r="AN257" i="6"/>
  <c r="AN286" i="6"/>
  <c r="AN270" i="6"/>
  <c r="AO156" i="6"/>
  <c r="AO217" i="6"/>
  <c r="AO252" i="6" s="1"/>
  <c r="N130" i="3"/>
  <c r="N111" i="3"/>
  <c r="N131" i="3" s="1"/>
  <c r="M65" i="3"/>
  <c r="L74" i="3"/>
  <c r="K75" i="3"/>
  <c r="K136" i="3"/>
  <c r="AP211" i="6" l="1"/>
  <c r="AP212" i="6" s="1"/>
  <c r="AR251" i="6"/>
  <c r="AR281" i="6" s="1"/>
  <c r="AS192" i="6"/>
  <c r="AO298" i="6"/>
  <c r="AO268" i="6"/>
  <c r="AO274" i="6"/>
  <c r="AO257" i="6"/>
  <c r="AO286" i="6"/>
  <c r="AO270" i="6"/>
  <c r="AN269" i="6"/>
  <c r="AN275" i="6"/>
  <c r="AN271" i="6"/>
  <c r="AP156" i="6"/>
  <c r="AR146" i="6"/>
  <c r="AQ155" i="6"/>
  <c r="O130" i="3"/>
  <c r="O111" i="3"/>
  <c r="O131" i="3" s="1"/>
  <c r="L75" i="3"/>
  <c r="L136" i="3"/>
  <c r="M74" i="3"/>
  <c r="N65" i="3"/>
  <c r="AP217" i="6" l="1"/>
  <c r="AP252" i="6" s="1"/>
  <c r="AQ211" i="6"/>
  <c r="AQ212" i="6" s="1"/>
  <c r="AS251" i="6"/>
  <c r="AS281" i="6" s="1"/>
  <c r="AT192" i="6"/>
  <c r="AP298" i="6"/>
  <c r="AP270" i="6"/>
  <c r="AP257" i="6"/>
  <c r="AP274" i="6"/>
  <c r="AP286" i="6"/>
  <c r="AP268" i="6"/>
  <c r="AO271" i="6"/>
  <c r="AO275" i="6"/>
  <c r="AO269" i="6"/>
  <c r="AQ156" i="6"/>
  <c r="AQ217" i="6"/>
  <c r="AQ252" i="6" s="1"/>
  <c r="AR155" i="6"/>
  <c r="AS146" i="6"/>
  <c r="P130" i="3"/>
  <c r="P111" i="3"/>
  <c r="N74" i="3"/>
  <c r="O65" i="3"/>
  <c r="M75" i="3"/>
  <c r="M136" i="3"/>
  <c r="AR211" i="6" l="1"/>
  <c r="AR212" i="6" s="1"/>
  <c r="AT251" i="6"/>
  <c r="AT281" i="6" s="1"/>
  <c r="AU192" i="6"/>
  <c r="AQ298" i="6"/>
  <c r="AQ274" i="6"/>
  <c r="AQ257" i="6"/>
  <c r="AQ286" i="6"/>
  <c r="AQ270" i="6"/>
  <c r="AQ268" i="6"/>
  <c r="AT146" i="6"/>
  <c r="AS155" i="6"/>
  <c r="AR217" i="6"/>
  <c r="AR252" i="6" s="1"/>
  <c r="AR156" i="6"/>
  <c r="AP275" i="6"/>
  <c r="AP271" i="6"/>
  <c r="AP269" i="6"/>
  <c r="P131" i="3"/>
  <c r="Q130" i="3"/>
  <c r="Q111" i="3"/>
  <c r="Q131" i="3" s="1"/>
  <c r="O74" i="3"/>
  <c r="P65" i="3"/>
  <c r="N75" i="3"/>
  <c r="N136" i="3"/>
  <c r="AS211" i="6" l="1"/>
  <c r="AS212" i="6" s="1"/>
  <c r="AU251" i="6"/>
  <c r="AU281" i="6" s="1"/>
  <c r="AV192" i="6"/>
  <c r="AR298" i="6"/>
  <c r="AR268" i="6"/>
  <c r="AR274" i="6"/>
  <c r="AR257" i="6"/>
  <c r="AR286" i="6"/>
  <c r="AR270" i="6"/>
  <c r="AU146" i="6"/>
  <c r="AT155" i="6"/>
  <c r="AQ275" i="6"/>
  <c r="AQ269" i="6"/>
  <c r="AQ271" i="6"/>
  <c r="AS217" i="6"/>
  <c r="AS252" i="6" s="1"/>
  <c r="AS156" i="6"/>
  <c r="R130" i="3"/>
  <c r="R111" i="3"/>
  <c r="Q65" i="3"/>
  <c r="P74" i="3"/>
  <c r="O136" i="3"/>
  <c r="O75" i="3"/>
  <c r="AT211" i="6" l="1"/>
  <c r="AT212" i="6" s="1"/>
  <c r="AW192" i="6"/>
  <c r="AV251" i="6"/>
  <c r="AV281" i="6" s="1"/>
  <c r="AS298" i="6"/>
  <c r="AS257" i="6"/>
  <c r="AS274" i="6"/>
  <c r="AS286" i="6"/>
  <c r="AS270" i="6"/>
  <c r="AS268" i="6"/>
  <c r="AV146" i="6"/>
  <c r="AU155" i="6"/>
  <c r="AR275" i="6"/>
  <c r="AR271" i="6"/>
  <c r="AR269" i="6"/>
  <c r="AT217" i="6"/>
  <c r="AT252" i="6" s="1"/>
  <c r="AT156" i="6"/>
  <c r="R131" i="3"/>
  <c r="S130" i="3"/>
  <c r="S111" i="3"/>
  <c r="S131" i="3" s="1"/>
  <c r="P136" i="3"/>
  <c r="P75" i="3"/>
  <c r="R65" i="3"/>
  <c r="Q74" i="3"/>
  <c r="AU211" i="6" l="1"/>
  <c r="AU212" i="6" s="1"/>
  <c r="AX192" i="6"/>
  <c r="AW251" i="6"/>
  <c r="AW281" i="6" s="1"/>
  <c r="AW146" i="6"/>
  <c r="AV155" i="6"/>
  <c r="AT298" i="6"/>
  <c r="AT274" i="6"/>
  <c r="AT257" i="6"/>
  <c r="AT286" i="6"/>
  <c r="AT270" i="6"/>
  <c r="AT268" i="6"/>
  <c r="AS275" i="6"/>
  <c r="AS271" i="6"/>
  <c r="AS269" i="6"/>
  <c r="AU217" i="6"/>
  <c r="AU252" i="6" s="1"/>
  <c r="AU156" i="6"/>
  <c r="T130" i="3"/>
  <c r="T111" i="3"/>
  <c r="T131" i="3" s="1"/>
  <c r="Q136" i="3"/>
  <c r="Q75" i="3"/>
  <c r="S65" i="3"/>
  <c r="R74" i="3"/>
  <c r="AV211" i="6" l="1"/>
  <c r="AV212" i="6" s="1"/>
  <c r="AY192" i="6"/>
  <c r="AX251" i="6"/>
  <c r="AX281" i="6" s="1"/>
  <c r="AU298" i="6"/>
  <c r="AU274" i="6"/>
  <c r="AU257" i="6"/>
  <c r="AU286" i="6"/>
  <c r="AU270" i="6"/>
  <c r="AU268" i="6"/>
  <c r="AV217" i="6"/>
  <c r="AV252" i="6" s="1"/>
  <c r="AV156" i="6"/>
  <c r="AT275" i="6"/>
  <c r="AT271" i="6"/>
  <c r="AT269" i="6"/>
  <c r="AX146" i="6"/>
  <c r="AW155" i="6"/>
  <c r="U130" i="3"/>
  <c r="U111" i="3"/>
  <c r="U131" i="3" s="1"/>
  <c r="R136" i="3"/>
  <c r="R75" i="3"/>
  <c r="S74" i="3"/>
  <c r="T65" i="3"/>
  <c r="AW211" i="6" l="1"/>
  <c r="AW212" i="6" s="1"/>
  <c r="AZ192" i="6"/>
  <c r="AY251" i="6"/>
  <c r="AY281" i="6" s="1"/>
  <c r="AY146" i="6"/>
  <c r="AX155" i="6"/>
  <c r="AV298" i="6"/>
  <c r="AV274" i="6"/>
  <c r="AV257" i="6"/>
  <c r="AV286" i="6"/>
  <c r="AV270" i="6"/>
  <c r="AV268" i="6"/>
  <c r="AU275" i="6"/>
  <c r="AU271" i="6"/>
  <c r="AU269" i="6"/>
  <c r="AW156" i="6"/>
  <c r="AW217" i="6"/>
  <c r="AW252" i="6" s="1"/>
  <c r="V130" i="3"/>
  <c r="V111" i="3"/>
  <c r="V131" i="3" s="1"/>
  <c r="T74" i="3"/>
  <c r="U65" i="3"/>
  <c r="S136" i="3"/>
  <c r="S75" i="3"/>
  <c r="AX211" i="6" l="1"/>
  <c r="AX212" i="6" s="1"/>
  <c r="AZ251" i="6"/>
  <c r="AZ281" i="6" s="1"/>
  <c r="BA192" i="6"/>
  <c r="AW298" i="6"/>
  <c r="AW274" i="6"/>
  <c r="AW257" i="6"/>
  <c r="AW286" i="6"/>
  <c r="AW270" i="6"/>
  <c r="AW268" i="6"/>
  <c r="AV275" i="6"/>
  <c r="AV271" i="6"/>
  <c r="AV269" i="6"/>
  <c r="AX156" i="6"/>
  <c r="AX217" i="6"/>
  <c r="AX252" i="6" s="1"/>
  <c r="AZ146" i="6"/>
  <c r="AY155" i="6"/>
  <c r="W130" i="3"/>
  <c r="W111" i="3"/>
  <c r="V65" i="3"/>
  <c r="U74" i="3"/>
  <c r="T136" i="3"/>
  <c r="T75" i="3"/>
  <c r="AY211" i="6" l="1"/>
  <c r="AY212" i="6" s="1"/>
  <c r="BA251" i="6"/>
  <c r="BA281" i="6" s="1"/>
  <c r="BB192" i="6"/>
  <c r="AY217" i="6"/>
  <c r="AY252" i="6" s="1"/>
  <c r="AY156" i="6"/>
  <c r="AX298" i="6"/>
  <c r="AX274" i="6"/>
  <c r="AX257" i="6"/>
  <c r="AX286" i="6"/>
  <c r="AX270" i="6"/>
  <c r="AX268" i="6"/>
  <c r="BA146" i="6"/>
  <c r="AZ155" i="6"/>
  <c r="AW275" i="6"/>
  <c r="AW271" i="6"/>
  <c r="AW269" i="6"/>
  <c r="W131" i="3"/>
  <c r="X130" i="3"/>
  <c r="X111" i="3"/>
  <c r="X131" i="3" s="1"/>
  <c r="U75" i="3"/>
  <c r="U136" i="3"/>
  <c r="W65" i="3"/>
  <c r="V74" i="3"/>
  <c r="AZ211" i="6" l="1"/>
  <c r="AZ212" i="6" s="1"/>
  <c r="BB251" i="6"/>
  <c r="BB281" i="6" s="1"/>
  <c r="BC192" i="6"/>
  <c r="BA155" i="6"/>
  <c r="BB146" i="6"/>
  <c r="AZ156" i="6"/>
  <c r="AX271" i="6"/>
  <c r="AX269" i="6"/>
  <c r="AX275" i="6"/>
  <c r="AY298" i="6"/>
  <c r="AY257" i="6"/>
  <c r="AY286" i="6"/>
  <c r="AY270" i="6"/>
  <c r="AY268" i="6"/>
  <c r="AY274" i="6"/>
  <c r="Y130" i="3"/>
  <c r="Y111" i="3"/>
  <c r="V136" i="3"/>
  <c r="V75" i="3"/>
  <c r="X65" i="3"/>
  <c r="W74" i="3"/>
  <c r="AZ217" i="6" l="1"/>
  <c r="AZ252" i="6" s="1"/>
  <c r="AZ286" i="6" s="1"/>
  <c r="BA211" i="6"/>
  <c r="BA212" i="6" s="1"/>
  <c r="BC251" i="6"/>
  <c r="BC281" i="6" s="1"/>
  <c r="BD192" i="6"/>
  <c r="AZ268" i="6"/>
  <c r="AZ257" i="6"/>
  <c r="AZ274" i="6"/>
  <c r="AY271" i="6"/>
  <c r="AY269" i="6"/>
  <c r="AY275" i="6"/>
  <c r="BB155" i="6"/>
  <c r="BC146" i="6"/>
  <c r="BA156" i="6"/>
  <c r="BA217" i="6"/>
  <c r="BA252" i="6" s="1"/>
  <c r="Y131" i="3"/>
  <c r="Z130" i="3"/>
  <c r="Z111" i="3"/>
  <c r="Z131" i="3" s="1"/>
  <c r="W136" i="3"/>
  <c r="W75" i="3"/>
  <c r="Y65" i="3"/>
  <c r="X74" i="3"/>
  <c r="AZ270" i="6" l="1"/>
  <c r="AZ298" i="6"/>
  <c r="BB211" i="6"/>
  <c r="BB212" i="6" s="1"/>
  <c r="BD251" i="6"/>
  <c r="BD281" i="6" s="1"/>
  <c r="BE192" i="6"/>
  <c r="AZ271" i="6"/>
  <c r="AZ269" i="6"/>
  <c r="AZ275" i="6"/>
  <c r="BA298" i="6"/>
  <c r="BA286" i="6"/>
  <c r="BA270" i="6"/>
  <c r="BA268" i="6"/>
  <c r="BA274" i="6"/>
  <c r="BA257" i="6"/>
  <c r="BB156" i="6"/>
  <c r="BC155" i="6"/>
  <c r="BD146" i="6"/>
  <c r="AA130" i="3"/>
  <c r="AA111" i="3"/>
  <c r="AA131" i="3" s="1"/>
  <c r="Z65" i="3"/>
  <c r="Y74" i="3"/>
  <c r="X75" i="3"/>
  <c r="X136" i="3"/>
  <c r="BC211" i="6" l="1"/>
  <c r="BC212" i="6" s="1"/>
  <c r="BB217" i="6"/>
  <c r="BB252" i="6" s="1"/>
  <c r="BE251" i="6"/>
  <c r="BE281" i="6" s="1"/>
  <c r="BF192" i="6"/>
  <c r="BB298" i="6"/>
  <c r="BB286" i="6"/>
  <c r="BB270" i="6"/>
  <c r="BB268" i="6"/>
  <c r="BB274" i="6"/>
  <c r="BB257" i="6"/>
  <c r="BD155" i="6"/>
  <c r="BE146" i="6"/>
  <c r="BC156" i="6"/>
  <c r="BC217" i="6"/>
  <c r="BC252" i="6" s="1"/>
  <c r="BA271" i="6"/>
  <c r="BA269" i="6"/>
  <c r="BA275" i="6"/>
  <c r="AB130" i="3"/>
  <c r="AB111" i="3"/>
  <c r="AB131" i="3" s="1"/>
  <c r="Y75" i="3"/>
  <c r="Y136" i="3"/>
  <c r="AA65" i="3"/>
  <c r="Z74" i="3"/>
  <c r="BD211" i="6" l="1"/>
  <c r="BD212" i="6" s="1"/>
  <c r="BF251" i="6"/>
  <c r="BF281" i="6" s="1"/>
  <c r="BG192" i="6"/>
  <c r="BC298" i="6"/>
  <c r="BC268" i="6"/>
  <c r="BC257" i="6"/>
  <c r="BC286" i="6"/>
  <c r="BC270" i="6"/>
  <c r="BC274" i="6"/>
  <c r="BE155" i="6"/>
  <c r="BF146" i="6"/>
  <c r="BB269" i="6"/>
  <c r="BB271" i="6"/>
  <c r="BB275" i="6"/>
  <c r="BD156" i="6"/>
  <c r="BD217" i="6"/>
  <c r="BD252" i="6" s="1"/>
  <c r="AC130" i="3"/>
  <c r="AC111" i="3"/>
  <c r="Z136" i="3"/>
  <c r="Z75" i="3"/>
  <c r="AB65" i="3"/>
  <c r="AA74" i="3"/>
  <c r="BE211" i="6" l="1"/>
  <c r="BE212" i="6" s="1"/>
  <c r="BH192" i="6"/>
  <c r="BG251" i="6"/>
  <c r="BG281" i="6" s="1"/>
  <c r="BD298" i="6"/>
  <c r="BD268" i="6"/>
  <c r="BD274" i="6"/>
  <c r="BD257" i="6"/>
  <c r="BD286" i="6"/>
  <c r="BD270" i="6"/>
  <c r="BG146" i="6"/>
  <c r="BF155" i="6"/>
  <c r="BE156" i="6"/>
  <c r="BE217" i="6"/>
  <c r="BE252" i="6" s="1"/>
  <c r="BC269" i="6"/>
  <c r="BC275" i="6"/>
  <c r="BC271" i="6"/>
  <c r="AC131" i="3"/>
  <c r="AD130" i="3"/>
  <c r="AD111" i="3"/>
  <c r="AD131" i="3" s="1"/>
  <c r="AA75" i="3"/>
  <c r="AA136" i="3"/>
  <c r="AC65" i="3"/>
  <c r="AB74" i="3"/>
  <c r="BF211" i="6" l="1"/>
  <c r="BF212" i="6" s="1"/>
  <c r="BH251" i="6"/>
  <c r="BH281" i="6" s="1"/>
  <c r="BI192" i="6"/>
  <c r="BE298" i="6"/>
  <c r="BE274" i="6"/>
  <c r="BE268" i="6"/>
  <c r="BE257" i="6"/>
  <c r="BE286" i="6"/>
  <c r="BE270" i="6"/>
  <c r="BH146" i="6"/>
  <c r="BG155" i="6"/>
  <c r="BF156" i="6"/>
  <c r="BD269" i="6"/>
  <c r="BD275" i="6"/>
  <c r="BD271" i="6"/>
  <c r="AE130" i="3"/>
  <c r="AE111" i="3"/>
  <c r="AB75" i="3"/>
  <c r="AB136" i="3"/>
  <c r="AC74" i="3"/>
  <c r="AD65" i="3"/>
  <c r="BF217" i="6" l="1"/>
  <c r="BF252" i="6" s="1"/>
  <c r="BF298" i="6" s="1"/>
  <c r="BG211" i="6"/>
  <c r="BG212" i="6" s="1"/>
  <c r="BI251" i="6"/>
  <c r="BI281" i="6" s="1"/>
  <c r="BJ192" i="6"/>
  <c r="BF257" i="6"/>
  <c r="BF270" i="6"/>
  <c r="BF268" i="6"/>
  <c r="BG156" i="6"/>
  <c r="BH155" i="6"/>
  <c r="BI146" i="6"/>
  <c r="BE275" i="6"/>
  <c r="BE271" i="6"/>
  <c r="BE269" i="6"/>
  <c r="AE131" i="3"/>
  <c r="AF130" i="3"/>
  <c r="AF111" i="3"/>
  <c r="AF131" i="3" s="1"/>
  <c r="AD74" i="3"/>
  <c r="AE65" i="3"/>
  <c r="AC75" i="3"/>
  <c r="AC136" i="3"/>
  <c r="BF274" i="6" l="1"/>
  <c r="BF286" i="6"/>
  <c r="BG217" i="6"/>
  <c r="BG252" i="6" s="1"/>
  <c r="BG298" i="6" s="1"/>
  <c r="BH211" i="6"/>
  <c r="BH212" i="6" s="1"/>
  <c r="BJ251" i="6"/>
  <c r="BJ281" i="6" s="1"/>
  <c r="BK192" i="6"/>
  <c r="BF275" i="6"/>
  <c r="BF271" i="6"/>
  <c r="BF269" i="6"/>
  <c r="BH217" i="6"/>
  <c r="BH252" i="6" s="1"/>
  <c r="BH156" i="6"/>
  <c r="BJ146" i="6"/>
  <c r="BI155" i="6"/>
  <c r="AG130" i="3"/>
  <c r="AG111" i="3"/>
  <c r="AG131" i="3" s="1"/>
  <c r="AE74" i="3"/>
  <c r="AF65" i="3"/>
  <c r="AD136" i="3"/>
  <c r="AD75" i="3"/>
  <c r="BG270" i="6" l="1"/>
  <c r="BG257" i="6"/>
  <c r="BG268" i="6"/>
  <c r="BG274" i="6"/>
  <c r="BG286" i="6"/>
  <c r="BI211" i="6"/>
  <c r="BI212" i="6" s="1"/>
  <c r="BK251" i="6"/>
  <c r="BK281" i="6" s="1"/>
  <c r="BL192" i="6"/>
  <c r="BG275" i="6"/>
  <c r="BG269" i="6"/>
  <c r="BG271" i="6"/>
  <c r="BI217" i="6"/>
  <c r="BI252" i="6" s="1"/>
  <c r="BI156" i="6"/>
  <c r="BK146" i="6"/>
  <c r="BJ155" i="6"/>
  <c r="BH298" i="6"/>
  <c r="BH274" i="6"/>
  <c r="BH257" i="6"/>
  <c r="BH268" i="6"/>
  <c r="BH286" i="6"/>
  <c r="BH270" i="6"/>
  <c r="AI130" i="3"/>
  <c r="AH130" i="3"/>
  <c r="AI111" i="3"/>
  <c r="AH111" i="3"/>
  <c r="AH131" i="3" s="1"/>
  <c r="AG65" i="3"/>
  <c r="AF74" i="3"/>
  <c r="AE136" i="3"/>
  <c r="AE75" i="3"/>
  <c r="BJ211" i="6" l="1"/>
  <c r="BJ212" i="6" s="1"/>
  <c r="BL251" i="6"/>
  <c r="BL281" i="6" s="1"/>
  <c r="BM192" i="6"/>
  <c r="BN192" i="6"/>
  <c r="BH275" i="6"/>
  <c r="BH271" i="6"/>
  <c r="BH269" i="6"/>
  <c r="BJ217" i="6"/>
  <c r="BJ252" i="6" s="1"/>
  <c r="BJ156" i="6"/>
  <c r="BL146" i="6"/>
  <c r="BK155" i="6"/>
  <c r="BI298" i="6"/>
  <c r="BI274" i="6"/>
  <c r="BI257" i="6"/>
  <c r="BI286" i="6"/>
  <c r="BI270" i="6"/>
  <c r="BI268" i="6"/>
  <c r="AI131" i="3"/>
  <c r="AF136" i="3"/>
  <c r="AF75" i="3"/>
  <c r="AH65" i="3"/>
  <c r="AG74" i="3"/>
  <c r="BK211" i="6" l="1"/>
  <c r="BK212" i="6" s="1"/>
  <c r="BN251" i="6"/>
  <c r="BN281" i="6" s="1"/>
  <c r="BM251" i="6"/>
  <c r="BM281" i="6" s="1"/>
  <c r="BI275" i="6"/>
  <c r="BI271" i="6"/>
  <c r="BI269" i="6"/>
  <c r="BK217" i="6"/>
  <c r="BK252" i="6" s="1"/>
  <c r="BK156" i="6"/>
  <c r="BM146" i="6"/>
  <c r="BL155" i="6"/>
  <c r="BJ298" i="6"/>
  <c r="BJ274" i="6"/>
  <c r="BJ257" i="6"/>
  <c r="BJ286" i="6"/>
  <c r="BJ270" i="6"/>
  <c r="BJ268" i="6"/>
  <c r="AI65" i="3"/>
  <c r="AI74" i="3" s="1"/>
  <c r="AH74" i="3"/>
  <c r="AG136" i="3"/>
  <c r="AG75" i="3"/>
  <c r="BL211" i="6" l="1"/>
  <c r="BL212" i="6" s="1"/>
  <c r="BJ275" i="6"/>
  <c r="BJ271" i="6"/>
  <c r="BJ269" i="6"/>
  <c r="BL217" i="6"/>
  <c r="BL252" i="6" s="1"/>
  <c r="BL156" i="6"/>
  <c r="BN146" i="6"/>
  <c r="BN155" i="6" s="1"/>
  <c r="BM155" i="6"/>
  <c r="BK298" i="6"/>
  <c r="BK274" i="6"/>
  <c r="BK257" i="6"/>
  <c r="BK286" i="6"/>
  <c r="BK270" i="6"/>
  <c r="BK268" i="6"/>
  <c r="AH136" i="3"/>
  <c r="AH75" i="3"/>
  <c r="AI136" i="3"/>
  <c r="AI75" i="3"/>
  <c r="BN211" i="6" l="1"/>
  <c r="BN212" i="6" s="1"/>
  <c r="BM211" i="6"/>
  <c r="BM212" i="6" s="1"/>
  <c r="BM156" i="6"/>
  <c r="BM217" i="6"/>
  <c r="BM252" i="6" s="1"/>
  <c r="BK275" i="6"/>
  <c r="BK271" i="6"/>
  <c r="BK269" i="6"/>
  <c r="BL298" i="6"/>
  <c r="BL274" i="6"/>
  <c r="BL257" i="6"/>
  <c r="BL286" i="6"/>
  <c r="BL270" i="6"/>
  <c r="BL268" i="6"/>
  <c r="BN156" i="6"/>
  <c r="BN217" i="6"/>
  <c r="BN252" i="6" s="1"/>
  <c r="BL275" i="6" l="1"/>
  <c r="BL271" i="6"/>
  <c r="BL269" i="6"/>
  <c r="BN298" i="6"/>
  <c r="BN274" i="6"/>
  <c r="BN257" i="6"/>
  <c r="BN286" i="6"/>
  <c r="BN270" i="6"/>
  <c r="BN268" i="6"/>
  <c r="BM298" i="6"/>
  <c r="BM274" i="6"/>
  <c r="BM257" i="6"/>
  <c r="BM286" i="6"/>
  <c r="BM270" i="6"/>
  <c r="BM268" i="6"/>
  <c r="BM275" i="6" l="1"/>
  <c r="BM271" i="6"/>
  <c r="BM269" i="6"/>
  <c r="BN271" i="6"/>
  <c r="BN269" i="6"/>
  <c r="BN275" i="6"/>
</calcChain>
</file>

<file path=xl/sharedStrings.xml><?xml version="1.0" encoding="utf-8"?>
<sst xmlns="http://schemas.openxmlformats.org/spreadsheetml/2006/main" count="3252" uniqueCount="1007">
  <si>
    <t>BORROWER_NAME</t>
  </si>
  <si>
    <t>BORROWER_CODE</t>
  </si>
  <si>
    <t>8e28cb47-8f2a-4284-a118-9bff91643dd9</t>
  </si>
  <si>
    <t>TEMPLATE_NAME</t>
  </si>
  <si>
    <t>PROJECT_NAME</t>
  </si>
  <si>
    <t>ACCOUNTING_TYPE</t>
  </si>
  <si>
    <t>GAAP</t>
  </si>
  <si>
    <t>FINANCIAL_TYPE</t>
  </si>
  <si>
    <t>Consolidated</t>
  </si>
  <si>
    <t>YEAR</t>
  </si>
  <si>
    <t>YEAR_TYPE</t>
  </si>
  <si>
    <t>STATEMENT_DATE (YYYY-MM-DD)</t>
  </si>
  <si>
    <t>NO_OF_MONTHS</t>
  </si>
  <si>
    <t>CURRENCY</t>
  </si>
  <si>
    <t>DENOMINATION</t>
  </si>
  <si>
    <t>AUDITOR_NAME</t>
  </si>
  <si>
    <t>VERSION</t>
  </si>
  <si>
    <t>CIF_ID</t>
  </si>
  <si>
    <t>BASE_YEAR</t>
  </si>
  <si>
    <t>UUID</t>
  </si>
  <si>
    <t>PARENT ID</t>
  </si>
  <si>
    <t>AUTO_SEQUENCE</t>
  </si>
  <si>
    <t>INPUT_SEQUENCE</t>
  </si>
  <si>
    <t>LINE_ITEM_NAME</t>
  </si>
  <si>
    <t>VALUE</t>
  </si>
  <si>
    <t xml:space="preserve"> </t>
  </si>
  <si>
    <t>1</t>
  </si>
  <si>
    <t>Profit and Loss Statement</t>
  </si>
  <si>
    <t>1.1</t>
  </si>
  <si>
    <t>Gross Sales</t>
  </si>
  <si>
    <t>1.1.1</t>
  </si>
  <si>
    <t>1.1.2</t>
  </si>
  <si>
    <t>1.2</t>
  </si>
  <si>
    <t>1.1.3</t>
  </si>
  <si>
    <t>1.3</t>
  </si>
  <si>
    <t/>
  </si>
  <si>
    <t>2</t>
  </si>
  <si>
    <t xml:space="preserve">Less Excise Duty </t>
  </si>
  <si>
    <t>1.4</t>
  </si>
  <si>
    <t>3</t>
  </si>
  <si>
    <t>1.5</t>
  </si>
  <si>
    <t>1.6</t>
  </si>
  <si>
    <t>4</t>
  </si>
  <si>
    <t>1.7</t>
  </si>
  <si>
    <t>1.8</t>
  </si>
  <si>
    <t>5</t>
  </si>
  <si>
    <t>1.8.1</t>
  </si>
  <si>
    <t>1.8.2</t>
  </si>
  <si>
    <t>1.8.3</t>
  </si>
  <si>
    <t>1.8.4</t>
  </si>
  <si>
    <t>1.8.5</t>
  </si>
  <si>
    <t>1.9</t>
  </si>
  <si>
    <t>6</t>
  </si>
  <si>
    <t>Cost of Sales</t>
  </si>
  <si>
    <t xml:space="preserve">                        i) Imported</t>
  </si>
  <si>
    <t xml:space="preserve">                        ii) Indigenous</t>
  </si>
  <si>
    <t>Power and Fuel</t>
  </si>
  <si>
    <t>1.10</t>
  </si>
  <si>
    <t>7</t>
  </si>
  <si>
    <t>1.11</t>
  </si>
  <si>
    <t>8</t>
  </si>
  <si>
    <t>1.12</t>
  </si>
  <si>
    <t>9</t>
  </si>
  <si>
    <t>1.13</t>
  </si>
  <si>
    <t>10</t>
  </si>
  <si>
    <t>1.14</t>
  </si>
  <si>
    <t>11</t>
  </si>
  <si>
    <t>1.15</t>
  </si>
  <si>
    <t>12</t>
  </si>
  <si>
    <t>1.16</t>
  </si>
  <si>
    <t>13</t>
  </si>
  <si>
    <t>1.17</t>
  </si>
  <si>
    <t>1.18</t>
  </si>
  <si>
    <t>14</t>
  </si>
  <si>
    <t>1.19</t>
  </si>
  <si>
    <t>15</t>
  </si>
  <si>
    <t>1.20</t>
  </si>
  <si>
    <t>16</t>
  </si>
  <si>
    <t>1.21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</si>
  <si>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</si>
  <si>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</si>
  <si>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</si>
  <si>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</si>
  <si>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</si>
  <si>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</si>
  <si>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</si>
  <si>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</si>
  <si>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</si>
  <si>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</si>
  <si>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</si>
  <si>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</si>
  <si>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e99040d4-d820-4ef1-ab86-5cb00d496a30</t>
  </si>
  <si>
    <t>Balance Sheet</t>
  </si>
  <si>
    <t>2.1</t>
  </si>
  <si>
    <t>Balance Sheet (Liabilities)</t>
  </si>
  <si>
    <t>2.1.1</t>
  </si>
  <si>
    <t>CURRENT LIABILITIES</t>
  </si>
  <si>
    <t>2.1.1.1</t>
  </si>
  <si>
    <t>2.1.1.2</t>
  </si>
  <si>
    <t>2.1.2</t>
  </si>
  <si>
    <t>2.1.3</t>
  </si>
  <si>
    <t>Creditors for Expenses</t>
  </si>
  <si>
    <t>1.7.1</t>
  </si>
  <si>
    <t>1.7.2</t>
  </si>
  <si>
    <t>1.7.3</t>
  </si>
  <si>
    <t>1.7.4</t>
  </si>
  <si>
    <t>TERM LIABILITIES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</si>
  <si>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</si>
  <si>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</si>
  <si>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</si>
  <si>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</si>
  <si>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</si>
  <si>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</si>
  <si>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</si>
  <si>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</si>
  <si>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NET WORTH</t>
  </si>
  <si>
    <t>1.16.1</t>
  </si>
  <si>
    <t>1.16.2</t>
  </si>
  <si>
    <t>General Reserve</t>
  </si>
  <si>
    <t>Share Premium</t>
  </si>
  <si>
    <t>Others</t>
  </si>
  <si>
    <t>2.2</t>
  </si>
  <si>
    <t>2.3</t>
  </si>
  <si>
    <t>Balance Sheet (Assets)</t>
  </si>
  <si>
    <t>2.3.1</t>
  </si>
  <si>
    <t>CURRENT ASSETS</t>
  </si>
  <si>
    <t>2.3.1.1</t>
  </si>
  <si>
    <t>2.3.1.2</t>
  </si>
  <si>
    <t>2.3.1.3</t>
  </si>
  <si>
    <t>Investments</t>
  </si>
  <si>
    <t>2.3.1.3.1</t>
  </si>
  <si>
    <t>2.1.2.1</t>
  </si>
  <si>
    <t>2.3.1.3.2</t>
  </si>
  <si>
    <t>2.1.2.2</t>
  </si>
  <si>
    <t>2.1.2.3</t>
  </si>
  <si>
    <t>2.3.1.4</t>
  </si>
  <si>
    <t>2.1.3.1</t>
  </si>
  <si>
    <t xml:space="preserve">Domestic Receivables </t>
  </si>
  <si>
    <t>2.1.3.2</t>
  </si>
  <si>
    <t>Export Receivables</t>
  </si>
  <si>
    <t>2.1.3.3</t>
  </si>
  <si>
    <t>2.1.3.4</t>
  </si>
  <si>
    <t>2.1.3.5</t>
  </si>
  <si>
    <t>2.3.1.5</t>
  </si>
  <si>
    <t>2.3.1.5.1</t>
  </si>
  <si>
    <t>2.3.1.5.2</t>
  </si>
  <si>
    <t>2.3.1.5.3</t>
  </si>
  <si>
    <t>2.3.1.6</t>
  </si>
  <si>
    <t>2.3.1.7</t>
  </si>
  <si>
    <t>2.3.1.8</t>
  </si>
  <si>
    <t>2.3.1.8.1</t>
  </si>
  <si>
    <t>2.3.1.8.2</t>
  </si>
  <si>
    <t>2.3.1.8.3</t>
  </si>
  <si>
    <t>2.3.1.8.4</t>
  </si>
  <si>
    <t>2.3.1.8.5</t>
  </si>
  <si>
    <t>2.3.1.9</t>
  </si>
  <si>
    <t>2.3.1.10</t>
  </si>
  <si>
    <t>2.3.1.11</t>
  </si>
  <si>
    <t>2.3.1.12</t>
  </si>
  <si>
    <t>2.3.1.13</t>
  </si>
  <si>
    <t>2.3.1.14</t>
  </si>
  <si>
    <t>2.3.1.15</t>
  </si>
  <si>
    <t>2.3.2</t>
  </si>
  <si>
    <t>2.3.3</t>
  </si>
  <si>
    <t>Capital Work in progress</t>
  </si>
  <si>
    <t>Security Deposits</t>
  </si>
  <si>
    <t>2.3.4</t>
  </si>
  <si>
    <t>2.3.5</t>
  </si>
  <si>
    <t>2.3.6</t>
  </si>
  <si>
    <t>2.3.7</t>
  </si>
  <si>
    <t>2.3.8</t>
  </si>
  <si>
    <t>DIFFERENCE IN B/S</t>
  </si>
  <si>
    <t>2.3.9</t>
  </si>
  <si>
    <t>2.3.10</t>
  </si>
  <si>
    <t>2.3.11</t>
  </si>
  <si>
    <t>Net Working Capital</t>
  </si>
  <si>
    <t>Current Ratio</t>
  </si>
  <si>
    <t>4ac3c202-727e-4341-8d5b-85a2bfaa5a5a</t>
  </si>
  <si>
    <t>3.1</t>
  </si>
  <si>
    <t>3.2</t>
  </si>
  <si>
    <t>Arrears of Cumulative Dividends</t>
  </si>
  <si>
    <t>Gratuity Liability Not Provided For</t>
  </si>
  <si>
    <t>Disputed Excise / Customs / Tax Liabilities</t>
  </si>
  <si>
    <t>3.3</t>
  </si>
  <si>
    <t>3.4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</si>
  <si>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</si>
  <si>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</si>
  <si>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</si>
  <si>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</si>
  <si>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</si>
  <si>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</si>
  <si>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</si>
  <si>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</si>
  <si>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</si>
  <si>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</si>
  <si>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3.5</t>
  </si>
  <si>
    <t>3.6</t>
  </si>
  <si>
    <t>988a49f2-7288-402f-99fc-87d1bf295447</t>
  </si>
  <si>
    <t>Ratios</t>
  </si>
  <si>
    <t>Interest Coverage Ratio</t>
  </si>
  <si>
    <t>Tangible Networth</t>
  </si>
  <si>
    <t>Total Debt / Tangible Networth</t>
  </si>
  <si>
    <t>Net Cash Accruals / Total debt</t>
  </si>
  <si>
    <t>Cash / Debt</t>
  </si>
  <si>
    <t>4.11</t>
  </si>
  <si>
    <t>4.12</t>
  </si>
  <si>
    <t>4.13</t>
  </si>
  <si>
    <t>4.14</t>
  </si>
  <si>
    <t>4.15</t>
  </si>
  <si>
    <t>4.16</t>
  </si>
  <si>
    <t>4.17</t>
  </si>
  <si>
    <t>4.18</t>
  </si>
  <si>
    <t>Cash Conversion Cycle</t>
  </si>
  <si>
    <t>4.19</t>
  </si>
  <si>
    <t>4.20</t>
  </si>
  <si>
    <t>Ratios for Benchmarks (Past)  - RAM</t>
  </si>
  <si>
    <t>4.21</t>
  </si>
  <si>
    <t>Ratios for Benchmarks (Projected)  - RAM</t>
  </si>
  <si>
    <t>v</t>
  </si>
  <si>
    <t>Projection Method Name</t>
  </si>
  <si>
    <t>Rating Year</t>
  </si>
  <si>
    <t>MINIMUM</t>
  </si>
  <si>
    <t>MAXIMUM</t>
  </si>
  <si>
    <t>AVERAGE</t>
  </si>
  <si>
    <t>REGRESSION</t>
  </si>
  <si>
    <t>ADHOC</t>
  </si>
  <si>
    <t>ROCE(%)</t>
  </si>
  <si>
    <t>INR</t>
  </si>
  <si>
    <t>Crores</t>
  </si>
  <si>
    <t>Additional Information</t>
  </si>
  <si>
    <t>Domestic Sales</t>
  </si>
  <si>
    <t>Export Sales</t>
  </si>
  <si>
    <t>Total</t>
  </si>
  <si>
    <t>Net Sales (1 - 2)</t>
  </si>
  <si>
    <t>% age rise (+) or fall (-) in net sales as compared to previous year (annualised)</t>
  </si>
  <si>
    <t>Other recurring income incidental to main business</t>
  </si>
  <si>
    <t>Total operating income</t>
  </si>
  <si>
    <t>Raw materials</t>
  </si>
  <si>
    <t>i.</t>
  </si>
  <si>
    <t>1.7.1.1</t>
  </si>
  <si>
    <t>a.</t>
  </si>
  <si>
    <t>1.7.1.2</t>
  </si>
  <si>
    <t>b.</t>
  </si>
  <si>
    <t>Other Spares</t>
  </si>
  <si>
    <t>ii.</t>
  </si>
  <si>
    <t>iii.</t>
  </si>
  <si>
    <t>Direct Labour (Factory wages &amp; salaries)</t>
  </si>
  <si>
    <t>iv.</t>
  </si>
  <si>
    <t>Other manufacturing expenses</t>
  </si>
  <si>
    <t>1.7.5</t>
  </si>
  <si>
    <t>v.</t>
  </si>
  <si>
    <t>1.7.5.1</t>
  </si>
  <si>
    <t>Processing / Job Work Charges</t>
  </si>
  <si>
    <t>1.7.5.2</t>
  </si>
  <si>
    <t>Freight and Transportation Charges</t>
  </si>
  <si>
    <t>1.7.5.3</t>
  </si>
  <si>
    <t>c.</t>
  </si>
  <si>
    <t>1.7.6</t>
  </si>
  <si>
    <t>vi a.</t>
  </si>
  <si>
    <t>Depreciation</t>
  </si>
  <si>
    <t>1.7.7</t>
  </si>
  <si>
    <t>vi b.</t>
  </si>
  <si>
    <t>Amortization</t>
  </si>
  <si>
    <t>1.7.8</t>
  </si>
  <si>
    <t>vii</t>
  </si>
  <si>
    <t>Changes in inventory</t>
  </si>
  <si>
    <t>1.7.9</t>
  </si>
  <si>
    <t>viii.</t>
  </si>
  <si>
    <t>Sub-total (Total Cost of Sales)</t>
  </si>
  <si>
    <t>Selling, general and administrative expenses</t>
  </si>
  <si>
    <t>Salary and staff expenses</t>
  </si>
  <si>
    <t>Rent , Rates and Taxes</t>
  </si>
  <si>
    <t>Lease rentals</t>
  </si>
  <si>
    <t>d.</t>
  </si>
  <si>
    <t>Bad Debts</t>
  </si>
  <si>
    <t>e.</t>
  </si>
  <si>
    <t>Travelling &amp; conveyance expenses</t>
  </si>
  <si>
    <t>1.8.6</t>
  </si>
  <si>
    <t>f.</t>
  </si>
  <si>
    <t>Advertisements and Sales Promotions</t>
  </si>
  <si>
    <t>1.8.7</t>
  </si>
  <si>
    <t>g.</t>
  </si>
  <si>
    <t>Commission, discount &amp; service charges</t>
  </si>
  <si>
    <t>1.8.8</t>
  </si>
  <si>
    <t>h.</t>
  </si>
  <si>
    <t>Legal &amp; professional charges</t>
  </si>
  <si>
    <t>1.8.9</t>
  </si>
  <si>
    <t>Directors remuneration</t>
  </si>
  <si>
    <t>1.8.10</t>
  </si>
  <si>
    <t>Auditors remuneration</t>
  </si>
  <si>
    <t>1.8.11</t>
  </si>
  <si>
    <t>k</t>
  </si>
  <si>
    <t>Sub-total (5 + 6)</t>
  </si>
  <si>
    <t>Operating Profit before Interest (3 - 7)</t>
  </si>
  <si>
    <t>Interest</t>
  </si>
  <si>
    <t>1.11.1</t>
  </si>
  <si>
    <t>Interest on Fixed Loans / Term loans</t>
  </si>
  <si>
    <t>1.11.2</t>
  </si>
  <si>
    <t>Interest on Working capital loans</t>
  </si>
  <si>
    <t>1.11.3</t>
  </si>
  <si>
    <t>Bank charges</t>
  </si>
  <si>
    <t>Operating Profit after Interest (8 - 9)</t>
  </si>
  <si>
    <t>Add: Other non-operating Income</t>
  </si>
  <si>
    <t>CASH ITEMS</t>
  </si>
  <si>
    <t>Interest received</t>
  </si>
  <si>
    <t>Dividends received from Companies</t>
  </si>
  <si>
    <t>c</t>
  </si>
  <si>
    <t>Profit on sale of fixed assets / Investments</t>
  </si>
  <si>
    <t>d</t>
  </si>
  <si>
    <t>Misc Income</t>
  </si>
  <si>
    <t>Sub-total (Non operating income - Cash)</t>
  </si>
  <si>
    <t>NON CASH ITEMS</t>
  </si>
  <si>
    <t>1.14.6.1</t>
  </si>
  <si>
    <t>{Others}</t>
  </si>
  <si>
    <t>1.14.6.2</t>
  </si>
  <si>
    <t>Sub-total (Non operating income - Non-cash)</t>
  </si>
  <si>
    <t>1.14.6.3</t>
  </si>
  <si>
    <t>Sub-total (Non operating Income)</t>
  </si>
  <si>
    <t>Deduct: Other non-operating expenses</t>
  </si>
  <si>
    <t>1.14.8.1</t>
  </si>
  <si>
    <t>Crystallized forex loss</t>
  </si>
  <si>
    <t>1.14.8.2</t>
  </si>
  <si>
    <t>Write-off of stock-in-process</t>
  </si>
  <si>
    <t>1.14.8.3</t>
  </si>
  <si>
    <t>Write-off of finished goods</t>
  </si>
  <si>
    <t>1.14.8.4</t>
  </si>
  <si>
    <t>Loss on sale of fixed assets / Investments</t>
  </si>
  <si>
    <t>1.14.8.5</t>
  </si>
  <si>
    <t>Other non operating cash expenses</t>
  </si>
  <si>
    <t>1.14.8.6</t>
  </si>
  <si>
    <t>f</t>
  </si>
  <si>
    <t>Other non operating cash exp</t>
  </si>
  <si>
    <t>1.14.8.7</t>
  </si>
  <si>
    <t>Sub-total (Non operating expense -Cash)</t>
  </si>
  <si>
    <t>1.14.8.8</t>
  </si>
  <si>
    <t>1.14.8.8.1</t>
  </si>
  <si>
    <t>MTM forex loss</t>
  </si>
  <si>
    <t>1.14.8.8.2</t>
  </si>
  <si>
    <t>1.14.8.8.3</t>
  </si>
  <si>
    <t>Sub-total (Non operating expense - Non-cash)</t>
  </si>
  <si>
    <t>1.14.8.8.4</t>
  </si>
  <si>
    <t>Sub-total (Non operating expense)</t>
  </si>
  <si>
    <t>1.14.8.9</t>
  </si>
  <si>
    <t>iii</t>
  </si>
  <si>
    <t>Net of other non-operating income/expenses</t>
  </si>
  <si>
    <t>Profit before tax/loss [10 + 11(iii)] (PBT)</t>
  </si>
  <si>
    <t>Provision for taxes</t>
  </si>
  <si>
    <t>Current tax</t>
  </si>
  <si>
    <t>Deferred tax</t>
  </si>
  <si>
    <t>Net Profit / Loss (12 -13) (PAT)</t>
  </si>
  <si>
    <t>15 a.</t>
  </si>
  <si>
    <t>Equity dividend (paid+proposed)</t>
  </si>
  <si>
    <t>Dividend Rate (% age)</t>
  </si>
  <si>
    <t>Retained Profit (14 - 15)</t>
  </si>
  <si>
    <t>Retained Profit / Net Profit (% age)</t>
  </si>
  <si>
    <t>Short-term borrowing from banks</t>
  </si>
  <si>
    <t xml:space="preserve"> 1.</t>
  </si>
  <si>
    <t>2.1.1.1.1</t>
  </si>
  <si>
    <t>From applicant bank</t>
  </si>
  <si>
    <t>2.1.1.1.2</t>
  </si>
  <si>
    <t>From other banks</t>
  </si>
  <si>
    <t>2.1.1.1.3</t>
  </si>
  <si>
    <t>Sub-total [i + ii]  (A)</t>
  </si>
  <si>
    <t>2.i.</t>
  </si>
  <si>
    <t xml:space="preserve">Short term borrowings from others (including mobilization advance) </t>
  </si>
  <si>
    <t>2.1.1.3</t>
  </si>
  <si>
    <t>Short term borrowings from Related Parties</t>
  </si>
  <si>
    <t>2.1.1.4</t>
  </si>
  <si>
    <t>Sundry Creditors (Trade)</t>
  </si>
  <si>
    <t>2.1.1.5</t>
  </si>
  <si>
    <t>Advance payments from customers</t>
  </si>
  <si>
    <t>2.1.1.6</t>
  </si>
  <si>
    <t>Provision for taxation</t>
  </si>
  <si>
    <t>2.1.1.7</t>
  </si>
  <si>
    <t>Dividend payable</t>
  </si>
  <si>
    <t>2.1.1.8</t>
  </si>
  <si>
    <t>Other statutory liabilities (due within 1 year)</t>
  </si>
  <si>
    <t>2.1.1.9</t>
  </si>
  <si>
    <t>Installments of liabilities due within one year (CPLTD)</t>
  </si>
  <si>
    <t>2.1.1.9.1</t>
  </si>
  <si>
    <t>Debentures</t>
  </si>
  <si>
    <t>2.1.1.9.2</t>
  </si>
  <si>
    <t>Preference Shares</t>
  </si>
  <si>
    <t>2.1.1.9.3</t>
  </si>
  <si>
    <t>Rupee Term loans</t>
  </si>
  <si>
    <t>2.1.1.9.4</t>
  </si>
  <si>
    <t>Foreign currency loans</t>
  </si>
  <si>
    <t>2.1.1.9.5</t>
  </si>
  <si>
    <t>2.1.1.10</t>
  </si>
  <si>
    <t>Other current liabilities &amp; provisions</t>
  </si>
  <si>
    <t>2.1.1.10.1</t>
  </si>
  <si>
    <t>2.1.1.10.2</t>
  </si>
  <si>
    <t>Employee expenses payable</t>
  </si>
  <si>
    <t>2.1.1.10.3</t>
  </si>
  <si>
    <t>2.1.1.10.4</t>
  </si>
  <si>
    <t>Interest accrued</t>
  </si>
  <si>
    <t>2.1.1.10.5</t>
  </si>
  <si>
    <t>Outstanding lease rentals</t>
  </si>
  <si>
    <t>2.1.1.10.6</t>
  </si>
  <si>
    <t>2.1.1.10.7</t>
  </si>
  <si>
    <t>Sub total [2 to 9] (B)</t>
  </si>
  <si>
    <t>2.1.1.11</t>
  </si>
  <si>
    <t>Total current liabilities [A + B]</t>
  </si>
  <si>
    <t>2.1.1.12</t>
  </si>
  <si>
    <t>Debentures  &amp; Preference Shares (not maturing within 1 year)</t>
  </si>
  <si>
    <t xml:space="preserve">Lease Liabilities </t>
  </si>
  <si>
    <t>13.i.</t>
  </si>
  <si>
    <t>Rupee Term loans (excl. instalments payable within 1 year)</t>
  </si>
  <si>
    <t>2.1.2.4</t>
  </si>
  <si>
    <t>13.ii</t>
  </si>
  <si>
    <t>Foreign currency loans (excl. instalments payable within 1 year)</t>
  </si>
  <si>
    <t>2.1.2.5</t>
  </si>
  <si>
    <t xml:space="preserve">Term deposits including mobilization advance (repayable after 1 year) </t>
  </si>
  <si>
    <t>2.1.2.6</t>
  </si>
  <si>
    <t>Long term borrowings from Related parties</t>
  </si>
  <si>
    <t>2.1.2.7</t>
  </si>
  <si>
    <t>Other term liabilities not considered as debt (incl. Deferred tax liabilities)</t>
  </si>
  <si>
    <t>2.1.2.8</t>
  </si>
  <si>
    <t>Total Term Liabilities [11 to 16]</t>
  </si>
  <si>
    <t>2.1.2.9</t>
  </si>
  <si>
    <t>Total Outside Liabilities [10 + 17]</t>
  </si>
  <si>
    <t>2.1.2.10</t>
  </si>
  <si>
    <t>Ordinary Share Capital</t>
  </si>
  <si>
    <t>Revaluation Reserve</t>
  </si>
  <si>
    <t>Other Reserves (excluding Provisions)</t>
  </si>
  <si>
    <t>Surplus (+) or deficit (-) in Profit &amp; Loss a/c</t>
  </si>
  <si>
    <t>2.1.3.6</t>
  </si>
  <si>
    <t>2.1.3.6.1</t>
  </si>
  <si>
    <t>2.1.3.6.2</t>
  </si>
  <si>
    <t>Capital Redemption Reserve</t>
  </si>
  <si>
    <t>2.1.3.6.3</t>
  </si>
  <si>
    <t>Share application money</t>
  </si>
  <si>
    <t>2.1.3.6.4</t>
  </si>
  <si>
    <t>Foreign currency translation reserve</t>
  </si>
  <si>
    <t>2.1.3.6.5</t>
  </si>
  <si>
    <t>Minority Interest</t>
  </si>
  <si>
    <t>2.1.3.6.6</t>
  </si>
  <si>
    <t>Quasi Equity</t>
  </si>
  <si>
    <t>2.1.3.6.7</t>
  </si>
  <si>
    <t>2.1.3.7</t>
  </si>
  <si>
    <t>TOTAL LIABILITIES [18 + 24]</t>
  </si>
  <si>
    <t>2.1.3.8</t>
  </si>
  <si>
    <t>Cash and Bank Balances</t>
  </si>
  <si>
    <t>2.3.1.1.1</t>
  </si>
  <si>
    <t>Cash balance</t>
  </si>
  <si>
    <t>2.3.1.1.2</t>
  </si>
  <si>
    <t>Bank balance</t>
  </si>
  <si>
    <t>Investments (other than long term)</t>
  </si>
  <si>
    <t>2.3.1.2.1</t>
  </si>
  <si>
    <t>Govt. and other trustee securities</t>
  </si>
  <si>
    <t>2.3.1.2.2</t>
  </si>
  <si>
    <t>Fixed Deposits with banks</t>
  </si>
  <si>
    <t>Receivables  (incldg. bills purchased and discounted by banks)</t>
  </si>
  <si>
    <t>29</t>
  </si>
  <si>
    <t>1.</t>
  </si>
  <si>
    <t>30</t>
  </si>
  <si>
    <t>Instalments of deferred receivables (due within 1 year)</t>
  </si>
  <si>
    <t>31</t>
  </si>
  <si>
    <t>Inventory:</t>
  </si>
  <si>
    <t>2.3.1.5.1.1</t>
  </si>
  <si>
    <t>Imported</t>
  </si>
  <si>
    <t>2.3.1.5.1.2</t>
  </si>
  <si>
    <t>Indigenous</t>
  </si>
  <si>
    <t>Stocks-in-process</t>
  </si>
  <si>
    <t>Finished goods</t>
  </si>
  <si>
    <t>2.3.1.5.4</t>
  </si>
  <si>
    <t>Other consumable spares</t>
  </si>
  <si>
    <t>32</t>
  </si>
  <si>
    <t>Advances to suppliers of raw materials, stores and spares</t>
  </si>
  <si>
    <t>33</t>
  </si>
  <si>
    <t>Advance payment of taxes</t>
  </si>
  <si>
    <t>34</t>
  </si>
  <si>
    <t>Other current assets (specify major items)</t>
  </si>
  <si>
    <t>Interest Receivable</t>
  </si>
  <si>
    <t>Prepaid Expenses</t>
  </si>
  <si>
    <t xml:space="preserve">Retention money - current portion </t>
  </si>
  <si>
    <t>Other advances recoverable in cash or kind</t>
  </si>
  <si>
    <t>35</t>
  </si>
  <si>
    <t>Total Current Assets (26 to 33)</t>
  </si>
  <si>
    <t>FIXED ASSETS</t>
  </si>
  <si>
    <t>Gross Block</t>
  </si>
  <si>
    <t>36</t>
  </si>
  <si>
    <t>2.3.1.12.1</t>
  </si>
  <si>
    <t>Land, building, plant, machinery etc. (including ROU asset)</t>
  </si>
  <si>
    <t>2.3.1.12.2</t>
  </si>
  <si>
    <t>37</t>
  </si>
  <si>
    <t>Accumulated depreciation</t>
  </si>
  <si>
    <t>38</t>
  </si>
  <si>
    <t>Net Block (35 - 36)</t>
  </si>
  <si>
    <t>2.3.1.16</t>
  </si>
  <si>
    <t>OTHER NON-CURRENT ASSETS</t>
  </si>
  <si>
    <t>2.3.1.17</t>
  </si>
  <si>
    <t>39</t>
  </si>
  <si>
    <t>Exposure in group entities</t>
  </si>
  <si>
    <t>2.3.1.17.1</t>
  </si>
  <si>
    <t>2.3.1.17.2</t>
  </si>
  <si>
    <t>Loans &amp; advances</t>
  </si>
  <si>
    <t>2.3.1.18</t>
  </si>
  <si>
    <t>40</t>
  </si>
  <si>
    <t>Other non-current investments and advances</t>
  </si>
  <si>
    <t>2.3.1.19</t>
  </si>
  <si>
    <t>41</t>
  </si>
  <si>
    <t>Advances to suppliers of capital goods</t>
  </si>
  <si>
    <t>2.3.1.20</t>
  </si>
  <si>
    <t>42</t>
  </si>
  <si>
    <t>2.3.1.20.1</t>
  </si>
  <si>
    <t>2.3.1.20.2</t>
  </si>
  <si>
    <t>Dues from directors/ promoters/ partners</t>
  </si>
  <si>
    <t>2.3.1.20.3</t>
  </si>
  <si>
    <t>FDs under Lien</t>
  </si>
  <si>
    <t>2.3.1.20.4</t>
  </si>
  <si>
    <t>Receivables over 6 months</t>
  </si>
  <si>
    <t>2.3.1.20.5</t>
  </si>
  <si>
    <t>Retention money - Non current portion</t>
  </si>
  <si>
    <t>2.3.1.20.6</t>
  </si>
  <si>
    <t>VI.</t>
  </si>
  <si>
    <t>2.3.1.21</t>
  </si>
  <si>
    <t>43</t>
  </si>
  <si>
    <t>Total Other Non-current Assets (38 to 40)</t>
  </si>
  <si>
    <t>2.3.1.22</t>
  </si>
  <si>
    <t>2.3.1.23</t>
  </si>
  <si>
    <t>44</t>
  </si>
  <si>
    <t>Intangible Assets (incl. Deferred tax assets)</t>
  </si>
  <si>
    <t>2.3.1.24</t>
  </si>
  <si>
    <t>45</t>
  </si>
  <si>
    <t>Less : Accumulated amortization</t>
  </si>
  <si>
    <t>2.3.1.25</t>
  </si>
  <si>
    <t>46</t>
  </si>
  <si>
    <t>Net Intangible Assets</t>
  </si>
  <si>
    <t>Total Assets (34+37+41+42)</t>
  </si>
  <si>
    <t>47</t>
  </si>
  <si>
    <t>48</t>
  </si>
  <si>
    <t>Tangible Net Worth (25-21-24(e) -46)</t>
  </si>
  <si>
    <t>49</t>
  </si>
  <si>
    <t>50</t>
  </si>
  <si>
    <t>Total Outside Liabilities / Tangible Net Worth (18 / 48)</t>
  </si>
  <si>
    <t>51</t>
  </si>
  <si>
    <t>52</t>
  </si>
  <si>
    <t>Total Term Liabilities / Tangible Net Worth (17 / 48)</t>
  </si>
  <si>
    <t>A.</t>
  </si>
  <si>
    <t>Contingent Liabilities:</t>
  </si>
  <si>
    <t>3.1.1</t>
  </si>
  <si>
    <t>a.i.</t>
  </si>
  <si>
    <t>3.1.2</t>
  </si>
  <si>
    <t>ii</t>
  </si>
  <si>
    <t>3.1.3</t>
  </si>
  <si>
    <t>3.1.4</t>
  </si>
  <si>
    <t>Other liabilities not provided for</t>
  </si>
  <si>
    <t>3.1.5</t>
  </si>
  <si>
    <t>b.i.</t>
  </si>
  <si>
    <t>Outstanding LCs</t>
  </si>
  <si>
    <t>3.1.6</t>
  </si>
  <si>
    <t>Outstanding bills discounted &amp; purchased</t>
  </si>
  <si>
    <t>3.1.7</t>
  </si>
  <si>
    <t>Outstanding BGs</t>
  </si>
  <si>
    <t>3.1.8</t>
  </si>
  <si>
    <t>Financial Guarantees issued by the company</t>
  </si>
  <si>
    <t>3.1.9</t>
  </si>
  <si>
    <t>d.i.</t>
  </si>
  <si>
    <t>Redemption premium not provided for</t>
  </si>
  <si>
    <t>3.1.10</t>
  </si>
  <si>
    <t>MTM loss on derivatives not provided for</t>
  </si>
  <si>
    <t>B</t>
  </si>
  <si>
    <t>Crystallized losses in the year without routing through P&amp;L account</t>
  </si>
  <si>
    <t>C</t>
  </si>
  <si>
    <t>Accumulated depreciation on fixed assets sold/ discarded during the year</t>
  </si>
  <si>
    <t>D</t>
  </si>
  <si>
    <t>Accumulated amortization on intangible assets sold/ discarded during the year</t>
  </si>
  <si>
    <t>E</t>
  </si>
  <si>
    <t>Write-off in value of stock in process during the year</t>
  </si>
  <si>
    <t>F</t>
  </si>
  <si>
    <t>Write-off in value of finished goods during the year</t>
  </si>
  <si>
    <t>TOI</t>
  </si>
  <si>
    <t>EBIDTA</t>
  </si>
  <si>
    <t>EBIDTA/TOI (%)</t>
  </si>
  <si>
    <t xml:space="preserve">Interest </t>
  </si>
  <si>
    <t>Depreciation and Amortization</t>
  </si>
  <si>
    <t>Operating profit</t>
  </si>
  <si>
    <t>Net non-operating income</t>
  </si>
  <si>
    <t>PBT</t>
  </si>
  <si>
    <t>PAT</t>
  </si>
  <si>
    <t>PAT/TOI (%)</t>
  </si>
  <si>
    <t>NCA</t>
  </si>
  <si>
    <t>NFA</t>
  </si>
  <si>
    <t>TNW</t>
  </si>
  <si>
    <t>Exposure in subsidiaries/Group Cos.</t>
  </si>
  <si>
    <t>4.15.1</t>
  </si>
  <si>
    <t>4.15.2</t>
  </si>
  <si>
    <t>Loans and advances</t>
  </si>
  <si>
    <t>Adjusted TNW (ATNW)</t>
  </si>
  <si>
    <t>Long term debt (LTD) (A)</t>
  </si>
  <si>
    <t>Short term debt (STD) (B)</t>
  </si>
  <si>
    <t>Term loan repayments</t>
  </si>
  <si>
    <t>Other working capital STD</t>
  </si>
  <si>
    <t>WC bank finance (C)</t>
  </si>
  <si>
    <t>4.22</t>
  </si>
  <si>
    <t>Total Debt (w/o Gtee) ( A+B+C)</t>
  </si>
  <si>
    <t>4.23</t>
  </si>
  <si>
    <t>Corporate Guarantee (D)</t>
  </si>
  <si>
    <t>4.24</t>
  </si>
  <si>
    <t>Total Debt  (A+B+C+D)</t>
  </si>
  <si>
    <t>4.25</t>
  </si>
  <si>
    <t>Other term liabilities not considered debt</t>
  </si>
  <si>
    <t>4.26</t>
  </si>
  <si>
    <t>Total outside liabilities (TOL)</t>
  </si>
  <si>
    <t>4.27</t>
  </si>
  <si>
    <t>LTD/TNW (times)</t>
  </si>
  <si>
    <t>4.28</t>
  </si>
  <si>
    <t>LTD/ATNW (times)</t>
  </si>
  <si>
    <t>4.29</t>
  </si>
  <si>
    <t>TD/TNW (times)</t>
  </si>
  <si>
    <t>4.30</t>
  </si>
  <si>
    <t>TD/ATNW (times)</t>
  </si>
  <si>
    <t>4.31</t>
  </si>
  <si>
    <t>TD/EBIDTA (times)</t>
  </si>
  <si>
    <t>4.32</t>
  </si>
  <si>
    <t>TD/NCA (times)</t>
  </si>
  <si>
    <t>4.33</t>
  </si>
  <si>
    <t>TOL/TNW (times)</t>
  </si>
  <si>
    <t>4.34</t>
  </si>
  <si>
    <t>TOL/ATNW (times)</t>
  </si>
  <si>
    <t>4.35</t>
  </si>
  <si>
    <t>Total current assets</t>
  </si>
  <si>
    <t>4.36</t>
  </si>
  <si>
    <t>Total current liabilities</t>
  </si>
  <si>
    <t>4.37</t>
  </si>
  <si>
    <t>Net working capital (Net current assets) (NWC)</t>
  </si>
  <si>
    <t>4.38</t>
  </si>
  <si>
    <t>Current ratio (times)</t>
  </si>
  <si>
    <t>4.39</t>
  </si>
  <si>
    <t>Non-current assets</t>
  </si>
  <si>
    <t>4.40</t>
  </si>
  <si>
    <t>Fixed assets turnover ratio (times)</t>
  </si>
  <si>
    <t>4.41</t>
  </si>
  <si>
    <t>Inventory Turnover Ratio (days)</t>
  </si>
  <si>
    <t>4.42</t>
  </si>
  <si>
    <t>Debtors Turnover Ratio (days)</t>
  </si>
  <si>
    <t>4.43</t>
  </si>
  <si>
    <t>Creditors Turnover Ratio (days)</t>
  </si>
  <si>
    <t>4.44</t>
  </si>
  <si>
    <t>NWC days</t>
  </si>
  <si>
    <t>4.45</t>
  </si>
  <si>
    <t>4.46</t>
  </si>
  <si>
    <t>Interest cover (times)</t>
  </si>
  <si>
    <t>4.47</t>
  </si>
  <si>
    <t>Accruals available for debt servicing (E)</t>
  </si>
  <si>
    <t>4.48</t>
  </si>
  <si>
    <t>Total Debt service requirement (F)</t>
  </si>
  <si>
    <t>4.49</t>
  </si>
  <si>
    <t>DSCR (times) (E/F)</t>
  </si>
  <si>
    <t>4.50</t>
  </si>
  <si>
    <t>Contingent liability (other than CG)/ TNW</t>
  </si>
  <si>
    <t>4.51</t>
  </si>
  <si>
    <t>Net Cash Accrual / Total Debt %</t>
  </si>
  <si>
    <t>4.52</t>
  </si>
  <si>
    <t>4.53</t>
  </si>
  <si>
    <t xml:space="preserve">NCA / CPLTD </t>
  </si>
  <si>
    <t>4.54</t>
  </si>
  <si>
    <t>Stability of Revenue (Trend) %</t>
  </si>
  <si>
    <t>4.55</t>
  </si>
  <si>
    <t>53</t>
  </si>
  <si>
    <t>4.56</t>
  </si>
  <si>
    <t>54</t>
  </si>
  <si>
    <t>Trend in Cash Conversion Cycle (%)</t>
  </si>
  <si>
    <t>4.57</t>
  </si>
  <si>
    <t>4.58</t>
  </si>
  <si>
    <t>Operating Margin(%)</t>
  </si>
  <si>
    <t>NCA/ CPLTD</t>
  </si>
  <si>
    <t>Total Outside Liabilities / Tangible Networth</t>
  </si>
  <si>
    <t>Stability of revenue (Trend) %</t>
  </si>
  <si>
    <t>Trend in cash conversion cycle %</t>
  </si>
  <si>
    <t>4.59</t>
  </si>
  <si>
    <t>ROCE (%)</t>
  </si>
  <si>
    <t>4.59.1</t>
  </si>
  <si>
    <t>4.59.2</t>
  </si>
  <si>
    <t>4.59.3</t>
  </si>
  <si>
    <t>4.59.4</t>
  </si>
  <si>
    <t>4.59.5</t>
  </si>
  <si>
    <t>4.59.6</t>
  </si>
  <si>
    <t>4.59.7</t>
  </si>
  <si>
    <t>4.59.8</t>
  </si>
  <si>
    <t>4.59.9</t>
  </si>
  <si>
    <t>4.59.10</t>
  </si>
  <si>
    <t>4.59.11</t>
  </si>
  <si>
    <t>4.59.12</t>
  </si>
  <si>
    <t>c98dd930-c06b-4184-a258-ac39cd19a193</t>
  </si>
  <si>
    <t>10a60949-9659-4ea4-b1c3-1f16074a2874</t>
  </si>
  <si>
    <t>1fe0fddb-2578-4028-bb64-bd63d70cdd09</t>
  </si>
  <si>
    <t>725d10e1-e2a6-4996-b9d0-4ad6ffc75b68</t>
  </si>
  <si>
    <t>640dbfc9-deeb-44e3-9198-96949e0cae58</t>
  </si>
  <si>
    <t>59b1facc-2b05-4ef0-bd3c-52d6156b19af</t>
  </si>
  <si>
    <t>a3c6e8f3-99c4-41a0-adec-acb5ff2f3b00</t>
  </si>
  <si>
    <t>48b561dd-2f32-4bf9-9890-f458e178e892</t>
  </si>
  <si>
    <t>16c1b0ac-ba37-4ed6-bb75-c0d4993e9ae8</t>
  </si>
  <si>
    <t>758d688a-abd2-4efa-bace-54c0f837efaa</t>
  </si>
  <si>
    <t>03e7d409-963e-4698-9508-323cb4718bd7</t>
  </si>
  <si>
    <t>3d4377af-5b9d-4fc5-8ad3-56f2be931ed3</t>
  </si>
  <si>
    <t>d4fd265c-aebb-4d35-8d34-fbb90f8879b1</t>
  </si>
  <si>
    <t>196afb1b-3271-4e26-8c17-a1687f1442a1</t>
  </si>
  <si>
    <t>b5374b98-fbc9-4afd-91a6-687949a4353a</t>
  </si>
  <si>
    <t>f78f861b-e42f-4c79-b4df-5106e411ae92</t>
  </si>
  <si>
    <t>148302c9-c702-4281-9fb6-424bb1a09513</t>
  </si>
  <si>
    <t>a8cd1b47-c726-4920-a36e-c957dd5e4e35</t>
  </si>
  <si>
    <t>668ded41-a4aa-46a3-9c6a-800d00837629</t>
  </si>
  <si>
    <t>0ad52017-0aff-4518-ab1c-4f3090d51d34</t>
  </si>
  <si>
    <t>4920a1ca-7f77-41b8-b737-00b8b1672a4b</t>
  </si>
  <si>
    <t>0fe0bf01-2780-473f-9a02-0a0192c5ff6c</t>
  </si>
  <si>
    <t>2ac2e554-12a8-4d5f-a550-f4d76440b480</t>
  </si>
  <si>
    <t>1355a8e0-0532-4764-aaf9-5bcf329b1f83</t>
  </si>
  <si>
    <t>36b81d10-11d4-409b-ab6a-458f6aee2219</t>
  </si>
  <si>
    <t>d45d21cc-efc2-48d8-9d50-f166592f07f1</t>
  </si>
  <si>
    <t>2ef29c6a-8a7b-40e5-99c8-f89d9057243d</t>
  </si>
  <si>
    <t>2b68097c-b2d9-4814-b640-8029f0ca3ee4</t>
  </si>
  <si>
    <t>92aa2ec4-8a3c-4dbd-a197-ac3010cfc6d0</t>
  </si>
  <si>
    <t>70247812-1813-4670-b601-64da36a5258c</t>
  </si>
  <si>
    <t>95e087db-f388-4a0a-9b9c-a87952212d64</t>
  </si>
  <si>
    <t>5a538d85-7501-4bcb-9624-8aebed73725d</t>
  </si>
  <si>
    <t>f67c6972-1353-40e1-bcd7-1f1677bb7d3f</t>
  </si>
  <si>
    <t>1863177f-a897-4a90-9a52-cc92f1986683</t>
  </si>
  <si>
    <t>b5e1aae4-d350-417d-b95a-0c414c79e8e4</t>
  </si>
  <si>
    <t>09c75130-6fcc-4aba-8999-33139f25d705</t>
  </si>
  <si>
    <t>a8430eea-7c67-48ef-a1fb-72efd678b52b</t>
  </si>
  <si>
    <t>09ff9a1a-9720-422c-92fa-c3452fe2a4ed</t>
  </si>
  <si>
    <t>cd32dec1-9487-4fad-b68d-84929baa6c70</t>
  </si>
  <si>
    <t>3c191bb5-9e45-49e9-92d8-62eac4a46fee</t>
  </si>
  <si>
    <t>4ac021e9-a288-49cb-8065-f08ce0d20a4b</t>
  </si>
  <si>
    <t>9d8baeb0-9b8d-4484-a719-47c3465e519d</t>
  </si>
  <si>
    <t>69206450-c21c-435c-ad96-06f800c1faee</t>
  </si>
  <si>
    <t>ef40fe86-94a1-411c-939f-2c4630b12982</t>
  </si>
  <si>
    <t>1da9011e-e747-4ddc-a385-ab468c3d2848</t>
  </si>
  <si>
    <t>7922b178-da65-4ac7-9731-fd221f980f61</t>
  </si>
  <si>
    <t>73dec465-413e-426d-a2cc-dafce9007d2f</t>
  </si>
  <si>
    <t>3c9cb6ec-b0b9-429e-8fb6-cf30cf358322</t>
  </si>
  <si>
    <t>f5404e9a-501d-4beb-8c52-a66cf3f2809c</t>
  </si>
  <si>
    <t>ef45beb9-e0f1-4a75-ac2e-cd6ec751b34f</t>
  </si>
  <si>
    <t>00fb8424-56dd-4bba-ab26-a02941464019</t>
  </si>
  <si>
    <t>200cdc67-6a5a-43e0-a8d4-b820eacb321a</t>
  </si>
  <si>
    <t>fb1d0130-8c1f-414f-9293-03c94a1c0ade</t>
  </si>
  <si>
    <t>50e3e6b1-ca92-4e82-b2ca-b0b8426846e5</t>
  </si>
  <si>
    <t>11fa2e28-79b1-4b4e-af42-e071c9bd2d50</t>
  </si>
  <si>
    <t>c8016418-d641-48e5-bf69-9b5c6c31110f</t>
  </si>
  <si>
    <t>dd04bf42-b0b2-4c61-8fdd-e65dca71901a</t>
  </si>
  <si>
    <t>c84141dc-2e53-4610-a1de-49f74b5bd005</t>
  </si>
  <si>
    <t>06ee36ea-0c23-4f01-a7d0-a0934ac6fd95</t>
  </si>
  <si>
    <t>a839c66b-a310-46bc-a5b7-f502894065cc</t>
  </si>
  <si>
    <t>5b9635ac-d769-4604-8838-145ae69d8c65</t>
  </si>
  <si>
    <t>3eb201cc-56e5-4c0f-a24d-1b1b14fda065</t>
  </si>
  <si>
    <t>d0da1235-e20b-4bca-9be7-8c9237fbf7bc</t>
  </si>
  <si>
    <t>f9e04cd8-943b-4010-acdb-bc999d78ce72</t>
  </si>
  <si>
    <t>5d56acf7-0293-4e08-86d3-aaba02132db9</t>
  </si>
  <si>
    <t>0f051e4a-a41b-4a99-88c9-feb2365cc72d</t>
  </si>
  <si>
    <t>d8ec163d-78ac-431c-99e1-8ace8169b883</t>
  </si>
  <si>
    <t>7544d25b-0a55-4517-9df3-cd49a0af62c2</t>
  </si>
  <si>
    <t>522e2580-1284-415b-8016-2e703f8cee1c</t>
  </si>
  <si>
    <t>84430ae4-7ba5-4ad1-a312-88536b3cc13c</t>
  </si>
  <si>
    <t>fc317b2b-949e-4375-b1dd-395b77975d15</t>
  </si>
  <si>
    <t>bef66092-7c0a-4b22-baf3-56e38869958e</t>
  </si>
  <si>
    <t>93833f29-6945-4c8d-af99-31a624848bec</t>
  </si>
  <si>
    <t>ff1fef25-6e87-4bf7-ada2-bca6a29add91</t>
  </si>
  <si>
    <t>7f24fe60-dfc6-4c6c-b7a4-fed231550438</t>
  </si>
  <si>
    <t>f698f49b-d41b-4833-9daf-e9b2433213db</t>
  </si>
  <si>
    <t>90548b2b-fa7b-4d84-905a-80961d65a149</t>
  </si>
  <si>
    <t>44fbb444-33a1-43f0-83d6-6a66783798d6</t>
  </si>
  <si>
    <t>f5b4ddaf-88ee-4c00-95d9-5d29d2f84f13</t>
  </si>
  <si>
    <t>b2134858-f66e-4654-8e7f-65b9fc91210a</t>
  </si>
  <si>
    <t>878de646-becc-492d-a157-3eecec0f591a</t>
  </si>
  <si>
    <t>06b301db-9d0b-44e9-86a0-a220d1a72804</t>
  </si>
  <si>
    <t>c6453f22-2f3e-4634-aacb-956d59f1ff9f</t>
  </si>
  <si>
    <t>eadde075-7734-48ef-9470-b8d214b7937d</t>
  </si>
  <si>
    <t>0a8ee552-9b62-4de5-a7ca-3826e5d0b2d4</t>
  </si>
  <si>
    <t>afe14fcf-a84e-4d7d-a5cf-7316ce695da4</t>
  </si>
  <si>
    <t>d6b57745-686a-4ddf-91b2-5c886f8e567a</t>
  </si>
  <si>
    <t>f9680623-61e8-4e11-9328-3655ee3c1840</t>
  </si>
  <si>
    <t>2a445707-4b7f-4173-83b0-14a8e82e561d</t>
  </si>
  <si>
    <t>801bc503-eff2-4fcd-af1f-8fbd888c91e3</t>
  </si>
  <si>
    <t>a2fd7c99-e51a-4e8a-9619-ffea2ed95393</t>
  </si>
  <si>
    <t>49b4e462-3a69-4beb-bdd4-49d9f68a147d</t>
  </si>
  <si>
    <t>f1ed247e-11bf-41ae-898d-fee1afa02fdb</t>
  </si>
  <si>
    <t>d70aad0f-962f-4965-a439-72a29570179e</t>
  </si>
  <si>
    <t>1398600f-6534-4439-b9f8-62e09e9e4a9b</t>
  </si>
  <si>
    <t>c35f7b5e-c85c-4790-8e55-59328184ae50</t>
  </si>
  <si>
    <t>b2e9612d-5c39-44fb-866b-a18539f01e4c</t>
  </si>
  <si>
    <t>92dcf598-a513-414f-ad4f-174cf6291232</t>
  </si>
  <si>
    <t>aeb0b18d-923d-43c3-a5c8-4477844c9658</t>
  </si>
  <si>
    <t>ee760a95-6a92-4837-8442-b1904df695f9</t>
  </si>
  <si>
    <t>99352122-0c01-4f7f-b9bc-4a04097c3cac</t>
  </si>
  <si>
    <t>49ed1679-76b5-463a-b8d3-92917e4f8108</t>
  </si>
  <si>
    <t>df71b880-a8db-48ae-9fa8-f3eae49c2004</t>
  </si>
  <si>
    <t>877f41bf-f2cc-4f28-a609-73c32a4f633a</t>
  </si>
  <si>
    <t>f408af15-73c5-4b4d-853a-4f20291f0acc</t>
  </si>
  <si>
    <t>6ecc6080-c565-4796-9c90-fdeb3bf71a8f</t>
  </si>
  <si>
    <t>c60b8f28-78db-4086-b2ca-938725d06a33</t>
  </si>
  <si>
    <t>650b7e27-abed-4d8f-a70c-eef1966ff376</t>
  </si>
  <si>
    <t>56fe2b39-9f25-429e-aa60-a18d6efa1174</t>
  </si>
  <si>
    <t>18997252-f0d1-4925-9c12-e8c690e9bf4e</t>
  </si>
  <si>
    <t>d7725e28-c20f-476b-a80b-e78e63fdcd52</t>
  </si>
  <si>
    <t>40d5ae42-ab48-4303-8f63-50d25dc98d44</t>
  </si>
  <si>
    <t>722d0a4b-7cfa-4889-a658-918bd5348e4e</t>
  </si>
  <si>
    <t>9eded9ed-f0dd-4ae8-8f1c-8af88a5c8b59</t>
  </si>
  <si>
    <t>9105cbfa-e900-44a9-8825-82014db3ea4c</t>
  </si>
  <si>
    <t>4e0027be-38fb-4dd8-af3c-d3e7aaeeba99</t>
  </si>
  <si>
    <t>bc776d8e-800d-4b8a-a3ea-f05ac797a2e8</t>
  </si>
  <si>
    <t>992d4dab-95f4-4994-b5d0-eb8b257947ee</t>
  </si>
  <si>
    <t>03b015fb-f7e8-4e3d-9b6c-8aa4c9410dde</t>
  </si>
  <si>
    <t>8f301c0e-160d-4fb6-bc47-c6b69e4a02ec</t>
  </si>
  <si>
    <t>39c8ce25-6ead-479f-9974-cf2971ca9e3b</t>
  </si>
  <si>
    <t>48ffc5a7-936d-4c88-9cb9-c8d17f8351c4</t>
  </si>
  <si>
    <t>01988d44-db38-444c-8363-c5b4882d5466</t>
  </si>
  <si>
    <t>517da130-76ad-45ca-8694-b075b02b69fc</t>
  </si>
  <si>
    <t>50ad6c75-2d36-4e69-ae9a-fe8ff48952e6</t>
  </si>
  <si>
    <t>182bfeef-b204-4747-9d62-352522f0eb38</t>
  </si>
  <si>
    <t>240b321c-df8d-4490-a9b5-ef2aae0dceac</t>
  </si>
  <si>
    <t>e4683308-35d0-4d1c-92f8-1f92dbf24e05</t>
  </si>
  <si>
    <t>e249325d-e9eb-4bad-8ceb-28910c7479d3</t>
  </si>
  <si>
    <t>404bbab2-9a65-4399-a7d9-7cbe58451060</t>
  </si>
  <si>
    <t>8df8dcd7-4743-4a01-bb22-cd27b1e9add7</t>
  </si>
  <si>
    <t>89a69505-99e1-4804-972f-5b7fc342a226</t>
  </si>
  <si>
    <t>f16411d8-6403-4e01-ad0e-63a4c1b1cafb</t>
  </si>
  <si>
    <t>bf6932bf-76c2-4ab6-87b5-29909e7cbe34</t>
  </si>
  <si>
    <t>a590a497-04de-4fc5-887b-3d226a136654</t>
  </si>
  <si>
    <t>045ee751-40cd-4566-b7e7-e823de4b675d</t>
  </si>
  <si>
    <t>691019ab-e7af-4888-bf3e-e40adc9b38dd</t>
  </si>
  <si>
    <t>ccaeeff2-0c88-4a79-94ba-c773d127e08b</t>
  </si>
  <si>
    <t>4ca0e56d-2fe6-483a-96c1-8a4951874ccb</t>
  </si>
  <si>
    <t>9d1a08ef-e967-4814-87a0-938bd3b5b6cd</t>
  </si>
  <si>
    <t>2fc39a34-6347-40a6-ac0a-945e629e7d63</t>
  </si>
  <si>
    <t>da98dfc4-2e15-433e-8f95-e9dc80fe0c6b</t>
  </si>
  <si>
    <t>7e59a039-4732-4a16-b96a-3cb340f2730c</t>
  </si>
  <si>
    <t>4e23f959-1091-4697-a2fa-8ac79e1bb81d</t>
  </si>
  <si>
    <t>cf7c44c0-3022-4651-ac01-f305fa06ad15</t>
  </si>
  <si>
    <t>d2dc36c7-db7b-43da-bc14-b65431da7071</t>
  </si>
  <si>
    <t>3ae8584a-68c1-477b-8f26-59cab14ad83b</t>
  </si>
  <si>
    <t>be0dee3a-96a0-4b5d-932f-ffcc17b58613</t>
  </si>
  <si>
    <t>22bb2195-0b98-482e-bee3-b0e55f095ccb</t>
  </si>
  <si>
    <t>c651484d-b6f4-4ae1-8ca5-503cb0a657bc</t>
  </si>
  <si>
    <t>d4babf8a-08ab-4d2c-88d6-02fa6a052534</t>
  </si>
  <si>
    <t>4ecd7297-336d-441b-8f94-98d45accb6bd</t>
  </si>
  <si>
    <t>c24ac2ab-cff2-4c54-9629-0eaf62632678</t>
  </si>
  <si>
    <t>3d05c545-b582-47d0-ad4a-624704ec6e89</t>
  </si>
  <si>
    <t>b242879b-71fd-4e31-b91c-4f4745a320b5</t>
  </si>
  <si>
    <t>72a063be-d21c-4574-8e1e-3b6f85c6f4a7</t>
  </si>
  <si>
    <t>5c62c4b3-57f4-4cd1-bb71-22f98201c595</t>
  </si>
  <si>
    <t>c39e1a66-df9a-4c16-8b8d-d721d1913b99</t>
  </si>
  <si>
    <t>9074a3d5-ccee-4858-bb56-2d32c681ee08</t>
  </si>
  <si>
    <t>dd86161a-5364-41b6-8869-f8ca48617dd4</t>
  </si>
  <si>
    <t>453dec9c-30f0-48dd-abba-9994786209e9</t>
  </si>
  <si>
    <t>1ebe7e66-3873-4bf4-bae2-fa53d460262a</t>
  </si>
  <si>
    <t>4161ba1d-9b8e-4fcb-a910-5ef61a7b4869</t>
  </si>
  <si>
    <t>a78498a3-ab8b-4cab-a11b-fd78eb5c8387</t>
  </si>
  <si>
    <t>29c62253-d08a-40df-8db9-a10464f82dd9</t>
  </si>
  <si>
    <t>33f1c63f-1afa-4112-9e21-863e80806f26</t>
  </si>
  <si>
    <t>059e4374-9141-4d5a-b7f7-8c84c0abc4be</t>
  </si>
  <si>
    <t>57c75afd-9b56-426a-bbb4-743ddea40f84</t>
  </si>
  <si>
    <t>bc64eab7-8182-46f8-b373-2e6be9945b92</t>
  </si>
  <si>
    <t>5f26120e-8382-42ee-b718-9aa2631bb481</t>
  </si>
  <si>
    <t>4f1793b8-a118-44eb-b2d7-2cbf3eebad40</t>
  </si>
  <si>
    <t>7e19d9c4-7f4e-4986-9fa5-2e2e37217836</t>
  </si>
  <si>
    <t>4b80f5b1-827e-497e-a883-30e242220494</t>
  </si>
  <si>
    <t>4b54a566-b22f-463a-8c5c-f7aa977e9bbb</t>
  </si>
  <si>
    <t>8afb0266-8414-4a3f-a9da-a73ec5561a58</t>
  </si>
  <si>
    <t>047e1958-e5b7-480f-bae3-6dc560321d13</t>
  </si>
  <si>
    <t>84a747f1-ce7b-42cc-a1da-bc5ba5f5ac70</t>
  </si>
  <si>
    <t>db7197b8-8033-4df9-bfdb-d3c84940549f</t>
  </si>
  <si>
    <t>38d219ef-fd32-487a-a251-a2f7d37020a6</t>
  </si>
  <si>
    <t>7f113f04-7967-4fcb-9c2e-95e8b51c0f84</t>
  </si>
  <si>
    <t>04086d51-8dfb-425e-9e3b-59e407007d7c</t>
  </si>
  <si>
    <t>fe03ce7a-77c7-456c-9f73-43f1f2337121</t>
  </si>
  <si>
    <t>06c563e1-8832-406a-8857-0df6b8617e5f</t>
  </si>
  <si>
    <t>63b7ffe9-4f8f-4e6b-96fa-d95387652219</t>
  </si>
  <si>
    <t>8d4b9864-670f-4bbf-aeb5-cb843bf01509</t>
  </si>
  <si>
    <t>6d0ab9f1-b2c6-4f38-8772-7b53b702a79e</t>
  </si>
  <si>
    <t>275b8b17-e0f4-4de4-96cc-b12b4c70f11a</t>
  </si>
  <si>
    <t>5b595962-3c1f-4d80-8754-1260de6b1a3f</t>
  </si>
  <si>
    <t>cf89e6e2-cc85-4d24-b813-ed9fa832f599</t>
  </si>
  <si>
    <t>800fadd1-c052-4553-b59e-e08f95d12bca</t>
  </si>
  <si>
    <t>884a452c-6c52-4718-9674-139c9be2bc1d</t>
  </si>
  <si>
    <t>02916d02-d323-4e0a-ba47-1fc56e4d5c15</t>
  </si>
  <si>
    <t>b6c27365-633f-4fa3-83f4-d1f8b84e5190</t>
  </si>
  <si>
    <t>28bc7c22-9cd4-486f-994c-dd28fd58ec2a</t>
  </si>
  <si>
    <t>ecb2805e-e823-4fad-a973-7673fdf694cd</t>
  </si>
  <si>
    <t>0e6d70a0-c992-4ef1-888c-92be131f00e5</t>
  </si>
  <si>
    <t>27019e02-6bac-46f7-9d19-a1b639d56b8f</t>
  </si>
  <si>
    <t>4aeafabb-717f-47c7-a7c7-f1c702657149</t>
  </si>
  <si>
    <t>c98236db-e567-4cd8-80b1-6f2351e2fc15</t>
  </si>
  <si>
    <t>a5e936bd-395f-4151-b5cb-f426a1d3cb68</t>
  </si>
  <si>
    <t>8331739d-d555-4115-b259-614b232ebe40</t>
  </si>
  <si>
    <t>0dba63d6-0776-413f-8351-2f2222c3cb3f</t>
  </si>
  <si>
    <t>b819a9c0-df6d-41e8-a77f-2e13875e4712</t>
  </si>
  <si>
    <t>d721df33-74ba-4cc6-85ef-abefa98e5b85</t>
  </si>
  <si>
    <t>608921b7-1017-40be-9ac7-b0842e96b22d</t>
  </si>
  <si>
    <t>66d2dbbe-de69-408e-9f7f-de4962c2c0e6</t>
  </si>
  <si>
    <t>9415d0bd-e759-4de8-bc98-4912a316ff90</t>
  </si>
  <si>
    <t>afc4b84c-c2b7-40c5-8e27-1640b795df46</t>
  </si>
  <si>
    <t>f66e3fe5-a767-415b-b422-8bd5172f99ba</t>
  </si>
  <si>
    <t>7c3df7a3-c623-4e07-8aa0-9bb150d158c0</t>
  </si>
  <si>
    <t>1ccd391d-bec6-4510-b53a-54be4cd981bc</t>
  </si>
  <si>
    <t>7b9f63a7-81df-4936-843d-b562ab36499b</t>
  </si>
  <si>
    <t>52f8c582-10f5-4d7b-9dae-05c0c9cb0195</t>
  </si>
  <si>
    <t>56367121-7aaf-430d-8353-418a911ca699</t>
  </si>
  <si>
    <t>d81c68ed-0f4e-4e71-883f-560fe7f22bd9</t>
  </si>
  <si>
    <t>4749684c-2a79-479c-8ef0-d6f7f8ec7252</t>
  </si>
  <si>
    <t>b2eff56f-bbd6-4b5a-8510-05851535a1ba</t>
  </si>
  <si>
    <t>825f0ef2-92f1-491a-826d-e2645481f1f2</t>
  </si>
  <si>
    <t>b8cf3817-536a-4500-a4a3-4d86a0a3f882</t>
  </si>
  <si>
    <t>74fad8f6-8858-42dc-9dda-b4bfacb8c644</t>
  </si>
  <si>
    <t>4b8ffc50-6a9b-4794-a768-490d48542485</t>
  </si>
  <si>
    <t>6482e5f1-6164-4430-b6e3-6578bd299e76</t>
  </si>
  <si>
    <t>dbfeabc7-6fdb-4a4a-8d8c-19b7c24afa0f</t>
  </si>
  <si>
    <t>8d3f273c-0938-4a47-8c87-d2da79190214</t>
  </si>
  <si>
    <t>51d37c1c-a3f7-44c9-bd94-6bf1a38ba12f</t>
  </si>
  <si>
    <t>77453387-fb2f-4e9a-820c-dca234ce0d7c</t>
  </si>
  <si>
    <t>df6073c0-5418-4909-b0b3-cdb37fa69927</t>
  </si>
  <si>
    <t>1584e341-e6c2-411b-aa12-b5dd6613092c</t>
  </si>
  <si>
    <t>c199b620-e552-49e1-a9d0-3c468413c690</t>
  </si>
  <si>
    <t>08efe169-580d-4daa-9b58-477ade83248b</t>
  </si>
  <si>
    <t>6a44f956-ba1d-4799-93e6-249efeb3e389</t>
  </si>
  <si>
    <t>e27cbac5-deb1-4f66-8748-9fd15c8f1a6e</t>
  </si>
  <si>
    <t>9db20154-8e55-4843-97cd-287f155eff3d</t>
  </si>
  <si>
    <t>28c4d392-680e-43f6-856d-e7a7beb453ef</t>
  </si>
  <si>
    <t>14cff825-5a85-4e12-8534-8d07d7039113</t>
  </si>
  <si>
    <t>f68509c3-70d2-43ff-a3d4-04c467770664</t>
  </si>
  <si>
    <t>0469177e-752b-49a0-9837-fb5dd1980098</t>
  </si>
  <si>
    <t>e8f0fe7c-d8bc-4d04-b962-bd923918c71f</t>
  </si>
  <si>
    <t>ece6234d-d6b2-4e97-8691-1ed4f1c5f56d</t>
  </si>
  <si>
    <t>ca6dcd17-f145-488b-a14d-973d169a64b5</t>
  </si>
  <si>
    <t>2b40911d-cd89-4fe7-9004-fe983994154d</t>
  </si>
  <si>
    <t>8f9dfa3f-0033-49a6-8050-f14917dc09a5</t>
  </si>
  <si>
    <t>29081440-6502-4a9d-8407-0bb2603b94a3</t>
  </si>
  <si>
    <t>bd2a71a6-7492-40e5-bbc0-2e7edb4a1a26</t>
  </si>
  <si>
    <t>fc9996c9-0701-47d9-aea5-fe90d4394517</t>
  </si>
  <si>
    <t>320bbfc8-14d7-42cc-a540-27c5c92873f5</t>
  </si>
  <si>
    <t>48fc2031-8952-433c-a6cc-8c17a9e24dab</t>
  </si>
  <si>
    <t>71efca45-8f00-4755-b6f4-863e567ec43d</t>
  </si>
  <si>
    <t>432794ef-53ab-4180-9a66-c0570f27f5bb</t>
  </si>
  <si>
    <t>7bd69b42-2d6c-4cd0-acbe-c58f9d2d35d4</t>
  </si>
  <si>
    <t>63477847-1b50-4fd2-b81c-b8236b8a84ff</t>
  </si>
  <si>
    <t>f22f40ca-66fc-41a2-a4a4-1f09fe18eba6</t>
  </si>
  <si>
    <t>c042394f-5a3b-4a7d-8a77-45915986ba8b</t>
  </si>
  <si>
    <t>053312c9-1ac1-4020-90ed-85dda17350ba</t>
  </si>
  <si>
    <t>0a5cf763-72ac-432c-acb6-9de30c587025</t>
  </si>
  <si>
    <t>97134149-d95a-4070-9966-32470061b898</t>
  </si>
  <si>
    <t>f91be851-3094-40b1-8991-90e5b6dcf835</t>
  </si>
  <si>
    <t>d9ffdd57-10ce-4485-a1cc-85efde23aeb1</t>
  </si>
  <si>
    <t>414fe84b-f9ba-41ec-8b5e-f8d8f45116b8</t>
  </si>
  <si>
    <t>43d3725c-2ea3-45c1-ae60-ba338d29456a</t>
  </si>
  <si>
    <t>4dbd7a62-db15-452b-bfc4-a9d09787f072</t>
  </si>
  <si>
    <t>2b77d32b-3f23-4ee7-8999-e44b720d2b27</t>
  </si>
  <si>
    <t>c3f59365-c113-45ea-b2c3-4e07c4b04d72</t>
  </si>
  <si>
    <t>3ebeacd0-8d51-421b-9f68-02cf5d1762b3</t>
  </si>
  <si>
    <t>ad55d3a8-d1de-4d9d-a030-fa02936d6ac3</t>
  </si>
  <si>
    <t>8737f633-6a85-4c6a-a800-8b44dcde0d3f</t>
  </si>
  <si>
    <t>88adddaa-9003-4c41-b5d7-7d85f034c3c1</t>
  </si>
  <si>
    <t>a53b4414-4137-4910-b691-57fb23f1075e</t>
  </si>
  <si>
    <t>5af4cf17-ac8e-4267-b9ef-671e75b27116</t>
  </si>
  <si>
    <t>1d51a43d-0469-4f4c-a0e8-619670d2c76c</t>
  </si>
  <si>
    <t>ba988780-3563-4c8b-94b7-4eeb267d7a82</t>
  </si>
  <si>
    <t>9ac7090d-e0b7-4147-a9f0-2543a6b6c762</t>
  </si>
  <si>
    <t>b3a1ccbd-b57e-4b4e-994e-5a21b4403997</t>
  </si>
  <si>
    <t>fc6ce3e5-6a89-4cd1-9447-86f5d3fb0700</t>
  </si>
  <si>
    <t>1e8f520d-cbf3-49a9-afa3-ac87b9c9d03e</t>
  </si>
  <si>
    <t>f3754a45-a6c3-49fd-a00c-27dd12cb56e7</t>
  </si>
  <si>
    <t>74cc22ce-7451-48dc-8c0e-6ae262f03bb6</t>
  </si>
  <si>
    <t>b4533ae6-2cf9-412f-a5d1-6c150f5fd193</t>
  </si>
  <si>
    <t>04fb6ac6-f333-40da-b759-6d114e1d2527</t>
  </si>
  <si>
    <t>4394f047-53d1-47d4-bfc5-cd0c8d8c2024</t>
  </si>
  <si>
    <t>130e77ec-8c87-46cd-ba2c-6f3bb046d3a9</t>
  </si>
  <si>
    <t>9345bcf8-6350-4cd1-ac41-25e5b2c2255e</t>
  </si>
  <si>
    <t>5325f9fd-23d7-4aa9-9b6a-b493eb86ee72</t>
  </si>
  <si>
    <t>cf53b9c5-1102-41ee-adcc-0da0280bf975</t>
  </si>
  <si>
    <t>9fe9566e-ba8b-4b06-996f-e08e6da541f6</t>
  </si>
  <si>
    <t>8be721bd-ceb4-41de-9fe1-1cb7f35c1e81</t>
  </si>
  <si>
    <t>102c5234-0350-47d2-a2ca-22442e6d7b1c</t>
  </si>
  <si>
    <t>927a9aa9-179d-4479-87a2-2ff37531bce6</t>
  </si>
  <si>
    <t>1f490283-94c0-49ac-af9a-3199390c909a</t>
  </si>
  <si>
    <t>7204ebdc-d75d-43eb-972f-59b48e3a0b38</t>
  </si>
  <si>
    <t>794f917b-5dd6-4733-b279-5b456e4b131e</t>
  </si>
  <si>
    <t>84b40315-4270-4a83-8bec-bdd3d42e70e3</t>
  </si>
  <si>
    <t>a551ed0f-8ee9-49e8-9a74-b90035398a29</t>
  </si>
  <si>
    <t>fe85c2e7-a32e-498f-8fff-4c9dc0cae539</t>
  </si>
  <si>
    <t>2f8f39fd-a568-423e-9354-b02506ba1d3a</t>
  </si>
  <si>
    <t>3263c057-1937-4388-b558-8d3c32680600</t>
  </si>
  <si>
    <t>3c3fd31f-bebb-485e-804e-d071d87ca715</t>
  </si>
  <si>
    <t>e32e84b8-a056-4dd8-bec2-486cd957ae5f</t>
  </si>
  <si>
    <t>e08c6677-2a0d-4616-81ba-c1c11f5a3510</t>
  </si>
  <si>
    <t>7b160874-9209-4182-b6bb-b53e756a767d</t>
  </si>
  <si>
    <t>241335eb-f0e1-4134-8f2d-3a14facac6f2</t>
  </si>
  <si>
    <t>12e21688-f6fd-4929-b8f3-9949dd2d5d08</t>
  </si>
  <si>
    <t>4148b5e5-3721-4e5a-a053-6f66319ad308</t>
  </si>
  <si>
    <t>0b7c595d-491a-48cd-94f1-9c9ec29f2918</t>
  </si>
  <si>
    <t>Company Financial Template</t>
  </si>
  <si>
    <t>8e6e05b1-7475-4e82-a0b3-a55aad804577</t>
  </si>
  <si>
    <t>55</t>
  </si>
  <si>
    <t>Capital Employed</t>
  </si>
  <si>
    <t>4.60</t>
  </si>
  <si>
    <t>4.60.1</t>
  </si>
  <si>
    <t>4.60.2</t>
  </si>
  <si>
    <t>4.60.3</t>
  </si>
  <si>
    <t>4.60.4</t>
  </si>
  <si>
    <t>4.60.5</t>
  </si>
  <si>
    <t>4.60.6</t>
  </si>
  <si>
    <t>4.60.7</t>
  </si>
  <si>
    <t>4.60.8</t>
  </si>
  <si>
    <t>4.60.9</t>
  </si>
  <si>
    <t>4.60.10</t>
  </si>
  <si>
    <t>4.60.11</t>
  </si>
  <si>
    <t>4.60.12</t>
  </si>
  <si>
    <t>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</si>
</sst>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"/>
  </numFmts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u/>
      <sz val="16"/>
      <color rgb="FFDB1A3C"/>
      <name val="CALIBRI_MICROSOFT_PHAGSPA"/>
      <family val="2"/>
    </font>
    <font>
      <b/>
      <u val="double"/>
      <sz val="22"/>
      <color rgb="FFFB5200"/>
      <name val="CALIBRI_MICROSOFT_PHAGSPA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9696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8C8FF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4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0" fillId="0" borderId="0" xfId="0" applyNumberFormat="1"/>
    <xf numFmtId="0" fontId="0" fillId="4" borderId="1" xfId="0" applyFill="1" applyBorder="1"/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right" wrapText="1" indent="1"/>
    </xf>
    <xf numFmtId="0" fontId="1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 indent="2"/>
    </xf>
    <xf numFmtId="2" fontId="0" fillId="5" borderId="1" xfId="0" applyNumberForma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wrapText="1"/>
    </xf>
    <xf numFmtId="2" fontId="0" fillId="5" borderId="1" xfId="0" applyNumberFormat="1" applyFill="1" applyBorder="1"/>
    <xf numFmtId="2" fontId="0" fillId="2" borderId="1" xfId="0" applyNumberFormat="1" applyFill="1" applyBorder="1"/>
    <xf numFmtId="0" fontId="0" fillId="5" borderId="1" xfId="0" applyFill="1" applyBorder="1"/>
    <xf numFmtId="2" fontId="0" fillId="4" borderId="1" xfId="0" applyNumberFormat="1" applyFill="1" applyBorder="1"/>
    <xf numFmtId="0" fontId="1" fillId="0" borderId="1" xfId="0" applyFont="1" applyBorder="1" applyAlignment="1">
      <alignment horizontal="left" wrapText="1" indent="3"/>
    </xf>
    <xf numFmtId="0" fontId="1" fillId="0" borderId="1" xfId="0" applyFont="1" applyBorder="1" applyAlignment="1">
      <alignment horizontal="left" indent="3"/>
    </xf>
    <xf numFmtId="2" fontId="0" fillId="6" borderId="1" xfId="0" applyNumberFormat="1" applyFill="1" applyBorder="1"/>
    <xf numFmtId="0" fontId="1" fillId="0" borderId="1" xfId="0" applyFont="1" applyBorder="1" applyAlignment="1">
      <alignment horizontal="left" indent="4"/>
    </xf>
    <xf numFmtId="0" fontId="1" fillId="0" borderId="1" xfId="0" applyFont="1" applyBorder="1" applyAlignment="1">
      <alignment horizontal="left" wrapText="1" indent="4"/>
    </xf>
    <xf numFmtId="0" fontId="0" fillId="5" borderId="1" xfId="0" applyFill="1" applyBorder="1" applyProtection="1">
      <protection locked="0"/>
    </xf>
    <xf numFmtId="0" fontId="5" fillId="0" borderId="0" xfId="0" applyFont="1"/>
    <xf numFmtId="0" fontId="0" fillId="7" borderId="0" xfId="0" applyFill="1"/>
    <xf numFmtId="2" fontId="0" fillId="0" borderId="1" xfId="0" applyNumberFormat="1" applyBorder="1"/>
    <xf numFmtId="0" fontId="2" fillId="0" borderId="1" xfId="0" applyFont="1" applyBorder="1" applyAlignment="1">
      <alignment horizontal="left" indent="2"/>
    </xf>
    <xf numFmtId="2" fontId="0" fillId="8" borderId="1" xfId="0" applyNumberFormat="1" applyFill="1" applyBorder="1"/>
    <xf numFmtId="0" fontId="0" fillId="8" borderId="1" xfId="0" applyFill="1" applyBorder="1"/>
    <xf numFmtId="2" fontId="4" fillId="2" borderId="1" xfId="0" applyNumberFormat="1" applyFont="1" applyFill="1" applyBorder="1"/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 applyProtection="1">
      <protection locked="0"/>
    </xf>
    <xf numFmtId="2" fontId="0" fillId="3" borderId="1" xfId="0" applyNumberFormat="1" applyFill="1" applyBorder="1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5" fillId="2" borderId="1" xfId="0" applyFont="1" applyFill="1" applyBorder="1"/>
    <xf numFmtId="0" fontId="4" fillId="2" borderId="1" xfId="0" applyFont="1" applyFill="1" applyBorder="1"/>
    <xf numFmtId="0" fontId="1" fillId="0" borderId="1" xfId="0" applyFont="1" applyBorder="1" applyAlignment="1">
      <alignment horizontal="left" indent="5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1FD-8025-4AC4-A7C6-2D5CF4FDDEA7}">
  <sheetPr codeName="Sheet1"/>
  <dimension ref="A1:AI97"/>
  <sheetViews>
    <sheetView topLeftCell="D1" workbookViewId="0">
      <selection activeCell="F21" sqref="F21"/>
    </sheetView>
  </sheetViews>
  <sheetFormatPr defaultRowHeight="12.5"/>
  <cols>
    <col min="1" max="3" width="9.1796875" hidden="1" customWidth="1"/>
    <col min="4" max="4" width="6.54296875" customWidth="1"/>
    <col min="5" max="5" width="50.7265625" customWidth="1"/>
    <col min="6" max="35" width="20.7265625" customWidth="1"/>
  </cols>
  <sheetData>
    <row r="1" spans="1:35" s="14" customFormat="1">
      <c r="A1"/>
      <c r="B1"/>
      <c r="C1"/>
      <c r="D1"/>
      <c r="E1" s="40" t="s">
        <v>0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4" customFormat="1">
      <c r="A2"/>
      <c r="B2"/>
      <c r="C2"/>
      <c r="D2"/>
      <c r="E2" s="1" t="s">
        <v>1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>
      <c r="A3" t="s">
        <v>2</v>
      </c>
      <c r="E3" s="40" t="s">
        <v>3</v>
      </c>
      <c r="F3" t="s">
        <v>989</v>
      </c>
    </row>
    <row r="4" spans="1:35" s="14" customFormat="1">
      <c r="A4"/>
      <c r="B4"/>
      <c r="C4"/>
      <c r="D4"/>
      <c r="E4" s="1" t="s">
        <v>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>
      <c r="E5" s="40" t="s">
        <v>5</v>
      </c>
      <c r="F5" s="13" t="s">
        <v>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>
      <c r="E6" s="40" t="s">
        <v>7</v>
      </c>
      <c r="F6" s="13" t="s">
        <v>8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s="14" customFormat="1">
      <c r="A7"/>
      <c r="B7"/>
      <c r="C7"/>
      <c r="D7"/>
      <c r="E7" s="1" t="s">
        <v>9</v>
      </c>
      <c r="F7" s="17" t="str">
        <f>IF(F9="","",YEAR(F9))</f>
        <v/>
      </c>
      <c r="G7" s="17" t="str">
        <f t="shared" ref="G7:K7" si="0">IF(G9="","",YEAR(G9))</f>
        <v/>
      </c>
      <c r="H7" s="17" t="str">
        <f t="shared" si="0"/>
        <v/>
      </c>
      <c r="I7" s="17" t="str">
        <f t="shared" si="0"/>
        <v/>
      </c>
      <c r="J7" s="17" t="str">
        <f t="shared" si="0"/>
        <v/>
      </c>
      <c r="K7" s="17" t="str">
        <f t="shared" si="0"/>
        <v/>
      </c>
      <c r="L7" s="17" t="str">
        <f t="shared" ref="L7:AI7" si="1">IF(L9="","",YEAR(L9))</f>
        <v/>
      </c>
      <c r="M7" s="17" t="str">
        <f t="shared" si="1"/>
        <v/>
      </c>
      <c r="N7" s="17" t="str">
        <f t="shared" si="1"/>
        <v/>
      </c>
      <c r="O7" s="17" t="str">
        <f t="shared" si="1"/>
        <v/>
      </c>
      <c r="P7" s="17" t="str">
        <f t="shared" si="1"/>
        <v/>
      </c>
      <c r="Q7" s="17" t="str">
        <f t="shared" si="1"/>
        <v/>
      </c>
      <c r="R7" s="17" t="str">
        <f t="shared" si="1"/>
        <v/>
      </c>
      <c r="S7" s="17" t="str">
        <f t="shared" si="1"/>
        <v/>
      </c>
      <c r="T7" s="17" t="str">
        <f t="shared" si="1"/>
        <v/>
      </c>
      <c r="U7" s="17" t="str">
        <f t="shared" si="1"/>
        <v/>
      </c>
      <c r="V7" s="17" t="str">
        <f t="shared" si="1"/>
        <v/>
      </c>
      <c r="W7" s="17" t="str">
        <f t="shared" si="1"/>
        <v/>
      </c>
      <c r="X7" s="17" t="str">
        <f t="shared" si="1"/>
        <v/>
      </c>
      <c r="Y7" s="17" t="str">
        <f t="shared" si="1"/>
        <v/>
      </c>
      <c r="Z7" s="17" t="str">
        <f t="shared" si="1"/>
        <v/>
      </c>
      <c r="AA7" s="17" t="str">
        <f t="shared" si="1"/>
        <v/>
      </c>
      <c r="AB7" s="17" t="str">
        <f t="shared" si="1"/>
        <v/>
      </c>
      <c r="AC7" s="17" t="str">
        <f t="shared" si="1"/>
        <v/>
      </c>
      <c r="AD7" s="17" t="str">
        <f t="shared" si="1"/>
        <v/>
      </c>
      <c r="AE7" s="17" t="str">
        <f t="shared" si="1"/>
        <v/>
      </c>
      <c r="AF7" s="17" t="str">
        <f t="shared" si="1"/>
        <v/>
      </c>
      <c r="AG7" s="17" t="str">
        <f t="shared" si="1"/>
        <v/>
      </c>
      <c r="AH7" s="17" t="str">
        <f t="shared" si="1"/>
        <v/>
      </c>
      <c r="AI7" s="17" t="str">
        <f t="shared" si="1"/>
        <v/>
      </c>
    </row>
    <row r="8" spans="1:35">
      <c r="E8" s="40" t="s">
        <v>10</v>
      </c>
      <c r="F8" s="39" t="s">
        <v>1006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s="15" customFormat="1">
      <c r="A9" s="16"/>
      <c r="B9" s="16"/>
      <c r="C9" s="16"/>
      <c r="D9" s="16"/>
      <c r="E9" s="40" t="s">
        <v>11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</row>
    <row r="10" spans="1:35">
      <c r="E10" s="40" t="s">
        <v>12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>
      <c r="E11" s="40" t="s">
        <v>13</v>
      </c>
      <c r="F11" s="13" t="s">
        <v>227</v>
      </c>
      <c r="G11" s="17" t="str">
        <f>F11</f>
        <v>INR</v>
      </c>
      <c r="H11" s="17" t="str">
        <f t="shared" ref="H11:AI11" si="2">G11</f>
        <v>INR</v>
      </c>
      <c r="I11" s="17" t="str">
        <f t="shared" si="2"/>
        <v>INR</v>
      </c>
      <c r="J11" s="17" t="str">
        <f t="shared" si="2"/>
        <v>INR</v>
      </c>
      <c r="K11" s="17" t="str">
        <f t="shared" si="2"/>
        <v>INR</v>
      </c>
      <c r="L11" s="17" t="str">
        <f t="shared" si="2"/>
        <v>INR</v>
      </c>
      <c r="M11" s="17" t="str">
        <f t="shared" si="2"/>
        <v>INR</v>
      </c>
      <c r="N11" s="17" t="str">
        <f t="shared" si="2"/>
        <v>INR</v>
      </c>
      <c r="O11" s="17" t="str">
        <f t="shared" si="2"/>
        <v>INR</v>
      </c>
      <c r="P11" s="17" t="str">
        <f t="shared" si="2"/>
        <v>INR</v>
      </c>
      <c r="Q11" s="17" t="str">
        <f t="shared" si="2"/>
        <v>INR</v>
      </c>
      <c r="R11" s="17" t="str">
        <f t="shared" si="2"/>
        <v>INR</v>
      </c>
      <c r="S11" s="17" t="str">
        <f t="shared" si="2"/>
        <v>INR</v>
      </c>
      <c r="T11" s="17" t="str">
        <f t="shared" si="2"/>
        <v>INR</v>
      </c>
      <c r="U11" s="17" t="str">
        <f t="shared" si="2"/>
        <v>INR</v>
      </c>
      <c r="V11" s="17" t="str">
        <f t="shared" si="2"/>
        <v>INR</v>
      </c>
      <c r="W11" s="17" t="str">
        <f t="shared" si="2"/>
        <v>INR</v>
      </c>
      <c r="X11" s="17" t="str">
        <f t="shared" si="2"/>
        <v>INR</v>
      </c>
      <c r="Y11" s="17" t="str">
        <f t="shared" si="2"/>
        <v>INR</v>
      </c>
      <c r="Z11" s="17" t="str">
        <f t="shared" si="2"/>
        <v>INR</v>
      </c>
      <c r="AA11" s="17" t="str">
        <f t="shared" si="2"/>
        <v>INR</v>
      </c>
      <c r="AB11" s="17" t="str">
        <f t="shared" si="2"/>
        <v>INR</v>
      </c>
      <c r="AC11" s="17" t="str">
        <f t="shared" si="2"/>
        <v>INR</v>
      </c>
      <c r="AD11" s="17" t="str">
        <f t="shared" si="2"/>
        <v>INR</v>
      </c>
      <c r="AE11" s="17" t="str">
        <f t="shared" si="2"/>
        <v>INR</v>
      </c>
      <c r="AF11" s="17" t="str">
        <f t="shared" si="2"/>
        <v>INR</v>
      </c>
      <c r="AG11" s="17" t="str">
        <f t="shared" si="2"/>
        <v>INR</v>
      </c>
      <c r="AH11" s="17" t="str">
        <f t="shared" si="2"/>
        <v>INR</v>
      </c>
      <c r="AI11" s="17" t="str">
        <f t="shared" si="2"/>
        <v>INR</v>
      </c>
    </row>
    <row r="12" spans="1:35">
      <c r="E12" s="40" t="s">
        <v>14</v>
      </c>
      <c r="F12" s="13" t="s">
        <v>228</v>
      </c>
      <c r="G12" s="17" t="str">
        <f>F12</f>
        <v>Crores</v>
      </c>
      <c r="H12" s="17" t="str">
        <f t="shared" ref="H12:AI12" si="3">G12</f>
        <v>Crores</v>
      </c>
      <c r="I12" s="17" t="str">
        <f t="shared" si="3"/>
        <v>Crores</v>
      </c>
      <c r="J12" s="17" t="str">
        <f t="shared" si="3"/>
        <v>Crores</v>
      </c>
      <c r="K12" s="17" t="str">
        <f t="shared" si="3"/>
        <v>Crores</v>
      </c>
      <c r="L12" s="17" t="str">
        <f t="shared" si="3"/>
        <v>Crores</v>
      </c>
      <c r="M12" s="17" t="str">
        <f t="shared" si="3"/>
        <v>Crores</v>
      </c>
      <c r="N12" s="17" t="str">
        <f t="shared" si="3"/>
        <v>Crores</v>
      </c>
      <c r="O12" s="17" t="str">
        <f t="shared" si="3"/>
        <v>Crores</v>
      </c>
      <c r="P12" s="17" t="str">
        <f t="shared" si="3"/>
        <v>Crores</v>
      </c>
      <c r="Q12" s="17" t="str">
        <f t="shared" si="3"/>
        <v>Crores</v>
      </c>
      <c r="R12" s="17" t="str">
        <f t="shared" si="3"/>
        <v>Crores</v>
      </c>
      <c r="S12" s="17" t="str">
        <f t="shared" si="3"/>
        <v>Crores</v>
      </c>
      <c r="T12" s="17" t="str">
        <f t="shared" si="3"/>
        <v>Crores</v>
      </c>
      <c r="U12" s="17" t="str">
        <f t="shared" si="3"/>
        <v>Crores</v>
      </c>
      <c r="V12" s="17" t="str">
        <f t="shared" si="3"/>
        <v>Crores</v>
      </c>
      <c r="W12" s="17" t="str">
        <f t="shared" si="3"/>
        <v>Crores</v>
      </c>
      <c r="X12" s="17" t="str">
        <f t="shared" si="3"/>
        <v>Crores</v>
      </c>
      <c r="Y12" s="17" t="str">
        <f t="shared" si="3"/>
        <v>Crores</v>
      </c>
      <c r="Z12" s="17" t="str">
        <f t="shared" si="3"/>
        <v>Crores</v>
      </c>
      <c r="AA12" s="17" t="str">
        <f t="shared" si="3"/>
        <v>Crores</v>
      </c>
      <c r="AB12" s="17" t="str">
        <f t="shared" si="3"/>
        <v>Crores</v>
      </c>
      <c r="AC12" s="17" t="str">
        <f t="shared" si="3"/>
        <v>Crores</v>
      </c>
      <c r="AD12" s="17" t="str">
        <f t="shared" si="3"/>
        <v>Crores</v>
      </c>
      <c r="AE12" s="17" t="str">
        <f t="shared" si="3"/>
        <v>Crores</v>
      </c>
      <c r="AF12" s="17" t="str">
        <f t="shared" si="3"/>
        <v>Crores</v>
      </c>
      <c r="AG12" s="17" t="str">
        <f t="shared" si="3"/>
        <v>Crores</v>
      </c>
      <c r="AH12" s="17" t="str">
        <f t="shared" si="3"/>
        <v>Crores</v>
      </c>
      <c r="AI12" s="17" t="str">
        <f t="shared" si="3"/>
        <v>Crores</v>
      </c>
    </row>
    <row r="13" spans="1:35" s="14" customFormat="1">
      <c r="A13"/>
      <c r="B13"/>
      <c r="C13"/>
      <c r="D13"/>
      <c r="E13" s="1" t="s">
        <v>15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14" customFormat="1">
      <c r="A14"/>
      <c r="B14"/>
      <c r="C14"/>
      <c r="D14"/>
      <c r="E14" s="1" t="s">
        <v>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14" customFormat="1">
      <c r="A15"/>
      <c r="B15"/>
      <c r="C15"/>
      <c r="D15"/>
      <c r="E15" s="1" t="s">
        <v>17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s="14" customFormat="1">
      <c r="A16"/>
      <c r="B16"/>
      <c r="C16"/>
      <c r="D16"/>
      <c r="E16" s="40" t="s">
        <v>18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>
      <c r="F17" s="2">
        <v>1</v>
      </c>
      <c r="G17" s="2">
        <v>2</v>
      </c>
      <c r="H17" s="2">
        <v>3</v>
      </c>
      <c r="I17" s="2">
        <v>4</v>
      </c>
      <c r="J17" s="2">
        <v>5</v>
      </c>
      <c r="K17" s="2">
        <v>6</v>
      </c>
      <c r="L17" s="2">
        <v>7</v>
      </c>
      <c r="M17" s="2">
        <v>8</v>
      </c>
      <c r="N17" s="2">
        <v>9</v>
      </c>
      <c r="O17" s="2">
        <v>10</v>
      </c>
      <c r="P17" s="2">
        <v>11</v>
      </c>
      <c r="Q17" s="2">
        <v>12</v>
      </c>
      <c r="R17" s="2">
        <v>13</v>
      </c>
      <c r="S17" s="2">
        <v>14</v>
      </c>
      <c r="T17" s="2">
        <v>15</v>
      </c>
      <c r="U17" s="2">
        <v>16</v>
      </c>
      <c r="V17" s="2">
        <v>17</v>
      </c>
      <c r="W17" s="2">
        <v>18</v>
      </c>
      <c r="X17" s="2">
        <v>19</v>
      </c>
      <c r="Y17" s="2">
        <v>20</v>
      </c>
      <c r="Z17" s="2">
        <v>21</v>
      </c>
      <c r="AA17" s="2">
        <v>22</v>
      </c>
      <c r="AB17" s="2">
        <v>23</v>
      </c>
      <c r="AC17" s="2">
        <v>24</v>
      </c>
      <c r="AD17" s="2">
        <v>25</v>
      </c>
      <c r="AE17" s="2">
        <v>26</v>
      </c>
      <c r="AF17" s="2">
        <v>27</v>
      </c>
      <c r="AG17" s="2">
        <v>28</v>
      </c>
      <c r="AH17" s="2">
        <v>29</v>
      </c>
      <c r="AI17" s="2">
        <v>30</v>
      </c>
    </row>
    <row r="18" spans="1:3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3" t="s">
        <v>24</v>
      </c>
      <c r="S18" s="3" t="s">
        <v>24</v>
      </c>
      <c r="T18" s="3" t="s">
        <v>24</v>
      </c>
      <c r="U18" s="3" t="s">
        <v>24</v>
      </c>
      <c r="V18" s="3" t="s">
        <v>24</v>
      </c>
      <c r="W18" s="3" t="s">
        <v>24</v>
      </c>
      <c r="X18" s="3" t="s">
        <v>24</v>
      </c>
      <c r="Y18" s="3" t="s">
        <v>24</v>
      </c>
      <c r="Z18" s="3" t="s">
        <v>24</v>
      </c>
      <c r="AA18" s="3" t="s">
        <v>24</v>
      </c>
      <c r="AB18" s="3" t="s">
        <v>24</v>
      </c>
      <c r="AC18" s="3" t="s">
        <v>24</v>
      </c>
      <c r="AD18" s="3" t="s">
        <v>24</v>
      </c>
      <c r="AE18" s="3" t="s">
        <v>24</v>
      </c>
      <c r="AF18" s="3" t="s">
        <v>24</v>
      </c>
      <c r="AG18" s="3" t="s">
        <v>24</v>
      </c>
      <c r="AH18" s="3" t="s">
        <v>24</v>
      </c>
      <c r="AI18" s="3" t="s">
        <v>24</v>
      </c>
    </row>
    <row r="19" spans="1:35" ht="56">
      <c r="A19" s="2" t="s">
        <v>685</v>
      </c>
      <c r="B19" s="2" t="s">
        <v>25</v>
      </c>
      <c r="C19" s="2" t="s">
        <v>26</v>
      </c>
      <c r="D19" s="2" t="s">
        <v>25</v>
      </c>
      <c r="E19" s="18" t="s">
        <v>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</row>
    <row r="20" spans="1:35" ht="13">
      <c r="A20" s="2" t="s">
        <v>686</v>
      </c>
      <c r="B20" s="2" t="s">
        <v>685</v>
      </c>
      <c r="C20" s="2" t="s">
        <v>28</v>
      </c>
      <c r="D20" s="2" t="s">
        <v>26</v>
      </c>
      <c r="E20" s="7" t="s">
        <v>29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3"/>
    </row>
    <row r="21" spans="1:35" ht="13">
      <c r="A21" s="2" t="s">
        <v>687</v>
      </c>
      <c r="B21" s="2" t="s">
        <v>686</v>
      </c>
      <c r="C21" s="2" t="s">
        <v>30</v>
      </c>
      <c r="D21" s="2" t="s">
        <v>28</v>
      </c>
      <c r="E21" s="6" t="s">
        <v>230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ht="13">
      <c r="A22" s="2" t="s">
        <v>688</v>
      </c>
      <c r="B22" s="2" t="s">
        <v>686</v>
      </c>
      <c r="C22" s="2" t="s">
        <v>31</v>
      </c>
      <c r="D22" s="2" t="s">
        <v>32</v>
      </c>
      <c r="E22" s="6" t="s">
        <v>231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ht="13">
      <c r="A23" s="2" t="s">
        <v>689</v>
      </c>
      <c r="B23" s="2" t="s">
        <v>686</v>
      </c>
      <c r="C23" s="2" t="s">
        <v>33</v>
      </c>
      <c r="D23" s="2" t="s">
        <v>34</v>
      </c>
      <c r="E23" s="6" t="s">
        <v>232</v>
      </c>
      <c r="F23" s="20">
        <f>ROUND(SUM(F$21:F$22),2)</f>
        <v>0</v>
      </c>
      <c r="G23" s="20">
        <f t="shared" ref="G23:AI23" si="4">ROUND(SUM(G$21:G$22),2)</f>
        <v>0</v>
      </c>
      <c r="H23" s="20">
        <f t="shared" si="4"/>
        <v>0</v>
      </c>
      <c r="I23" s="20">
        <f t="shared" si="4"/>
        <v>0</v>
      </c>
      <c r="J23" s="20">
        <f t="shared" si="4"/>
        <v>0</v>
      </c>
      <c r="K23" s="20">
        <f t="shared" si="4"/>
        <v>0</v>
      </c>
      <c r="L23" s="20">
        <f t="shared" si="4"/>
        <v>0</v>
      </c>
      <c r="M23" s="20">
        <f t="shared" si="4"/>
        <v>0</v>
      </c>
      <c r="N23" s="20">
        <f t="shared" si="4"/>
        <v>0</v>
      </c>
      <c r="O23" s="20">
        <f t="shared" si="4"/>
        <v>0</v>
      </c>
      <c r="P23" s="20">
        <f t="shared" si="4"/>
        <v>0</v>
      </c>
      <c r="Q23" s="20">
        <f t="shared" si="4"/>
        <v>0</v>
      </c>
      <c r="R23" s="20">
        <f t="shared" si="4"/>
        <v>0</v>
      </c>
      <c r="S23" s="20">
        <f t="shared" si="4"/>
        <v>0</v>
      </c>
      <c r="T23" s="20">
        <f t="shared" si="4"/>
        <v>0</v>
      </c>
      <c r="U23" s="20">
        <f t="shared" si="4"/>
        <v>0</v>
      </c>
      <c r="V23" s="20">
        <f t="shared" si="4"/>
        <v>0</v>
      </c>
      <c r="W23" s="20">
        <f t="shared" si="4"/>
        <v>0</v>
      </c>
      <c r="X23" s="20">
        <f t="shared" si="4"/>
        <v>0</v>
      </c>
      <c r="Y23" s="20">
        <f t="shared" si="4"/>
        <v>0</v>
      </c>
      <c r="Z23" s="20">
        <f t="shared" si="4"/>
        <v>0</v>
      </c>
      <c r="AA23" s="20">
        <f t="shared" si="4"/>
        <v>0</v>
      </c>
      <c r="AB23" s="20">
        <f t="shared" si="4"/>
        <v>0</v>
      </c>
      <c r="AC23" s="20">
        <f t="shared" si="4"/>
        <v>0</v>
      </c>
      <c r="AD23" s="20">
        <f t="shared" si="4"/>
        <v>0</v>
      </c>
      <c r="AE23" s="20">
        <f t="shared" si="4"/>
        <v>0</v>
      </c>
      <c r="AF23" s="20">
        <f t="shared" si="4"/>
        <v>0</v>
      </c>
      <c r="AG23" s="20">
        <f t="shared" si="4"/>
        <v>0</v>
      </c>
      <c r="AH23" s="20">
        <f t="shared" si="4"/>
        <v>0</v>
      </c>
      <c r="AI23" s="20">
        <f t="shared" si="4"/>
        <v>0</v>
      </c>
    </row>
    <row r="24" spans="1:35" ht="13">
      <c r="A24" s="2" t="s">
        <v>690</v>
      </c>
      <c r="B24" s="2" t="s">
        <v>685</v>
      </c>
      <c r="C24" s="2" t="s">
        <v>32</v>
      </c>
      <c r="D24" s="2" t="s">
        <v>36</v>
      </c>
      <c r="E24" s="7" t="s">
        <v>37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ht="13">
      <c r="A25" s="2" t="s">
        <v>691</v>
      </c>
      <c r="B25" s="2" t="s">
        <v>685</v>
      </c>
      <c r="C25" s="2" t="s">
        <v>34</v>
      </c>
      <c r="D25" s="2" t="s">
        <v>39</v>
      </c>
      <c r="E25" s="7" t="s">
        <v>233</v>
      </c>
      <c r="F25" s="20">
        <f>ROUND(F23-F24,2)</f>
        <v>0</v>
      </c>
      <c r="G25" s="20">
        <f t="shared" ref="G25:AI25" si="5">ROUND(G23-G24,2)</f>
        <v>0</v>
      </c>
      <c r="H25" s="20">
        <f t="shared" si="5"/>
        <v>0</v>
      </c>
      <c r="I25" s="20">
        <f t="shared" si="5"/>
        <v>0</v>
      </c>
      <c r="J25" s="20">
        <f t="shared" si="5"/>
        <v>0</v>
      </c>
      <c r="K25" s="20">
        <f t="shared" si="5"/>
        <v>0</v>
      </c>
      <c r="L25" s="20">
        <f t="shared" si="5"/>
        <v>0</v>
      </c>
      <c r="M25" s="20">
        <f t="shared" si="5"/>
        <v>0</v>
      </c>
      <c r="N25" s="20">
        <f t="shared" si="5"/>
        <v>0</v>
      </c>
      <c r="O25" s="20">
        <f t="shared" si="5"/>
        <v>0</v>
      </c>
      <c r="P25" s="20">
        <f t="shared" si="5"/>
        <v>0</v>
      </c>
      <c r="Q25" s="20">
        <f t="shared" si="5"/>
        <v>0</v>
      </c>
      <c r="R25" s="20">
        <f t="shared" si="5"/>
        <v>0</v>
      </c>
      <c r="S25" s="20">
        <f t="shared" si="5"/>
        <v>0</v>
      </c>
      <c r="T25" s="20">
        <f t="shared" si="5"/>
        <v>0</v>
      </c>
      <c r="U25" s="20">
        <f t="shared" si="5"/>
        <v>0</v>
      </c>
      <c r="V25" s="20">
        <f t="shared" si="5"/>
        <v>0</v>
      </c>
      <c r="W25" s="20">
        <f t="shared" si="5"/>
        <v>0</v>
      </c>
      <c r="X25" s="20">
        <f t="shared" si="5"/>
        <v>0</v>
      </c>
      <c r="Y25" s="20">
        <f t="shared" si="5"/>
        <v>0</v>
      </c>
      <c r="Z25" s="20">
        <f t="shared" si="5"/>
        <v>0</v>
      </c>
      <c r="AA25" s="20">
        <f t="shared" si="5"/>
        <v>0</v>
      </c>
      <c r="AB25" s="20">
        <f t="shared" si="5"/>
        <v>0</v>
      </c>
      <c r="AC25" s="20">
        <f t="shared" si="5"/>
        <v>0</v>
      </c>
      <c r="AD25" s="20">
        <f t="shared" si="5"/>
        <v>0</v>
      </c>
      <c r="AE25" s="20">
        <f t="shared" si="5"/>
        <v>0</v>
      </c>
      <c r="AF25" s="20">
        <f t="shared" si="5"/>
        <v>0</v>
      </c>
      <c r="AG25" s="20">
        <f t="shared" si="5"/>
        <v>0</v>
      </c>
      <c r="AH25" s="20">
        <f t="shared" si="5"/>
        <v>0</v>
      </c>
      <c r="AI25" s="20">
        <f t="shared" si="5"/>
        <v>0</v>
      </c>
    </row>
    <row r="26" spans="1:35" ht="26">
      <c r="A26" s="2" t="s">
        <v>692</v>
      </c>
      <c r="B26" s="2" t="s">
        <v>685</v>
      </c>
      <c r="C26" s="2" t="s">
        <v>38</v>
      </c>
      <c r="D26" s="2"/>
      <c r="E26" s="9" t="s">
        <v>234</v>
      </c>
      <c r="F26" s="20"/>
      <c r="G26" s="20">
        <f>IF(F25=0,0,IF(G25=0,0,((G25/G10)-(F25/F10))/(F25/F10))*100)</f>
        <v>0</v>
      </c>
      <c r="H26" s="20">
        <f t="shared" ref="H26:AI26" si="6">IF(G25=0,0,IF(H25=0,0,((H25/H10)-(G25/G10))/(G25/G10))*100)</f>
        <v>0</v>
      </c>
      <c r="I26" s="20">
        <f t="shared" si="6"/>
        <v>0</v>
      </c>
      <c r="J26" s="20">
        <f t="shared" si="6"/>
        <v>0</v>
      </c>
      <c r="K26" s="20">
        <f t="shared" si="6"/>
        <v>0</v>
      </c>
      <c r="L26" s="20">
        <f t="shared" si="6"/>
        <v>0</v>
      </c>
      <c r="M26" s="20">
        <f t="shared" si="6"/>
        <v>0</v>
      </c>
      <c r="N26" s="20">
        <f t="shared" si="6"/>
        <v>0</v>
      </c>
      <c r="O26" s="20">
        <f t="shared" si="6"/>
        <v>0</v>
      </c>
      <c r="P26" s="20">
        <f t="shared" si="6"/>
        <v>0</v>
      </c>
      <c r="Q26" s="20">
        <f t="shared" si="6"/>
        <v>0</v>
      </c>
      <c r="R26" s="20">
        <f t="shared" si="6"/>
        <v>0</v>
      </c>
      <c r="S26" s="20">
        <f t="shared" si="6"/>
        <v>0</v>
      </c>
      <c r="T26" s="20">
        <f t="shared" si="6"/>
        <v>0</v>
      </c>
      <c r="U26" s="20">
        <f t="shared" si="6"/>
        <v>0</v>
      </c>
      <c r="V26" s="20">
        <f t="shared" si="6"/>
        <v>0</v>
      </c>
      <c r="W26" s="20">
        <f t="shared" si="6"/>
        <v>0</v>
      </c>
      <c r="X26" s="20">
        <f t="shared" si="6"/>
        <v>0</v>
      </c>
      <c r="Y26" s="20">
        <f t="shared" si="6"/>
        <v>0</v>
      </c>
      <c r="Z26" s="20">
        <f t="shared" si="6"/>
        <v>0</v>
      </c>
      <c r="AA26" s="20">
        <f t="shared" si="6"/>
        <v>0</v>
      </c>
      <c r="AB26" s="20">
        <f t="shared" si="6"/>
        <v>0</v>
      </c>
      <c r="AC26" s="20">
        <f t="shared" si="6"/>
        <v>0</v>
      </c>
      <c r="AD26" s="20">
        <f t="shared" si="6"/>
        <v>0</v>
      </c>
      <c r="AE26" s="20">
        <f t="shared" si="6"/>
        <v>0</v>
      </c>
      <c r="AF26" s="20">
        <f t="shared" si="6"/>
        <v>0</v>
      </c>
      <c r="AG26" s="20">
        <f t="shared" si="6"/>
        <v>0</v>
      </c>
      <c r="AH26" s="20">
        <f t="shared" si="6"/>
        <v>0</v>
      </c>
      <c r="AI26" s="20">
        <f t="shared" si="6"/>
        <v>0</v>
      </c>
    </row>
    <row r="27" spans="1:35" ht="13">
      <c r="A27" s="2" t="s">
        <v>693</v>
      </c>
      <c r="B27" s="2" t="s">
        <v>685</v>
      </c>
      <c r="C27" s="2" t="s">
        <v>40</v>
      </c>
      <c r="D27" s="2" t="s">
        <v>25</v>
      </c>
      <c r="E27" s="9" t="s">
        <v>235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ht="13">
      <c r="A28" s="2" t="s">
        <v>694</v>
      </c>
      <c r="B28" s="2" t="s">
        <v>685</v>
      </c>
      <c r="C28" s="2" t="s">
        <v>41</v>
      </c>
      <c r="D28" s="2" t="s">
        <v>42</v>
      </c>
      <c r="E28" s="7" t="s">
        <v>236</v>
      </c>
      <c r="F28" s="20">
        <f t="shared" ref="F28:AI28" si="7">F25+F27</f>
        <v>0</v>
      </c>
      <c r="G28" s="20">
        <f t="shared" si="7"/>
        <v>0</v>
      </c>
      <c r="H28" s="20">
        <f t="shared" si="7"/>
        <v>0</v>
      </c>
      <c r="I28" s="20">
        <f t="shared" si="7"/>
        <v>0</v>
      </c>
      <c r="J28" s="20">
        <f t="shared" si="7"/>
        <v>0</v>
      </c>
      <c r="K28" s="20">
        <f t="shared" si="7"/>
        <v>0</v>
      </c>
      <c r="L28" s="20">
        <f t="shared" si="7"/>
        <v>0</v>
      </c>
      <c r="M28" s="20">
        <f t="shared" si="7"/>
        <v>0</v>
      </c>
      <c r="N28" s="20">
        <f t="shared" si="7"/>
        <v>0</v>
      </c>
      <c r="O28" s="20">
        <f t="shared" si="7"/>
        <v>0</v>
      </c>
      <c r="P28" s="20">
        <f t="shared" si="7"/>
        <v>0</v>
      </c>
      <c r="Q28" s="20">
        <f t="shared" si="7"/>
        <v>0</v>
      </c>
      <c r="R28" s="20">
        <f t="shared" si="7"/>
        <v>0</v>
      </c>
      <c r="S28" s="20">
        <f t="shared" si="7"/>
        <v>0</v>
      </c>
      <c r="T28" s="20">
        <f t="shared" si="7"/>
        <v>0</v>
      </c>
      <c r="U28" s="20">
        <f t="shared" si="7"/>
        <v>0</v>
      </c>
      <c r="V28" s="20">
        <f t="shared" si="7"/>
        <v>0</v>
      </c>
      <c r="W28" s="20">
        <f t="shared" si="7"/>
        <v>0</v>
      </c>
      <c r="X28" s="20">
        <f t="shared" si="7"/>
        <v>0</v>
      </c>
      <c r="Y28" s="20">
        <f t="shared" si="7"/>
        <v>0</v>
      </c>
      <c r="Z28" s="20">
        <f t="shared" si="7"/>
        <v>0</v>
      </c>
      <c r="AA28" s="20">
        <f t="shared" si="7"/>
        <v>0</v>
      </c>
      <c r="AB28" s="20">
        <f t="shared" si="7"/>
        <v>0</v>
      </c>
      <c r="AC28" s="20">
        <f t="shared" si="7"/>
        <v>0</v>
      </c>
      <c r="AD28" s="20">
        <f t="shared" si="7"/>
        <v>0</v>
      </c>
      <c r="AE28" s="20">
        <f t="shared" si="7"/>
        <v>0</v>
      </c>
      <c r="AF28" s="20">
        <f t="shared" si="7"/>
        <v>0</v>
      </c>
      <c r="AG28" s="20">
        <f t="shared" si="7"/>
        <v>0</v>
      </c>
      <c r="AH28" s="20">
        <f t="shared" si="7"/>
        <v>0</v>
      </c>
      <c r="AI28" s="20">
        <f t="shared" si="7"/>
        <v>0</v>
      </c>
    </row>
    <row r="29" spans="1:35" ht="13">
      <c r="A29" s="2" t="s">
        <v>695</v>
      </c>
      <c r="B29" s="2" t="s">
        <v>685</v>
      </c>
      <c r="C29" s="2" t="s">
        <v>43</v>
      </c>
      <c r="D29" s="2" t="s">
        <v>45</v>
      </c>
      <c r="E29" s="7" t="s">
        <v>53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ht="13">
      <c r="A30" s="2" t="s">
        <v>696</v>
      </c>
      <c r="B30" s="2" t="s">
        <v>695</v>
      </c>
      <c r="C30" s="2" t="s">
        <v>102</v>
      </c>
      <c r="D30" s="2" t="s">
        <v>238</v>
      </c>
      <c r="E30" s="6" t="s">
        <v>237</v>
      </c>
      <c r="F30" s="20">
        <f>ROUND(SUM(F$31:F$32),2)</f>
        <v>0</v>
      </c>
      <c r="G30" s="20">
        <f t="shared" ref="G30:AI30" si="8">ROUND(SUM(G$31:G$32),2)</f>
        <v>0</v>
      </c>
      <c r="H30" s="20">
        <f t="shared" si="8"/>
        <v>0</v>
      </c>
      <c r="I30" s="20">
        <f t="shared" si="8"/>
        <v>0</v>
      </c>
      <c r="J30" s="20">
        <f t="shared" si="8"/>
        <v>0</v>
      </c>
      <c r="K30" s="20">
        <f t="shared" si="8"/>
        <v>0</v>
      </c>
      <c r="L30" s="20">
        <f t="shared" si="8"/>
        <v>0</v>
      </c>
      <c r="M30" s="20">
        <f t="shared" si="8"/>
        <v>0</v>
      </c>
      <c r="N30" s="20">
        <f t="shared" si="8"/>
        <v>0</v>
      </c>
      <c r="O30" s="20">
        <f t="shared" si="8"/>
        <v>0</v>
      </c>
      <c r="P30" s="20">
        <f t="shared" si="8"/>
        <v>0</v>
      </c>
      <c r="Q30" s="20">
        <f t="shared" si="8"/>
        <v>0</v>
      </c>
      <c r="R30" s="20">
        <f t="shared" si="8"/>
        <v>0</v>
      </c>
      <c r="S30" s="20">
        <f t="shared" si="8"/>
        <v>0</v>
      </c>
      <c r="T30" s="20">
        <f t="shared" si="8"/>
        <v>0</v>
      </c>
      <c r="U30" s="20">
        <f t="shared" si="8"/>
        <v>0</v>
      </c>
      <c r="V30" s="20">
        <f t="shared" si="8"/>
        <v>0</v>
      </c>
      <c r="W30" s="20">
        <f t="shared" si="8"/>
        <v>0</v>
      </c>
      <c r="X30" s="20">
        <f t="shared" si="8"/>
        <v>0</v>
      </c>
      <c r="Y30" s="20">
        <f t="shared" si="8"/>
        <v>0</v>
      </c>
      <c r="Z30" s="20">
        <f t="shared" si="8"/>
        <v>0</v>
      </c>
      <c r="AA30" s="20">
        <f t="shared" si="8"/>
        <v>0</v>
      </c>
      <c r="AB30" s="20">
        <f t="shared" si="8"/>
        <v>0</v>
      </c>
      <c r="AC30" s="20">
        <f t="shared" si="8"/>
        <v>0</v>
      </c>
      <c r="AD30" s="20">
        <f t="shared" si="8"/>
        <v>0</v>
      </c>
      <c r="AE30" s="20">
        <f t="shared" si="8"/>
        <v>0</v>
      </c>
      <c r="AF30" s="20">
        <f t="shared" si="8"/>
        <v>0</v>
      </c>
      <c r="AG30" s="20">
        <f t="shared" si="8"/>
        <v>0</v>
      </c>
      <c r="AH30" s="20">
        <f t="shared" si="8"/>
        <v>0</v>
      </c>
      <c r="AI30" s="20">
        <f t="shared" si="8"/>
        <v>0</v>
      </c>
    </row>
    <row r="31" spans="1:35" ht="13">
      <c r="A31" s="2" t="s">
        <v>697</v>
      </c>
      <c r="B31" s="2" t="s">
        <v>696</v>
      </c>
      <c r="C31" s="2" t="s">
        <v>239</v>
      </c>
      <c r="D31" s="2" t="s">
        <v>240</v>
      </c>
      <c r="E31" s="23" t="s">
        <v>54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 ht="13">
      <c r="A32" s="2" t="s">
        <v>698</v>
      </c>
      <c r="B32" s="2" t="s">
        <v>696</v>
      </c>
      <c r="C32" s="2" t="s">
        <v>241</v>
      </c>
      <c r="D32" s="2" t="s">
        <v>242</v>
      </c>
      <c r="E32" s="23" t="s">
        <v>55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 ht="13">
      <c r="A33" s="2" t="s">
        <v>699</v>
      </c>
      <c r="B33" s="2" t="s">
        <v>695</v>
      </c>
      <c r="C33" s="2" t="s">
        <v>103</v>
      </c>
      <c r="D33" s="2" t="s">
        <v>244</v>
      </c>
      <c r="E33" s="6" t="s">
        <v>243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 ht="13">
      <c r="A34" s="2" t="s">
        <v>700</v>
      </c>
      <c r="B34" s="2" t="s">
        <v>695</v>
      </c>
      <c r="C34" s="2" t="s">
        <v>104</v>
      </c>
      <c r="D34" s="2" t="s">
        <v>245</v>
      </c>
      <c r="E34" s="6" t="s">
        <v>56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ht="13">
      <c r="A35" s="2" t="s">
        <v>701</v>
      </c>
      <c r="B35" s="2" t="s">
        <v>695</v>
      </c>
      <c r="C35" s="2" t="s">
        <v>105</v>
      </c>
      <c r="D35" s="2" t="s">
        <v>247</v>
      </c>
      <c r="E35" s="11" t="s">
        <v>246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ht="13">
      <c r="A36" s="2" t="s">
        <v>702</v>
      </c>
      <c r="B36" s="2" t="s">
        <v>695</v>
      </c>
      <c r="C36" s="2" t="s">
        <v>249</v>
      </c>
      <c r="D36" s="2" t="s">
        <v>250</v>
      </c>
      <c r="E36" s="6" t="s">
        <v>248</v>
      </c>
      <c r="F36" s="20">
        <f>ROUND(SUM(F$37:F$39),2)</f>
        <v>0</v>
      </c>
      <c r="G36" s="20">
        <f t="shared" ref="G36:AI36" si="9">ROUND(SUM(G$37:G$39),2)</f>
        <v>0</v>
      </c>
      <c r="H36" s="20">
        <f t="shared" si="9"/>
        <v>0</v>
      </c>
      <c r="I36" s="20">
        <f t="shared" si="9"/>
        <v>0</v>
      </c>
      <c r="J36" s="20">
        <f t="shared" si="9"/>
        <v>0</v>
      </c>
      <c r="K36" s="20">
        <f t="shared" si="9"/>
        <v>0</v>
      </c>
      <c r="L36" s="20">
        <f t="shared" si="9"/>
        <v>0</v>
      </c>
      <c r="M36" s="20">
        <f t="shared" si="9"/>
        <v>0</v>
      </c>
      <c r="N36" s="20">
        <f t="shared" si="9"/>
        <v>0</v>
      </c>
      <c r="O36" s="20">
        <f t="shared" si="9"/>
        <v>0</v>
      </c>
      <c r="P36" s="20">
        <f t="shared" si="9"/>
        <v>0</v>
      </c>
      <c r="Q36" s="20">
        <f t="shared" si="9"/>
        <v>0</v>
      </c>
      <c r="R36" s="20">
        <f t="shared" si="9"/>
        <v>0</v>
      </c>
      <c r="S36" s="20">
        <f t="shared" si="9"/>
        <v>0</v>
      </c>
      <c r="T36" s="20">
        <f t="shared" si="9"/>
        <v>0</v>
      </c>
      <c r="U36" s="20">
        <f t="shared" si="9"/>
        <v>0</v>
      </c>
      <c r="V36" s="20">
        <f t="shared" si="9"/>
        <v>0</v>
      </c>
      <c r="W36" s="20">
        <f t="shared" si="9"/>
        <v>0</v>
      </c>
      <c r="X36" s="20">
        <f t="shared" si="9"/>
        <v>0</v>
      </c>
      <c r="Y36" s="20">
        <f t="shared" si="9"/>
        <v>0</v>
      </c>
      <c r="Z36" s="20">
        <f t="shared" si="9"/>
        <v>0</v>
      </c>
      <c r="AA36" s="20">
        <f t="shared" si="9"/>
        <v>0</v>
      </c>
      <c r="AB36" s="20">
        <f t="shared" si="9"/>
        <v>0</v>
      </c>
      <c r="AC36" s="20">
        <f t="shared" si="9"/>
        <v>0</v>
      </c>
      <c r="AD36" s="20">
        <f t="shared" si="9"/>
        <v>0</v>
      </c>
      <c r="AE36" s="20">
        <f t="shared" si="9"/>
        <v>0</v>
      </c>
      <c r="AF36" s="20">
        <f t="shared" si="9"/>
        <v>0</v>
      </c>
      <c r="AG36" s="20">
        <f t="shared" si="9"/>
        <v>0</v>
      </c>
      <c r="AH36" s="20">
        <f t="shared" si="9"/>
        <v>0</v>
      </c>
      <c r="AI36" s="20">
        <f t="shared" si="9"/>
        <v>0</v>
      </c>
    </row>
    <row r="37" spans="1:35" ht="13">
      <c r="A37" s="2" t="s">
        <v>703</v>
      </c>
      <c r="B37" s="2" t="s">
        <v>702</v>
      </c>
      <c r="C37" s="2" t="s">
        <v>251</v>
      </c>
      <c r="D37" s="2" t="s">
        <v>240</v>
      </c>
      <c r="E37" s="24" t="s">
        <v>252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12"/>
    </row>
    <row r="38" spans="1:35" ht="13">
      <c r="A38" s="2" t="s">
        <v>704</v>
      </c>
      <c r="B38" s="2" t="s">
        <v>702</v>
      </c>
      <c r="C38" s="2" t="s">
        <v>253</v>
      </c>
      <c r="D38" s="2" t="s">
        <v>242</v>
      </c>
      <c r="E38" s="23" t="s">
        <v>254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12"/>
    </row>
    <row r="39" spans="1:35" ht="13">
      <c r="A39" s="2" t="s">
        <v>705</v>
      </c>
      <c r="B39" s="2" t="s">
        <v>702</v>
      </c>
      <c r="C39" s="2" t="s">
        <v>255</v>
      </c>
      <c r="D39" s="2" t="s">
        <v>256</v>
      </c>
      <c r="E39" s="24" t="s">
        <v>120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12"/>
    </row>
    <row r="40" spans="1:35" ht="13">
      <c r="A40" s="2" t="s">
        <v>706</v>
      </c>
      <c r="B40" s="2" t="s">
        <v>695</v>
      </c>
      <c r="C40" s="2" t="s">
        <v>257</v>
      </c>
      <c r="D40" s="2" t="s">
        <v>258</v>
      </c>
      <c r="E40" s="6" t="s">
        <v>259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12"/>
    </row>
    <row r="41" spans="1:35" ht="13">
      <c r="A41" s="2" t="s">
        <v>707</v>
      </c>
      <c r="B41" s="2" t="s">
        <v>695</v>
      </c>
      <c r="C41" s="2" t="s">
        <v>260</v>
      </c>
      <c r="D41" s="2" t="s">
        <v>261</v>
      </c>
      <c r="E41" s="6" t="s">
        <v>262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12"/>
    </row>
    <row r="42" spans="1:35" ht="13">
      <c r="A42" s="2" t="s">
        <v>708</v>
      </c>
      <c r="B42" s="2" t="s">
        <v>695</v>
      </c>
      <c r="C42" s="2" t="s">
        <v>263</v>
      </c>
      <c r="D42" s="2" t="s">
        <v>264</v>
      </c>
      <c r="E42" s="6" t="s">
        <v>265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12"/>
    </row>
    <row r="43" spans="1:35" ht="13">
      <c r="A43" s="2" t="s">
        <v>709</v>
      </c>
      <c r="B43" s="2" t="s">
        <v>695</v>
      </c>
      <c r="C43" s="2" t="s">
        <v>266</v>
      </c>
      <c r="D43" s="2" t="s">
        <v>267</v>
      </c>
      <c r="E43" s="6" t="s">
        <v>268</v>
      </c>
      <c r="F43" s="20">
        <f>ROUND(F34+F35+F42+F41+F40+F30+F33+F36,2)</f>
        <v>0</v>
      </c>
      <c r="G43" s="20">
        <f t="shared" ref="G43:AI43" si="10">ROUND(G34+G35+G42+G41+G40+G30+G33+G36,2)</f>
        <v>0</v>
      </c>
      <c r="H43" s="20">
        <f t="shared" si="10"/>
        <v>0</v>
      </c>
      <c r="I43" s="20">
        <f t="shared" si="10"/>
        <v>0</v>
      </c>
      <c r="J43" s="20">
        <f t="shared" si="10"/>
        <v>0</v>
      </c>
      <c r="K43" s="20">
        <f t="shared" si="10"/>
        <v>0</v>
      </c>
      <c r="L43" s="20">
        <f t="shared" si="10"/>
        <v>0</v>
      </c>
      <c r="M43" s="20">
        <f t="shared" si="10"/>
        <v>0</v>
      </c>
      <c r="N43" s="20">
        <f t="shared" si="10"/>
        <v>0</v>
      </c>
      <c r="O43" s="20">
        <f t="shared" si="10"/>
        <v>0</v>
      </c>
      <c r="P43" s="20">
        <f t="shared" si="10"/>
        <v>0</v>
      </c>
      <c r="Q43" s="20">
        <f t="shared" si="10"/>
        <v>0</v>
      </c>
      <c r="R43" s="20">
        <f t="shared" si="10"/>
        <v>0</v>
      </c>
      <c r="S43" s="20">
        <f t="shared" si="10"/>
        <v>0</v>
      </c>
      <c r="T43" s="20">
        <f t="shared" si="10"/>
        <v>0</v>
      </c>
      <c r="U43" s="20">
        <f t="shared" si="10"/>
        <v>0</v>
      </c>
      <c r="V43" s="20">
        <f t="shared" si="10"/>
        <v>0</v>
      </c>
      <c r="W43" s="20">
        <f t="shared" si="10"/>
        <v>0</v>
      </c>
      <c r="X43" s="20">
        <f t="shared" si="10"/>
        <v>0</v>
      </c>
      <c r="Y43" s="20">
        <f t="shared" si="10"/>
        <v>0</v>
      </c>
      <c r="Z43" s="20">
        <f t="shared" si="10"/>
        <v>0</v>
      </c>
      <c r="AA43" s="20">
        <f t="shared" si="10"/>
        <v>0</v>
      </c>
      <c r="AB43" s="20">
        <f t="shared" si="10"/>
        <v>0</v>
      </c>
      <c r="AC43" s="20">
        <f t="shared" si="10"/>
        <v>0</v>
      </c>
      <c r="AD43" s="20">
        <f t="shared" si="10"/>
        <v>0</v>
      </c>
      <c r="AE43" s="20">
        <f t="shared" si="10"/>
        <v>0</v>
      </c>
      <c r="AF43" s="20">
        <f t="shared" si="10"/>
        <v>0</v>
      </c>
      <c r="AG43" s="20">
        <f t="shared" si="10"/>
        <v>0</v>
      </c>
      <c r="AH43" s="20">
        <f t="shared" si="10"/>
        <v>0</v>
      </c>
      <c r="AI43" s="20">
        <f t="shared" si="10"/>
        <v>0</v>
      </c>
    </row>
    <row r="44" spans="1:35" ht="13">
      <c r="A44" s="2" t="s">
        <v>710</v>
      </c>
      <c r="B44" s="2" t="s">
        <v>685</v>
      </c>
      <c r="C44" s="2" t="s">
        <v>44</v>
      </c>
      <c r="D44" s="2" t="s">
        <v>52</v>
      </c>
      <c r="E44" s="9" t="s">
        <v>269</v>
      </c>
      <c r="F44" s="20">
        <f>ROUND(SUM(F$45:F$55),2)</f>
        <v>0</v>
      </c>
      <c r="G44" s="20">
        <f t="shared" ref="G44:AI44" si="11">ROUND(SUM(G$45:G$55),2)</f>
        <v>0</v>
      </c>
      <c r="H44" s="20">
        <f t="shared" si="11"/>
        <v>0</v>
      </c>
      <c r="I44" s="20">
        <f t="shared" si="11"/>
        <v>0</v>
      </c>
      <c r="J44" s="20">
        <f t="shared" si="11"/>
        <v>0</v>
      </c>
      <c r="K44" s="20">
        <f t="shared" si="11"/>
        <v>0</v>
      </c>
      <c r="L44" s="20">
        <f t="shared" si="11"/>
        <v>0</v>
      </c>
      <c r="M44" s="20">
        <f t="shared" si="11"/>
        <v>0</v>
      </c>
      <c r="N44" s="20">
        <f t="shared" si="11"/>
        <v>0</v>
      </c>
      <c r="O44" s="20">
        <f t="shared" si="11"/>
        <v>0</v>
      </c>
      <c r="P44" s="20">
        <f t="shared" si="11"/>
        <v>0</v>
      </c>
      <c r="Q44" s="20">
        <f t="shared" si="11"/>
        <v>0</v>
      </c>
      <c r="R44" s="20">
        <f t="shared" si="11"/>
        <v>0</v>
      </c>
      <c r="S44" s="20">
        <f t="shared" si="11"/>
        <v>0</v>
      </c>
      <c r="T44" s="20">
        <f t="shared" si="11"/>
        <v>0</v>
      </c>
      <c r="U44" s="20">
        <f t="shared" si="11"/>
        <v>0</v>
      </c>
      <c r="V44" s="20">
        <f t="shared" si="11"/>
        <v>0</v>
      </c>
      <c r="W44" s="20">
        <f t="shared" si="11"/>
        <v>0</v>
      </c>
      <c r="X44" s="20">
        <f t="shared" si="11"/>
        <v>0</v>
      </c>
      <c r="Y44" s="20">
        <f t="shared" si="11"/>
        <v>0</v>
      </c>
      <c r="Z44" s="20">
        <f t="shared" si="11"/>
        <v>0</v>
      </c>
      <c r="AA44" s="20">
        <f t="shared" si="11"/>
        <v>0</v>
      </c>
      <c r="AB44" s="20">
        <f t="shared" si="11"/>
        <v>0</v>
      </c>
      <c r="AC44" s="20">
        <f t="shared" si="11"/>
        <v>0</v>
      </c>
      <c r="AD44" s="20">
        <f t="shared" si="11"/>
        <v>0</v>
      </c>
      <c r="AE44" s="20">
        <f t="shared" si="11"/>
        <v>0</v>
      </c>
      <c r="AF44" s="20">
        <f t="shared" si="11"/>
        <v>0</v>
      </c>
      <c r="AG44" s="20">
        <f t="shared" si="11"/>
        <v>0</v>
      </c>
      <c r="AH44" s="20">
        <f t="shared" si="11"/>
        <v>0</v>
      </c>
      <c r="AI44" s="20">
        <f t="shared" si="11"/>
        <v>0</v>
      </c>
    </row>
    <row r="45" spans="1:35" ht="13">
      <c r="A45" s="2" t="s">
        <v>711</v>
      </c>
      <c r="B45" s="2" t="s">
        <v>710</v>
      </c>
      <c r="C45" s="2" t="s">
        <v>46</v>
      </c>
      <c r="D45" s="2" t="s">
        <v>240</v>
      </c>
      <c r="E45" s="6" t="s">
        <v>270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12"/>
    </row>
    <row r="46" spans="1:35" ht="13">
      <c r="A46" s="2" t="s">
        <v>712</v>
      </c>
      <c r="B46" s="2" t="s">
        <v>710</v>
      </c>
      <c r="C46" s="2" t="s">
        <v>47</v>
      </c>
      <c r="D46" s="2" t="s">
        <v>242</v>
      </c>
      <c r="E46" s="6" t="s">
        <v>271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12"/>
    </row>
    <row r="47" spans="1:35" ht="13">
      <c r="A47" s="2" t="s">
        <v>713</v>
      </c>
      <c r="B47" s="2" t="s">
        <v>710</v>
      </c>
      <c r="C47" s="2" t="s">
        <v>48</v>
      </c>
      <c r="D47" s="2" t="s">
        <v>256</v>
      </c>
      <c r="E47" s="6" t="s">
        <v>272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12"/>
    </row>
    <row r="48" spans="1:35" ht="13">
      <c r="A48" s="2" t="s">
        <v>714</v>
      </c>
      <c r="B48" s="2" t="s">
        <v>710</v>
      </c>
      <c r="C48" s="2" t="s">
        <v>49</v>
      </c>
      <c r="D48" s="2" t="s">
        <v>273</v>
      </c>
      <c r="E48" s="6" t="s">
        <v>274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12"/>
    </row>
    <row r="49" spans="1:35" ht="13">
      <c r="A49" s="2" t="s">
        <v>715</v>
      </c>
      <c r="B49" s="2" t="s">
        <v>710</v>
      </c>
      <c r="C49" s="2" t="s">
        <v>50</v>
      </c>
      <c r="D49" s="2" t="s">
        <v>275</v>
      </c>
      <c r="E49" s="6" t="s">
        <v>276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12"/>
    </row>
    <row r="50" spans="1:35" ht="13">
      <c r="A50" s="2" t="s">
        <v>716</v>
      </c>
      <c r="B50" s="2" t="s">
        <v>710</v>
      </c>
      <c r="C50" s="2" t="s">
        <v>277</v>
      </c>
      <c r="D50" s="2" t="s">
        <v>278</v>
      </c>
      <c r="E50" s="11" t="s">
        <v>279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12"/>
    </row>
    <row r="51" spans="1:35" ht="13">
      <c r="A51" s="2" t="s">
        <v>717</v>
      </c>
      <c r="B51" s="2" t="s">
        <v>710</v>
      </c>
      <c r="C51" s="2" t="s">
        <v>280</v>
      </c>
      <c r="D51" s="2" t="s">
        <v>281</v>
      </c>
      <c r="E51" s="11" t="s">
        <v>282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12"/>
    </row>
    <row r="52" spans="1:35" ht="13">
      <c r="A52" s="2" t="s">
        <v>718</v>
      </c>
      <c r="B52" s="2" t="s">
        <v>710</v>
      </c>
      <c r="C52" s="2" t="s">
        <v>283</v>
      </c>
      <c r="D52" s="2" t="s">
        <v>284</v>
      </c>
      <c r="E52" s="6" t="s">
        <v>285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12"/>
    </row>
    <row r="53" spans="1:35" ht="13">
      <c r="A53" s="2" t="s">
        <v>719</v>
      </c>
      <c r="B53" s="2" t="s">
        <v>710</v>
      </c>
      <c r="C53" s="2" t="s">
        <v>286</v>
      </c>
      <c r="D53" s="2" t="s">
        <v>238</v>
      </c>
      <c r="E53" s="6" t="s">
        <v>287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12"/>
    </row>
    <row r="54" spans="1:35" ht="13">
      <c r="A54" s="2" t="s">
        <v>720</v>
      </c>
      <c r="B54" s="2" t="s">
        <v>710</v>
      </c>
      <c r="C54" s="2" t="s">
        <v>288</v>
      </c>
      <c r="D54" s="2" t="s">
        <v>238</v>
      </c>
      <c r="E54" s="6" t="s">
        <v>289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12"/>
    </row>
    <row r="55" spans="1:35" ht="13">
      <c r="A55" s="2" t="s">
        <v>721</v>
      </c>
      <c r="B55" s="2" t="s">
        <v>710</v>
      </c>
      <c r="C55" s="2" t="s">
        <v>290</v>
      </c>
      <c r="D55" s="2" t="s">
        <v>291</v>
      </c>
      <c r="E55" s="6" t="s">
        <v>120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12"/>
    </row>
    <row r="56" spans="1:35" ht="13">
      <c r="A56" s="2" t="s">
        <v>722</v>
      </c>
      <c r="B56" s="2" t="s">
        <v>685</v>
      </c>
      <c r="C56" s="2" t="s">
        <v>51</v>
      </c>
      <c r="D56" s="2" t="s">
        <v>58</v>
      </c>
      <c r="E56" s="7" t="s">
        <v>292</v>
      </c>
      <c r="F56" s="20">
        <f>ROUND(F43+F44,2)</f>
        <v>0</v>
      </c>
      <c r="G56" s="20">
        <f t="shared" ref="G56:AI56" si="12">ROUND(G43+G44,2)</f>
        <v>0</v>
      </c>
      <c r="H56" s="20">
        <f t="shared" si="12"/>
        <v>0</v>
      </c>
      <c r="I56" s="20">
        <f t="shared" si="12"/>
        <v>0</v>
      </c>
      <c r="J56" s="20">
        <f t="shared" si="12"/>
        <v>0</v>
      </c>
      <c r="K56" s="20">
        <f t="shared" si="12"/>
        <v>0</v>
      </c>
      <c r="L56" s="20">
        <f t="shared" si="12"/>
        <v>0</v>
      </c>
      <c r="M56" s="20">
        <f t="shared" si="12"/>
        <v>0</v>
      </c>
      <c r="N56" s="20">
        <f t="shared" si="12"/>
        <v>0</v>
      </c>
      <c r="O56" s="20">
        <f t="shared" si="12"/>
        <v>0</v>
      </c>
      <c r="P56" s="20">
        <f t="shared" si="12"/>
        <v>0</v>
      </c>
      <c r="Q56" s="20">
        <f t="shared" si="12"/>
        <v>0</v>
      </c>
      <c r="R56" s="20">
        <f t="shared" si="12"/>
        <v>0</v>
      </c>
      <c r="S56" s="20">
        <f t="shared" si="12"/>
        <v>0</v>
      </c>
      <c r="T56" s="20">
        <f t="shared" si="12"/>
        <v>0</v>
      </c>
      <c r="U56" s="20">
        <f t="shared" si="12"/>
        <v>0</v>
      </c>
      <c r="V56" s="20">
        <f t="shared" si="12"/>
        <v>0</v>
      </c>
      <c r="W56" s="20">
        <f t="shared" si="12"/>
        <v>0</v>
      </c>
      <c r="X56" s="20">
        <f t="shared" si="12"/>
        <v>0</v>
      </c>
      <c r="Y56" s="20">
        <f t="shared" si="12"/>
        <v>0</v>
      </c>
      <c r="Z56" s="20">
        <f t="shared" si="12"/>
        <v>0</v>
      </c>
      <c r="AA56" s="20">
        <f t="shared" si="12"/>
        <v>0</v>
      </c>
      <c r="AB56" s="20">
        <f t="shared" si="12"/>
        <v>0</v>
      </c>
      <c r="AC56" s="20">
        <f t="shared" si="12"/>
        <v>0</v>
      </c>
      <c r="AD56" s="20">
        <f t="shared" si="12"/>
        <v>0</v>
      </c>
      <c r="AE56" s="20">
        <f t="shared" si="12"/>
        <v>0</v>
      </c>
      <c r="AF56" s="20">
        <f t="shared" si="12"/>
        <v>0</v>
      </c>
      <c r="AG56" s="20">
        <f t="shared" si="12"/>
        <v>0</v>
      </c>
      <c r="AH56" s="20">
        <f t="shared" si="12"/>
        <v>0</v>
      </c>
      <c r="AI56" s="20">
        <f t="shared" si="12"/>
        <v>0</v>
      </c>
    </row>
    <row r="57" spans="1:35" ht="13">
      <c r="A57" s="2" t="s">
        <v>723</v>
      </c>
      <c r="B57" s="2" t="s">
        <v>685</v>
      </c>
      <c r="C57" s="2" t="s">
        <v>57</v>
      </c>
      <c r="D57" s="2" t="s">
        <v>60</v>
      </c>
      <c r="E57" s="9" t="s">
        <v>293</v>
      </c>
      <c r="F57" s="20">
        <f t="shared" ref="F57:AI57" si="13">ROUND(F28-F56,2)</f>
        <v>0</v>
      </c>
      <c r="G57" s="20">
        <f t="shared" si="13"/>
        <v>0</v>
      </c>
      <c r="H57" s="20">
        <f t="shared" si="13"/>
        <v>0</v>
      </c>
      <c r="I57" s="20">
        <f t="shared" si="13"/>
        <v>0</v>
      </c>
      <c r="J57" s="20">
        <f t="shared" si="13"/>
        <v>0</v>
      </c>
      <c r="K57" s="20">
        <f t="shared" si="13"/>
        <v>0</v>
      </c>
      <c r="L57" s="20">
        <f t="shared" si="13"/>
        <v>0</v>
      </c>
      <c r="M57" s="20">
        <f t="shared" si="13"/>
        <v>0</v>
      </c>
      <c r="N57" s="20">
        <f t="shared" si="13"/>
        <v>0</v>
      </c>
      <c r="O57" s="20">
        <f t="shared" si="13"/>
        <v>0</v>
      </c>
      <c r="P57" s="20">
        <f t="shared" si="13"/>
        <v>0</v>
      </c>
      <c r="Q57" s="20">
        <f t="shared" si="13"/>
        <v>0</v>
      </c>
      <c r="R57" s="20">
        <f t="shared" si="13"/>
        <v>0</v>
      </c>
      <c r="S57" s="20">
        <f t="shared" si="13"/>
        <v>0</v>
      </c>
      <c r="T57" s="20">
        <f t="shared" si="13"/>
        <v>0</v>
      </c>
      <c r="U57" s="20">
        <f t="shared" si="13"/>
        <v>0</v>
      </c>
      <c r="V57" s="20">
        <f t="shared" si="13"/>
        <v>0</v>
      </c>
      <c r="W57" s="20">
        <f t="shared" si="13"/>
        <v>0</v>
      </c>
      <c r="X57" s="20">
        <f t="shared" si="13"/>
        <v>0</v>
      </c>
      <c r="Y57" s="20">
        <f t="shared" si="13"/>
        <v>0</v>
      </c>
      <c r="Z57" s="20">
        <f t="shared" si="13"/>
        <v>0</v>
      </c>
      <c r="AA57" s="20">
        <f t="shared" si="13"/>
        <v>0</v>
      </c>
      <c r="AB57" s="20">
        <f t="shared" si="13"/>
        <v>0</v>
      </c>
      <c r="AC57" s="20">
        <f t="shared" si="13"/>
        <v>0</v>
      </c>
      <c r="AD57" s="20">
        <f t="shared" si="13"/>
        <v>0</v>
      </c>
      <c r="AE57" s="20">
        <f t="shared" si="13"/>
        <v>0</v>
      </c>
      <c r="AF57" s="20">
        <f t="shared" si="13"/>
        <v>0</v>
      </c>
      <c r="AG57" s="20">
        <f t="shared" si="13"/>
        <v>0</v>
      </c>
      <c r="AH57" s="20">
        <f t="shared" si="13"/>
        <v>0</v>
      </c>
      <c r="AI57" s="20">
        <f t="shared" si="13"/>
        <v>0</v>
      </c>
    </row>
    <row r="58" spans="1:35" ht="13">
      <c r="A58" s="2" t="s">
        <v>724</v>
      </c>
      <c r="B58" s="2" t="s">
        <v>685</v>
      </c>
      <c r="C58" s="2" t="s">
        <v>59</v>
      </c>
      <c r="D58" s="2" t="s">
        <v>62</v>
      </c>
      <c r="E58" s="7" t="s">
        <v>294</v>
      </c>
      <c r="F58" s="20">
        <f>ROUND(SUM(F$59:F$61),2)</f>
        <v>0</v>
      </c>
      <c r="G58" s="20">
        <f t="shared" ref="G58:AI58" si="14">ROUND(SUM(G$59:G$61),2)</f>
        <v>0</v>
      </c>
      <c r="H58" s="20">
        <f t="shared" si="14"/>
        <v>0</v>
      </c>
      <c r="I58" s="20">
        <f t="shared" si="14"/>
        <v>0</v>
      </c>
      <c r="J58" s="20">
        <f t="shared" si="14"/>
        <v>0</v>
      </c>
      <c r="K58" s="20">
        <f t="shared" si="14"/>
        <v>0</v>
      </c>
      <c r="L58" s="20">
        <f t="shared" si="14"/>
        <v>0</v>
      </c>
      <c r="M58" s="20">
        <f t="shared" si="14"/>
        <v>0</v>
      </c>
      <c r="N58" s="20">
        <f t="shared" si="14"/>
        <v>0</v>
      </c>
      <c r="O58" s="20">
        <f t="shared" si="14"/>
        <v>0</v>
      </c>
      <c r="P58" s="20">
        <f t="shared" si="14"/>
        <v>0</v>
      </c>
      <c r="Q58" s="20">
        <f t="shared" si="14"/>
        <v>0</v>
      </c>
      <c r="R58" s="20">
        <f t="shared" si="14"/>
        <v>0</v>
      </c>
      <c r="S58" s="20">
        <f t="shared" si="14"/>
        <v>0</v>
      </c>
      <c r="T58" s="20">
        <f t="shared" si="14"/>
        <v>0</v>
      </c>
      <c r="U58" s="20">
        <f t="shared" si="14"/>
        <v>0</v>
      </c>
      <c r="V58" s="20">
        <f t="shared" si="14"/>
        <v>0</v>
      </c>
      <c r="W58" s="20">
        <f t="shared" si="14"/>
        <v>0</v>
      </c>
      <c r="X58" s="20">
        <f t="shared" si="14"/>
        <v>0</v>
      </c>
      <c r="Y58" s="20">
        <f t="shared" si="14"/>
        <v>0</v>
      </c>
      <c r="Z58" s="20">
        <f t="shared" si="14"/>
        <v>0</v>
      </c>
      <c r="AA58" s="20">
        <f t="shared" si="14"/>
        <v>0</v>
      </c>
      <c r="AB58" s="20">
        <f t="shared" si="14"/>
        <v>0</v>
      </c>
      <c r="AC58" s="20">
        <f t="shared" si="14"/>
        <v>0</v>
      </c>
      <c r="AD58" s="20">
        <f t="shared" si="14"/>
        <v>0</v>
      </c>
      <c r="AE58" s="20">
        <f t="shared" si="14"/>
        <v>0</v>
      </c>
      <c r="AF58" s="20">
        <f t="shared" si="14"/>
        <v>0</v>
      </c>
      <c r="AG58" s="20">
        <f t="shared" si="14"/>
        <v>0</v>
      </c>
      <c r="AH58" s="20">
        <f t="shared" si="14"/>
        <v>0</v>
      </c>
      <c r="AI58" s="20">
        <f t="shared" si="14"/>
        <v>0</v>
      </c>
    </row>
    <row r="59" spans="1:35" ht="13">
      <c r="A59" s="2" t="s">
        <v>725</v>
      </c>
      <c r="B59" s="2" t="s">
        <v>724</v>
      </c>
      <c r="C59" s="2" t="s">
        <v>295</v>
      </c>
      <c r="D59" s="2" t="s">
        <v>240</v>
      </c>
      <c r="E59" s="11" t="s">
        <v>296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12"/>
    </row>
    <row r="60" spans="1:35" ht="13">
      <c r="A60" s="2" t="s">
        <v>726</v>
      </c>
      <c r="B60" s="2" t="s">
        <v>724</v>
      </c>
      <c r="C60" s="2" t="s">
        <v>297</v>
      </c>
      <c r="D60" s="2" t="s">
        <v>242</v>
      </c>
      <c r="E60" s="6" t="s">
        <v>298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12"/>
    </row>
    <row r="61" spans="1:35" ht="13">
      <c r="A61" s="2" t="s">
        <v>727</v>
      </c>
      <c r="B61" s="2" t="s">
        <v>724</v>
      </c>
      <c r="C61" s="2" t="s">
        <v>299</v>
      </c>
      <c r="D61" s="2" t="s">
        <v>256</v>
      </c>
      <c r="E61" s="6" t="s">
        <v>300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12"/>
    </row>
    <row r="62" spans="1:35" ht="13">
      <c r="A62" s="2" t="s">
        <v>728</v>
      </c>
      <c r="B62" s="2" t="s">
        <v>685</v>
      </c>
      <c r="C62" s="2" t="s">
        <v>61</v>
      </c>
      <c r="D62" s="2" t="s">
        <v>64</v>
      </c>
      <c r="E62" s="9" t="s">
        <v>301</v>
      </c>
      <c r="F62" s="20">
        <f t="shared" ref="F62:AI62" si="15">ROUND(F57-F58,2)</f>
        <v>0</v>
      </c>
      <c r="G62" s="20">
        <f t="shared" si="15"/>
        <v>0</v>
      </c>
      <c r="H62" s="20">
        <f t="shared" si="15"/>
        <v>0</v>
      </c>
      <c r="I62" s="20">
        <f t="shared" si="15"/>
        <v>0</v>
      </c>
      <c r="J62" s="20">
        <f t="shared" si="15"/>
        <v>0</v>
      </c>
      <c r="K62" s="20">
        <f t="shared" si="15"/>
        <v>0</v>
      </c>
      <c r="L62" s="20">
        <f t="shared" si="15"/>
        <v>0</v>
      </c>
      <c r="M62" s="20">
        <f t="shared" si="15"/>
        <v>0</v>
      </c>
      <c r="N62" s="20">
        <f t="shared" si="15"/>
        <v>0</v>
      </c>
      <c r="O62" s="20">
        <f t="shared" si="15"/>
        <v>0</v>
      </c>
      <c r="P62" s="20">
        <f t="shared" si="15"/>
        <v>0</v>
      </c>
      <c r="Q62" s="20">
        <f t="shared" si="15"/>
        <v>0</v>
      </c>
      <c r="R62" s="20">
        <f t="shared" si="15"/>
        <v>0</v>
      </c>
      <c r="S62" s="20">
        <f t="shared" si="15"/>
        <v>0</v>
      </c>
      <c r="T62" s="20">
        <f t="shared" si="15"/>
        <v>0</v>
      </c>
      <c r="U62" s="20">
        <f t="shared" si="15"/>
        <v>0</v>
      </c>
      <c r="V62" s="20">
        <f t="shared" si="15"/>
        <v>0</v>
      </c>
      <c r="W62" s="20">
        <f t="shared" si="15"/>
        <v>0</v>
      </c>
      <c r="X62" s="20">
        <f t="shared" si="15"/>
        <v>0</v>
      </c>
      <c r="Y62" s="20">
        <f t="shared" si="15"/>
        <v>0</v>
      </c>
      <c r="Z62" s="20">
        <f t="shared" si="15"/>
        <v>0</v>
      </c>
      <c r="AA62" s="20">
        <f t="shared" si="15"/>
        <v>0</v>
      </c>
      <c r="AB62" s="20">
        <f t="shared" si="15"/>
        <v>0</v>
      </c>
      <c r="AC62" s="20">
        <f t="shared" si="15"/>
        <v>0</v>
      </c>
      <c r="AD62" s="20">
        <f t="shared" si="15"/>
        <v>0</v>
      </c>
      <c r="AE62" s="20">
        <f t="shared" si="15"/>
        <v>0</v>
      </c>
      <c r="AF62" s="20">
        <f t="shared" si="15"/>
        <v>0</v>
      </c>
      <c r="AG62" s="20">
        <f t="shared" si="15"/>
        <v>0</v>
      </c>
      <c r="AH62" s="20">
        <f t="shared" si="15"/>
        <v>0</v>
      </c>
      <c r="AI62" s="20">
        <f t="shared" si="15"/>
        <v>0</v>
      </c>
    </row>
    <row r="63" spans="1:35" ht="13">
      <c r="A63" s="2" t="s">
        <v>729</v>
      </c>
      <c r="B63" s="2" t="s">
        <v>685</v>
      </c>
      <c r="C63" s="2" t="s">
        <v>63</v>
      </c>
      <c r="D63" s="2" t="s">
        <v>66</v>
      </c>
      <c r="E63" s="7" t="s">
        <v>302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</row>
    <row r="64" spans="1:35" ht="13">
      <c r="A64" s="2" t="s">
        <v>730</v>
      </c>
      <c r="B64" s="2" t="s">
        <v>685</v>
      </c>
      <c r="C64" s="2" t="s">
        <v>65</v>
      </c>
      <c r="D64" s="2" t="s">
        <v>238</v>
      </c>
      <c r="E64" s="7" t="s">
        <v>303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3">
      <c r="A65" s="2" t="s">
        <v>731</v>
      </c>
      <c r="B65" s="2" t="s">
        <v>730</v>
      </c>
      <c r="C65" s="2" t="s">
        <v>107</v>
      </c>
      <c r="D65" s="2" t="s">
        <v>240</v>
      </c>
      <c r="E65" s="6" t="s">
        <v>304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12"/>
    </row>
    <row r="66" spans="1:35" ht="13">
      <c r="A66" s="2" t="s">
        <v>732</v>
      </c>
      <c r="B66" s="2" t="s">
        <v>730</v>
      </c>
      <c r="C66" s="2" t="s">
        <v>108</v>
      </c>
      <c r="D66" s="2" t="s">
        <v>242</v>
      </c>
      <c r="E66" s="6" t="s">
        <v>305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12"/>
    </row>
    <row r="67" spans="1:35" ht="13">
      <c r="A67" s="2" t="s">
        <v>733</v>
      </c>
      <c r="B67" s="2" t="s">
        <v>730</v>
      </c>
      <c r="C67" s="2" t="s">
        <v>109</v>
      </c>
      <c r="D67" s="2" t="s">
        <v>306</v>
      </c>
      <c r="E67" s="11" t="s">
        <v>307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12"/>
    </row>
    <row r="68" spans="1:35" ht="13">
      <c r="A68" s="2" t="s">
        <v>734</v>
      </c>
      <c r="B68" s="2" t="s">
        <v>730</v>
      </c>
      <c r="C68" s="2" t="s">
        <v>110</v>
      </c>
      <c r="D68" s="2" t="s">
        <v>308</v>
      </c>
      <c r="E68" s="6" t="s">
        <v>309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12"/>
    </row>
    <row r="69" spans="1:35" ht="13">
      <c r="A69" s="2" t="s">
        <v>735</v>
      </c>
      <c r="B69" s="2" t="s">
        <v>730</v>
      </c>
      <c r="C69" s="2" t="s">
        <v>111</v>
      </c>
      <c r="D69" s="2" t="s">
        <v>25</v>
      </c>
      <c r="E69" s="11" t="s">
        <v>310</v>
      </c>
      <c r="F69" s="20">
        <f>ROUND(SUM(F$65:F$68),2)</f>
        <v>0</v>
      </c>
      <c r="G69" s="20">
        <f t="shared" ref="G69:AI69" si="16">ROUND(SUM(G$65:G$68),2)</f>
        <v>0</v>
      </c>
      <c r="H69" s="20">
        <f t="shared" si="16"/>
        <v>0</v>
      </c>
      <c r="I69" s="20">
        <f t="shared" si="16"/>
        <v>0</v>
      </c>
      <c r="J69" s="20">
        <f t="shared" si="16"/>
        <v>0</v>
      </c>
      <c r="K69" s="20">
        <f t="shared" si="16"/>
        <v>0</v>
      </c>
      <c r="L69" s="20">
        <f t="shared" si="16"/>
        <v>0</v>
      </c>
      <c r="M69" s="20">
        <f t="shared" si="16"/>
        <v>0</v>
      </c>
      <c r="N69" s="20">
        <f t="shared" si="16"/>
        <v>0</v>
      </c>
      <c r="O69" s="20">
        <f t="shared" si="16"/>
        <v>0</v>
      </c>
      <c r="P69" s="20">
        <f t="shared" si="16"/>
        <v>0</v>
      </c>
      <c r="Q69" s="20">
        <f t="shared" si="16"/>
        <v>0</v>
      </c>
      <c r="R69" s="20">
        <f t="shared" si="16"/>
        <v>0</v>
      </c>
      <c r="S69" s="20">
        <f t="shared" si="16"/>
        <v>0</v>
      </c>
      <c r="T69" s="20">
        <f t="shared" si="16"/>
        <v>0</v>
      </c>
      <c r="U69" s="20">
        <f t="shared" si="16"/>
        <v>0</v>
      </c>
      <c r="V69" s="20">
        <f t="shared" si="16"/>
        <v>0</v>
      </c>
      <c r="W69" s="20">
        <f t="shared" si="16"/>
        <v>0</v>
      </c>
      <c r="X69" s="20">
        <f t="shared" si="16"/>
        <v>0</v>
      </c>
      <c r="Y69" s="20">
        <f t="shared" si="16"/>
        <v>0</v>
      </c>
      <c r="Z69" s="20">
        <f t="shared" si="16"/>
        <v>0</v>
      </c>
      <c r="AA69" s="20">
        <f t="shared" si="16"/>
        <v>0</v>
      </c>
      <c r="AB69" s="20">
        <f t="shared" si="16"/>
        <v>0</v>
      </c>
      <c r="AC69" s="20">
        <f t="shared" si="16"/>
        <v>0</v>
      </c>
      <c r="AD69" s="20">
        <f t="shared" si="16"/>
        <v>0</v>
      </c>
      <c r="AE69" s="20">
        <f t="shared" si="16"/>
        <v>0</v>
      </c>
      <c r="AF69" s="20">
        <f t="shared" si="16"/>
        <v>0</v>
      </c>
      <c r="AG69" s="20">
        <f t="shared" si="16"/>
        <v>0</v>
      </c>
      <c r="AH69" s="20">
        <f t="shared" si="16"/>
        <v>0</v>
      </c>
      <c r="AI69" s="20">
        <f t="shared" si="16"/>
        <v>0</v>
      </c>
    </row>
    <row r="70" spans="1:35" ht="13">
      <c r="A70" s="2" t="s">
        <v>736</v>
      </c>
      <c r="B70" s="2" t="s">
        <v>730</v>
      </c>
      <c r="C70" s="2" t="s">
        <v>112</v>
      </c>
      <c r="D70" s="2" t="s">
        <v>25</v>
      </c>
      <c r="E70" s="6" t="s">
        <v>311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3">
      <c r="A71" s="2" t="s">
        <v>737</v>
      </c>
      <c r="B71" s="2" t="s">
        <v>736</v>
      </c>
      <c r="C71" s="2" t="s">
        <v>312</v>
      </c>
      <c r="D71" s="2" t="s">
        <v>240</v>
      </c>
      <c r="E71" s="24" t="s">
        <v>313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12"/>
    </row>
    <row r="72" spans="1:35" ht="13">
      <c r="A72" s="2" t="s">
        <v>738</v>
      </c>
      <c r="B72" s="2" t="s">
        <v>736</v>
      </c>
      <c r="C72" s="2" t="s">
        <v>314</v>
      </c>
      <c r="D72" s="2" t="s">
        <v>25</v>
      </c>
      <c r="E72" s="23" t="s">
        <v>315</v>
      </c>
      <c r="F72" s="20">
        <f>ROUND(SUM(F$71),2)</f>
        <v>0</v>
      </c>
      <c r="G72" s="20">
        <f t="shared" ref="G72:AI72" si="17">ROUND(SUM(G$71),2)</f>
        <v>0</v>
      </c>
      <c r="H72" s="20">
        <f>ROUND(SUM(H$71),2)</f>
        <v>0</v>
      </c>
      <c r="I72" s="20">
        <f t="shared" si="17"/>
        <v>0</v>
      </c>
      <c r="J72" s="20">
        <f t="shared" si="17"/>
        <v>0</v>
      </c>
      <c r="K72" s="20">
        <f t="shared" si="17"/>
        <v>0</v>
      </c>
      <c r="L72" s="20">
        <f t="shared" si="17"/>
        <v>0</v>
      </c>
      <c r="M72" s="20">
        <f t="shared" si="17"/>
        <v>0</v>
      </c>
      <c r="N72" s="20">
        <f t="shared" si="17"/>
        <v>0</v>
      </c>
      <c r="O72" s="20">
        <f t="shared" si="17"/>
        <v>0</v>
      </c>
      <c r="P72" s="20">
        <f t="shared" si="17"/>
        <v>0</v>
      </c>
      <c r="Q72" s="20">
        <f t="shared" si="17"/>
        <v>0</v>
      </c>
      <c r="R72" s="20">
        <f t="shared" si="17"/>
        <v>0</v>
      </c>
      <c r="S72" s="20">
        <f t="shared" si="17"/>
        <v>0</v>
      </c>
      <c r="T72" s="20">
        <f t="shared" si="17"/>
        <v>0</v>
      </c>
      <c r="U72" s="20">
        <f t="shared" si="17"/>
        <v>0</v>
      </c>
      <c r="V72" s="20">
        <f t="shared" si="17"/>
        <v>0</v>
      </c>
      <c r="W72" s="20">
        <f t="shared" si="17"/>
        <v>0</v>
      </c>
      <c r="X72" s="20">
        <f t="shared" si="17"/>
        <v>0</v>
      </c>
      <c r="Y72" s="20">
        <f t="shared" si="17"/>
        <v>0</v>
      </c>
      <c r="Z72" s="20">
        <f t="shared" si="17"/>
        <v>0</v>
      </c>
      <c r="AA72" s="20">
        <f t="shared" si="17"/>
        <v>0</v>
      </c>
      <c r="AB72" s="20">
        <f t="shared" si="17"/>
        <v>0</v>
      </c>
      <c r="AC72" s="20">
        <f t="shared" si="17"/>
        <v>0</v>
      </c>
      <c r="AD72" s="20">
        <f t="shared" si="17"/>
        <v>0</v>
      </c>
      <c r="AE72" s="20">
        <f t="shared" si="17"/>
        <v>0</v>
      </c>
      <c r="AF72" s="20">
        <f t="shared" si="17"/>
        <v>0</v>
      </c>
      <c r="AG72" s="20">
        <f t="shared" si="17"/>
        <v>0</v>
      </c>
      <c r="AH72" s="20">
        <f t="shared" si="17"/>
        <v>0</v>
      </c>
      <c r="AI72" s="20">
        <f t="shared" si="17"/>
        <v>0</v>
      </c>
    </row>
    <row r="73" spans="1:35" ht="13">
      <c r="A73" s="2" t="s">
        <v>739</v>
      </c>
      <c r="B73" s="2" t="s">
        <v>736</v>
      </c>
      <c r="C73" s="2" t="s">
        <v>316</v>
      </c>
      <c r="D73" s="2" t="s">
        <v>25</v>
      </c>
      <c r="E73" s="24" t="s">
        <v>317</v>
      </c>
      <c r="F73" s="20">
        <f>ROUND(F69+F72,2)</f>
        <v>0</v>
      </c>
      <c r="G73" s="20">
        <f t="shared" ref="G73:AI73" si="18">ROUND(G69+G72,2)</f>
        <v>0</v>
      </c>
      <c r="H73" s="20">
        <f t="shared" si="18"/>
        <v>0</v>
      </c>
      <c r="I73" s="20">
        <f t="shared" si="18"/>
        <v>0</v>
      </c>
      <c r="J73" s="20">
        <f t="shared" si="18"/>
        <v>0</v>
      </c>
      <c r="K73" s="20">
        <f t="shared" si="18"/>
        <v>0</v>
      </c>
      <c r="L73" s="20">
        <f t="shared" si="18"/>
        <v>0</v>
      </c>
      <c r="M73" s="20">
        <f t="shared" si="18"/>
        <v>0</v>
      </c>
      <c r="N73" s="20">
        <f t="shared" si="18"/>
        <v>0</v>
      </c>
      <c r="O73" s="20">
        <f t="shared" si="18"/>
        <v>0</v>
      </c>
      <c r="P73" s="20">
        <f t="shared" si="18"/>
        <v>0</v>
      </c>
      <c r="Q73" s="20">
        <f t="shared" si="18"/>
        <v>0</v>
      </c>
      <c r="R73" s="20">
        <f t="shared" si="18"/>
        <v>0</v>
      </c>
      <c r="S73" s="20">
        <f t="shared" si="18"/>
        <v>0</v>
      </c>
      <c r="T73" s="20">
        <f t="shared" si="18"/>
        <v>0</v>
      </c>
      <c r="U73" s="20">
        <f t="shared" si="18"/>
        <v>0</v>
      </c>
      <c r="V73" s="20">
        <f t="shared" si="18"/>
        <v>0</v>
      </c>
      <c r="W73" s="20">
        <f t="shared" si="18"/>
        <v>0</v>
      </c>
      <c r="X73" s="20">
        <f t="shared" si="18"/>
        <v>0</v>
      </c>
      <c r="Y73" s="20">
        <f t="shared" si="18"/>
        <v>0</v>
      </c>
      <c r="Z73" s="20">
        <f t="shared" si="18"/>
        <v>0</v>
      </c>
      <c r="AA73" s="20">
        <f t="shared" si="18"/>
        <v>0</v>
      </c>
      <c r="AB73" s="20">
        <f t="shared" si="18"/>
        <v>0</v>
      </c>
      <c r="AC73" s="20">
        <f t="shared" si="18"/>
        <v>0</v>
      </c>
      <c r="AD73" s="20">
        <f t="shared" si="18"/>
        <v>0</v>
      </c>
      <c r="AE73" s="20">
        <f t="shared" si="18"/>
        <v>0</v>
      </c>
      <c r="AF73" s="20">
        <f t="shared" si="18"/>
        <v>0</v>
      </c>
      <c r="AG73" s="20">
        <f t="shared" si="18"/>
        <v>0</v>
      </c>
      <c r="AH73" s="20">
        <f t="shared" si="18"/>
        <v>0</v>
      </c>
      <c r="AI73" s="20">
        <f t="shared" si="18"/>
        <v>0</v>
      </c>
    </row>
    <row r="74" spans="1:35" ht="13">
      <c r="A74" s="2" t="s">
        <v>740</v>
      </c>
      <c r="B74" s="2" t="s">
        <v>730</v>
      </c>
      <c r="C74" s="2" t="s">
        <v>113</v>
      </c>
      <c r="D74" s="2" t="s">
        <v>244</v>
      </c>
      <c r="E74" s="11" t="s">
        <v>318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3">
      <c r="A75" s="2" t="s">
        <v>741</v>
      </c>
      <c r="B75" s="2" t="s">
        <v>730</v>
      </c>
      <c r="C75" s="2" t="s">
        <v>114</v>
      </c>
      <c r="D75" s="2" t="s">
        <v>25</v>
      </c>
      <c r="E75" s="6" t="s">
        <v>303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3">
      <c r="A76" s="2" t="s">
        <v>742</v>
      </c>
      <c r="B76" s="2" t="s">
        <v>741</v>
      </c>
      <c r="C76" s="2" t="s">
        <v>319</v>
      </c>
      <c r="D76" s="2" t="s">
        <v>240</v>
      </c>
      <c r="E76" s="24" t="s">
        <v>320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12"/>
    </row>
    <row r="77" spans="1:35" ht="13">
      <c r="A77" s="2" t="s">
        <v>743</v>
      </c>
      <c r="B77" s="2" t="s">
        <v>741</v>
      </c>
      <c r="C77" s="2" t="s">
        <v>321</v>
      </c>
      <c r="D77" s="2" t="s">
        <v>242</v>
      </c>
      <c r="E77" s="24" t="s">
        <v>322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12"/>
    </row>
    <row r="78" spans="1:35" ht="13">
      <c r="A78" s="2" t="s">
        <v>744</v>
      </c>
      <c r="B78" s="2" t="s">
        <v>741</v>
      </c>
      <c r="C78" s="2" t="s">
        <v>323</v>
      </c>
      <c r="D78" s="2" t="s">
        <v>256</v>
      </c>
      <c r="E78" s="24" t="s">
        <v>324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12"/>
    </row>
    <row r="79" spans="1:35" ht="13">
      <c r="A79" s="2" t="s">
        <v>745</v>
      </c>
      <c r="B79" s="2" t="s">
        <v>741</v>
      </c>
      <c r="C79" s="2" t="s">
        <v>325</v>
      </c>
      <c r="D79" s="2" t="s">
        <v>273</v>
      </c>
      <c r="E79" s="23" t="s">
        <v>326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12"/>
    </row>
    <row r="80" spans="1:35" ht="13">
      <c r="A80" s="2" t="s">
        <v>746</v>
      </c>
      <c r="B80" s="2" t="s">
        <v>741</v>
      </c>
      <c r="C80" s="2" t="s">
        <v>327</v>
      </c>
      <c r="D80" s="2" t="s">
        <v>275</v>
      </c>
      <c r="E80" s="23" t="s">
        <v>328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12"/>
    </row>
    <row r="81" spans="1:35" ht="13">
      <c r="A81" s="2" t="s">
        <v>747</v>
      </c>
      <c r="B81" s="2" t="s">
        <v>741</v>
      </c>
      <c r="C81" s="2" t="s">
        <v>329</v>
      </c>
      <c r="D81" s="2" t="s">
        <v>330</v>
      </c>
      <c r="E81" s="24" t="s">
        <v>331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12"/>
    </row>
    <row r="82" spans="1:35" ht="13">
      <c r="A82" s="2" t="s">
        <v>748</v>
      </c>
      <c r="B82" s="2" t="s">
        <v>741</v>
      </c>
      <c r="C82" s="2" t="s">
        <v>332</v>
      </c>
      <c r="D82" s="2" t="s">
        <v>25</v>
      </c>
      <c r="E82" s="23" t="s">
        <v>333</v>
      </c>
      <c r="F82" s="20">
        <f>ROUND(SUM(F$76:F$81),2)</f>
        <v>0</v>
      </c>
      <c r="G82" s="20">
        <f t="shared" ref="G82:AI82" si="19">ROUND(SUM(G$76:G$81),2)</f>
        <v>0</v>
      </c>
      <c r="H82" s="20">
        <f t="shared" si="19"/>
        <v>0</v>
      </c>
      <c r="I82" s="20">
        <f t="shared" si="19"/>
        <v>0</v>
      </c>
      <c r="J82" s="20">
        <f t="shared" si="19"/>
        <v>0</v>
      </c>
      <c r="K82" s="20">
        <f t="shared" si="19"/>
        <v>0</v>
      </c>
      <c r="L82" s="20">
        <f t="shared" si="19"/>
        <v>0</v>
      </c>
      <c r="M82" s="20">
        <f t="shared" si="19"/>
        <v>0</v>
      </c>
      <c r="N82" s="20">
        <f t="shared" si="19"/>
        <v>0</v>
      </c>
      <c r="O82" s="20">
        <f t="shared" si="19"/>
        <v>0</v>
      </c>
      <c r="P82" s="20">
        <f t="shared" si="19"/>
        <v>0</v>
      </c>
      <c r="Q82" s="20">
        <f t="shared" si="19"/>
        <v>0</v>
      </c>
      <c r="R82" s="20">
        <f t="shared" si="19"/>
        <v>0</v>
      </c>
      <c r="S82" s="20">
        <f t="shared" si="19"/>
        <v>0</v>
      </c>
      <c r="T82" s="20">
        <f t="shared" si="19"/>
        <v>0</v>
      </c>
      <c r="U82" s="20">
        <f t="shared" si="19"/>
        <v>0</v>
      </c>
      <c r="V82" s="20">
        <f t="shared" si="19"/>
        <v>0</v>
      </c>
      <c r="W82" s="20">
        <f t="shared" si="19"/>
        <v>0</v>
      </c>
      <c r="X82" s="20">
        <f t="shared" si="19"/>
        <v>0</v>
      </c>
      <c r="Y82" s="20">
        <f t="shared" si="19"/>
        <v>0</v>
      </c>
      <c r="Z82" s="20">
        <f t="shared" si="19"/>
        <v>0</v>
      </c>
      <c r="AA82" s="20">
        <f t="shared" si="19"/>
        <v>0</v>
      </c>
      <c r="AB82" s="20">
        <f t="shared" si="19"/>
        <v>0</v>
      </c>
      <c r="AC82" s="20">
        <f t="shared" si="19"/>
        <v>0</v>
      </c>
      <c r="AD82" s="20">
        <f t="shared" si="19"/>
        <v>0</v>
      </c>
      <c r="AE82" s="20">
        <f t="shared" si="19"/>
        <v>0</v>
      </c>
      <c r="AF82" s="20">
        <f t="shared" si="19"/>
        <v>0</v>
      </c>
      <c r="AG82" s="20">
        <f t="shared" si="19"/>
        <v>0</v>
      </c>
      <c r="AH82" s="20">
        <f t="shared" si="19"/>
        <v>0</v>
      </c>
      <c r="AI82" s="20">
        <f t="shared" si="19"/>
        <v>0</v>
      </c>
    </row>
    <row r="83" spans="1:35" ht="13">
      <c r="A83" s="2" t="s">
        <v>749</v>
      </c>
      <c r="B83" s="2" t="s">
        <v>741</v>
      </c>
      <c r="C83" s="2" t="s">
        <v>334</v>
      </c>
      <c r="D83" s="2" t="s">
        <v>25</v>
      </c>
      <c r="E83" s="24" t="s">
        <v>311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3">
      <c r="A84" s="2" t="s">
        <v>750</v>
      </c>
      <c r="B84" s="2" t="s">
        <v>749</v>
      </c>
      <c r="C84" s="2" t="s">
        <v>335</v>
      </c>
      <c r="D84" s="2" t="s">
        <v>240</v>
      </c>
      <c r="E84" s="26" t="s">
        <v>336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12"/>
    </row>
    <row r="85" spans="1:35" ht="13">
      <c r="A85" s="2" t="s">
        <v>751</v>
      </c>
      <c r="B85" s="2" t="s">
        <v>749</v>
      </c>
      <c r="C85" s="2" t="s">
        <v>337</v>
      </c>
      <c r="D85" s="2" t="s">
        <v>242</v>
      </c>
      <c r="E85" s="26" t="s">
        <v>313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12"/>
    </row>
    <row r="86" spans="1:35" ht="13">
      <c r="A86" s="2" t="s">
        <v>752</v>
      </c>
      <c r="B86" s="2" t="s">
        <v>749</v>
      </c>
      <c r="C86" s="2" t="s">
        <v>338</v>
      </c>
      <c r="D86" s="2" t="s">
        <v>25</v>
      </c>
      <c r="E86" s="27" t="s">
        <v>339</v>
      </c>
      <c r="F86" s="20">
        <f>ROUND(SUM(F$84:F$85),2)</f>
        <v>0</v>
      </c>
      <c r="G86" s="20">
        <f t="shared" ref="G86:AI86" si="20">ROUND(SUM(G$84:G$85),2)</f>
        <v>0</v>
      </c>
      <c r="H86" s="20">
        <f t="shared" si="20"/>
        <v>0</v>
      </c>
      <c r="I86" s="20">
        <f t="shared" si="20"/>
        <v>0</v>
      </c>
      <c r="J86" s="20">
        <f t="shared" si="20"/>
        <v>0</v>
      </c>
      <c r="K86" s="20">
        <f t="shared" si="20"/>
        <v>0</v>
      </c>
      <c r="L86" s="20">
        <f t="shared" si="20"/>
        <v>0</v>
      </c>
      <c r="M86" s="20">
        <f t="shared" si="20"/>
        <v>0</v>
      </c>
      <c r="N86" s="20">
        <f t="shared" si="20"/>
        <v>0</v>
      </c>
      <c r="O86" s="20">
        <f t="shared" si="20"/>
        <v>0</v>
      </c>
      <c r="P86" s="20">
        <f t="shared" si="20"/>
        <v>0</v>
      </c>
      <c r="Q86" s="20">
        <f t="shared" si="20"/>
        <v>0</v>
      </c>
      <c r="R86" s="20">
        <f t="shared" si="20"/>
        <v>0</v>
      </c>
      <c r="S86" s="20">
        <f t="shared" si="20"/>
        <v>0</v>
      </c>
      <c r="T86" s="20">
        <f t="shared" si="20"/>
        <v>0</v>
      </c>
      <c r="U86" s="20">
        <f t="shared" si="20"/>
        <v>0</v>
      </c>
      <c r="V86" s="20">
        <f t="shared" si="20"/>
        <v>0</v>
      </c>
      <c r="W86" s="20">
        <f t="shared" si="20"/>
        <v>0</v>
      </c>
      <c r="X86" s="20">
        <f t="shared" si="20"/>
        <v>0</v>
      </c>
      <c r="Y86" s="20">
        <f t="shared" si="20"/>
        <v>0</v>
      </c>
      <c r="Z86" s="20">
        <f t="shared" si="20"/>
        <v>0</v>
      </c>
      <c r="AA86" s="20">
        <f t="shared" si="20"/>
        <v>0</v>
      </c>
      <c r="AB86" s="20">
        <f t="shared" si="20"/>
        <v>0</v>
      </c>
      <c r="AC86" s="20">
        <f t="shared" si="20"/>
        <v>0</v>
      </c>
      <c r="AD86" s="20">
        <f t="shared" si="20"/>
        <v>0</v>
      </c>
      <c r="AE86" s="20">
        <f t="shared" si="20"/>
        <v>0</v>
      </c>
      <c r="AF86" s="20">
        <f t="shared" si="20"/>
        <v>0</v>
      </c>
      <c r="AG86" s="20">
        <f t="shared" si="20"/>
        <v>0</v>
      </c>
      <c r="AH86" s="20">
        <f t="shared" si="20"/>
        <v>0</v>
      </c>
      <c r="AI86" s="20">
        <f t="shared" si="20"/>
        <v>0</v>
      </c>
    </row>
    <row r="87" spans="1:35" ht="13">
      <c r="A87" s="2" t="s">
        <v>753</v>
      </c>
      <c r="B87" s="2" t="s">
        <v>749</v>
      </c>
      <c r="C87" s="2" t="s">
        <v>340</v>
      </c>
      <c r="D87" s="2" t="s">
        <v>25</v>
      </c>
      <c r="E87" s="27" t="s">
        <v>341</v>
      </c>
      <c r="F87" s="20">
        <f t="shared" ref="F87:AI87" si="21">ROUND(F82+F86,2)</f>
        <v>0</v>
      </c>
      <c r="G87" s="20">
        <f t="shared" si="21"/>
        <v>0</v>
      </c>
      <c r="H87" s="20">
        <f t="shared" si="21"/>
        <v>0</v>
      </c>
      <c r="I87" s="20">
        <f t="shared" si="21"/>
        <v>0</v>
      </c>
      <c r="J87" s="20">
        <f t="shared" si="21"/>
        <v>0</v>
      </c>
      <c r="K87" s="20">
        <f t="shared" si="21"/>
        <v>0</v>
      </c>
      <c r="L87" s="20">
        <f t="shared" si="21"/>
        <v>0</v>
      </c>
      <c r="M87" s="20">
        <f t="shared" si="21"/>
        <v>0</v>
      </c>
      <c r="N87" s="20">
        <f t="shared" si="21"/>
        <v>0</v>
      </c>
      <c r="O87" s="20">
        <f t="shared" si="21"/>
        <v>0</v>
      </c>
      <c r="P87" s="20">
        <f t="shared" si="21"/>
        <v>0</v>
      </c>
      <c r="Q87" s="20">
        <f t="shared" si="21"/>
        <v>0</v>
      </c>
      <c r="R87" s="20">
        <f t="shared" si="21"/>
        <v>0</v>
      </c>
      <c r="S87" s="20">
        <f t="shared" si="21"/>
        <v>0</v>
      </c>
      <c r="T87" s="20">
        <f t="shared" si="21"/>
        <v>0</v>
      </c>
      <c r="U87" s="20">
        <f t="shared" si="21"/>
        <v>0</v>
      </c>
      <c r="V87" s="20">
        <f t="shared" si="21"/>
        <v>0</v>
      </c>
      <c r="W87" s="20">
        <f t="shared" si="21"/>
        <v>0</v>
      </c>
      <c r="X87" s="20">
        <f t="shared" si="21"/>
        <v>0</v>
      </c>
      <c r="Y87" s="20">
        <f t="shared" si="21"/>
        <v>0</v>
      </c>
      <c r="Z87" s="20">
        <f t="shared" si="21"/>
        <v>0</v>
      </c>
      <c r="AA87" s="20">
        <f t="shared" si="21"/>
        <v>0</v>
      </c>
      <c r="AB87" s="20">
        <f t="shared" si="21"/>
        <v>0</v>
      </c>
      <c r="AC87" s="20">
        <f t="shared" si="21"/>
        <v>0</v>
      </c>
      <c r="AD87" s="20">
        <f t="shared" si="21"/>
        <v>0</v>
      </c>
      <c r="AE87" s="20">
        <f t="shared" si="21"/>
        <v>0</v>
      </c>
      <c r="AF87" s="20">
        <f t="shared" si="21"/>
        <v>0</v>
      </c>
      <c r="AG87" s="20">
        <f t="shared" si="21"/>
        <v>0</v>
      </c>
      <c r="AH87" s="20">
        <f t="shared" si="21"/>
        <v>0</v>
      </c>
      <c r="AI87" s="20">
        <f t="shared" si="21"/>
        <v>0</v>
      </c>
    </row>
    <row r="88" spans="1:35" ht="13">
      <c r="A88" s="2" t="s">
        <v>754</v>
      </c>
      <c r="B88" s="2" t="s">
        <v>741</v>
      </c>
      <c r="C88" s="2" t="s">
        <v>342</v>
      </c>
      <c r="D88" s="2" t="s">
        <v>343</v>
      </c>
      <c r="E88" s="23" t="s">
        <v>344</v>
      </c>
      <c r="F88" s="20">
        <f t="shared" ref="F88:AI88" si="22">ROUND(F73-F87,2)</f>
        <v>0</v>
      </c>
      <c r="G88" s="20">
        <f t="shared" si="22"/>
        <v>0</v>
      </c>
      <c r="H88" s="20">
        <f t="shared" si="22"/>
        <v>0</v>
      </c>
      <c r="I88" s="20">
        <f t="shared" si="22"/>
        <v>0</v>
      </c>
      <c r="J88" s="20">
        <f t="shared" si="22"/>
        <v>0</v>
      </c>
      <c r="K88" s="20">
        <f t="shared" si="22"/>
        <v>0</v>
      </c>
      <c r="L88" s="20">
        <f t="shared" si="22"/>
        <v>0</v>
      </c>
      <c r="M88" s="20">
        <f t="shared" si="22"/>
        <v>0</v>
      </c>
      <c r="N88" s="20">
        <f t="shared" si="22"/>
        <v>0</v>
      </c>
      <c r="O88" s="20">
        <f t="shared" si="22"/>
        <v>0</v>
      </c>
      <c r="P88" s="20">
        <f t="shared" si="22"/>
        <v>0</v>
      </c>
      <c r="Q88" s="20">
        <f t="shared" si="22"/>
        <v>0</v>
      </c>
      <c r="R88" s="20">
        <f t="shared" si="22"/>
        <v>0</v>
      </c>
      <c r="S88" s="20">
        <f t="shared" si="22"/>
        <v>0</v>
      </c>
      <c r="T88" s="20">
        <f t="shared" si="22"/>
        <v>0</v>
      </c>
      <c r="U88" s="20">
        <f t="shared" si="22"/>
        <v>0</v>
      </c>
      <c r="V88" s="20">
        <f t="shared" si="22"/>
        <v>0</v>
      </c>
      <c r="W88" s="20">
        <f t="shared" si="22"/>
        <v>0</v>
      </c>
      <c r="X88" s="20">
        <f t="shared" si="22"/>
        <v>0</v>
      </c>
      <c r="Y88" s="20">
        <f t="shared" si="22"/>
        <v>0</v>
      </c>
      <c r="Z88" s="20">
        <f t="shared" si="22"/>
        <v>0</v>
      </c>
      <c r="AA88" s="20">
        <f t="shared" si="22"/>
        <v>0</v>
      </c>
      <c r="AB88" s="20">
        <f t="shared" si="22"/>
        <v>0</v>
      </c>
      <c r="AC88" s="20">
        <f t="shared" si="22"/>
        <v>0</v>
      </c>
      <c r="AD88" s="20">
        <f t="shared" si="22"/>
        <v>0</v>
      </c>
      <c r="AE88" s="20">
        <f t="shared" si="22"/>
        <v>0</v>
      </c>
      <c r="AF88" s="20">
        <f t="shared" si="22"/>
        <v>0</v>
      </c>
      <c r="AG88" s="20">
        <f t="shared" si="22"/>
        <v>0</v>
      </c>
      <c r="AH88" s="20">
        <f t="shared" si="22"/>
        <v>0</v>
      </c>
      <c r="AI88" s="20">
        <f t="shared" si="22"/>
        <v>0</v>
      </c>
    </row>
    <row r="89" spans="1:35" ht="13">
      <c r="A89" s="2" t="s">
        <v>755</v>
      </c>
      <c r="B89" s="2" t="s">
        <v>685</v>
      </c>
      <c r="C89" s="2" t="s">
        <v>67</v>
      </c>
      <c r="D89" s="2" t="s">
        <v>68</v>
      </c>
      <c r="E89" s="9" t="s">
        <v>345</v>
      </c>
      <c r="F89" s="20">
        <f t="shared" ref="F89:AI89" si="23">ROUND(F62+F88,2)</f>
        <v>0</v>
      </c>
      <c r="G89" s="20">
        <f t="shared" si="23"/>
        <v>0</v>
      </c>
      <c r="H89" s="20">
        <f t="shared" si="23"/>
        <v>0</v>
      </c>
      <c r="I89" s="20">
        <f t="shared" si="23"/>
        <v>0</v>
      </c>
      <c r="J89" s="20">
        <f t="shared" si="23"/>
        <v>0</v>
      </c>
      <c r="K89" s="20">
        <f t="shared" si="23"/>
        <v>0</v>
      </c>
      <c r="L89" s="20">
        <f t="shared" si="23"/>
        <v>0</v>
      </c>
      <c r="M89" s="20">
        <f t="shared" si="23"/>
        <v>0</v>
      </c>
      <c r="N89" s="20">
        <f t="shared" si="23"/>
        <v>0</v>
      </c>
      <c r="O89" s="20">
        <f t="shared" si="23"/>
        <v>0</v>
      </c>
      <c r="P89" s="20">
        <f t="shared" si="23"/>
        <v>0</v>
      </c>
      <c r="Q89" s="20">
        <f t="shared" si="23"/>
        <v>0</v>
      </c>
      <c r="R89" s="20">
        <f t="shared" si="23"/>
        <v>0</v>
      </c>
      <c r="S89" s="20">
        <f t="shared" si="23"/>
        <v>0</v>
      </c>
      <c r="T89" s="20">
        <f t="shared" si="23"/>
        <v>0</v>
      </c>
      <c r="U89" s="20">
        <f t="shared" si="23"/>
        <v>0</v>
      </c>
      <c r="V89" s="20">
        <f t="shared" si="23"/>
        <v>0</v>
      </c>
      <c r="W89" s="20">
        <f t="shared" si="23"/>
        <v>0</v>
      </c>
      <c r="X89" s="20">
        <f t="shared" si="23"/>
        <v>0</v>
      </c>
      <c r="Y89" s="20">
        <f t="shared" si="23"/>
        <v>0</v>
      </c>
      <c r="Z89" s="20">
        <f t="shared" si="23"/>
        <v>0</v>
      </c>
      <c r="AA89" s="20">
        <f t="shared" si="23"/>
        <v>0</v>
      </c>
      <c r="AB89" s="20">
        <f t="shared" si="23"/>
        <v>0</v>
      </c>
      <c r="AC89" s="20">
        <f t="shared" si="23"/>
        <v>0</v>
      </c>
      <c r="AD89" s="20">
        <f t="shared" si="23"/>
        <v>0</v>
      </c>
      <c r="AE89" s="20">
        <f t="shared" si="23"/>
        <v>0</v>
      </c>
      <c r="AF89" s="20">
        <f t="shared" si="23"/>
        <v>0</v>
      </c>
      <c r="AG89" s="20">
        <f t="shared" si="23"/>
        <v>0</v>
      </c>
      <c r="AH89" s="20">
        <f t="shared" si="23"/>
        <v>0</v>
      </c>
      <c r="AI89" s="20">
        <f t="shared" si="23"/>
        <v>0</v>
      </c>
    </row>
    <row r="90" spans="1:35" ht="13">
      <c r="A90" s="2" t="s">
        <v>756</v>
      </c>
      <c r="B90" s="2" t="s">
        <v>685</v>
      </c>
      <c r="C90" s="2" t="s">
        <v>69</v>
      </c>
      <c r="D90" s="2" t="s">
        <v>70</v>
      </c>
      <c r="E90" s="7" t="s">
        <v>346</v>
      </c>
      <c r="F90" s="20">
        <f>(ROUND(SUM(F$91:F$92),2))</f>
        <v>0</v>
      </c>
      <c r="G90" s="20">
        <f t="shared" ref="G90:AI90" si="24">(ROUND(SUM(G$91:G$92),2))</f>
        <v>0</v>
      </c>
      <c r="H90" s="20">
        <f t="shared" si="24"/>
        <v>0</v>
      </c>
      <c r="I90" s="20">
        <f t="shared" si="24"/>
        <v>0</v>
      </c>
      <c r="J90" s="20">
        <f t="shared" si="24"/>
        <v>0</v>
      </c>
      <c r="K90" s="20">
        <f t="shared" si="24"/>
        <v>0</v>
      </c>
      <c r="L90" s="20">
        <f t="shared" si="24"/>
        <v>0</v>
      </c>
      <c r="M90" s="20">
        <f t="shared" si="24"/>
        <v>0</v>
      </c>
      <c r="N90" s="20">
        <f t="shared" si="24"/>
        <v>0</v>
      </c>
      <c r="O90" s="20">
        <f t="shared" si="24"/>
        <v>0</v>
      </c>
      <c r="P90" s="20">
        <f t="shared" si="24"/>
        <v>0</v>
      </c>
      <c r="Q90" s="20">
        <f t="shared" si="24"/>
        <v>0</v>
      </c>
      <c r="R90" s="20">
        <f t="shared" si="24"/>
        <v>0</v>
      </c>
      <c r="S90" s="20">
        <f t="shared" si="24"/>
        <v>0</v>
      </c>
      <c r="T90" s="20">
        <f t="shared" si="24"/>
        <v>0</v>
      </c>
      <c r="U90" s="20">
        <f t="shared" si="24"/>
        <v>0</v>
      </c>
      <c r="V90" s="20">
        <f t="shared" si="24"/>
        <v>0</v>
      </c>
      <c r="W90" s="20">
        <f t="shared" si="24"/>
        <v>0</v>
      </c>
      <c r="X90" s="20">
        <f t="shared" si="24"/>
        <v>0</v>
      </c>
      <c r="Y90" s="20">
        <f t="shared" si="24"/>
        <v>0</v>
      </c>
      <c r="Z90" s="20">
        <f t="shared" si="24"/>
        <v>0</v>
      </c>
      <c r="AA90" s="20">
        <f t="shared" si="24"/>
        <v>0</v>
      </c>
      <c r="AB90" s="20">
        <f t="shared" si="24"/>
        <v>0</v>
      </c>
      <c r="AC90" s="20">
        <f t="shared" si="24"/>
        <v>0</v>
      </c>
      <c r="AD90" s="20">
        <f t="shared" si="24"/>
        <v>0</v>
      </c>
      <c r="AE90" s="20">
        <f t="shared" si="24"/>
        <v>0</v>
      </c>
      <c r="AF90" s="20">
        <f t="shared" si="24"/>
        <v>0</v>
      </c>
      <c r="AG90" s="20">
        <f t="shared" si="24"/>
        <v>0</v>
      </c>
      <c r="AH90" s="20">
        <f t="shared" si="24"/>
        <v>0</v>
      </c>
      <c r="AI90" s="20">
        <f t="shared" si="24"/>
        <v>0</v>
      </c>
    </row>
    <row r="91" spans="1:35" ht="13">
      <c r="A91" s="2" t="s">
        <v>757</v>
      </c>
      <c r="B91" s="2" t="s">
        <v>756</v>
      </c>
      <c r="C91" s="2" t="s">
        <v>116</v>
      </c>
      <c r="D91" s="2" t="s">
        <v>240</v>
      </c>
      <c r="E91" s="6" t="s">
        <v>347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ht="13">
      <c r="A92" s="2" t="s">
        <v>758</v>
      </c>
      <c r="B92" s="2" t="s">
        <v>756</v>
      </c>
      <c r="C92" s="2" t="s">
        <v>117</v>
      </c>
      <c r="D92" s="2" t="s">
        <v>242</v>
      </c>
      <c r="E92" s="6" t="s">
        <v>348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5" ht="13">
      <c r="A93" s="2" t="s">
        <v>759</v>
      </c>
      <c r="B93" s="2" t="s">
        <v>685</v>
      </c>
      <c r="C93" s="2" t="s">
        <v>71</v>
      </c>
      <c r="D93" s="2" t="s">
        <v>73</v>
      </c>
      <c r="E93" s="7" t="s">
        <v>349</v>
      </c>
      <c r="F93" s="20">
        <f>ROUND(F89-F90,2)</f>
        <v>0</v>
      </c>
      <c r="G93" s="20">
        <f t="shared" ref="G93:AI93" si="25">ROUND(G89-G90,2)</f>
        <v>0</v>
      </c>
      <c r="H93" s="20">
        <f t="shared" si="25"/>
        <v>0</v>
      </c>
      <c r="I93" s="20">
        <f t="shared" si="25"/>
        <v>0</v>
      </c>
      <c r="J93" s="20">
        <f t="shared" si="25"/>
        <v>0</v>
      </c>
      <c r="K93" s="20">
        <f t="shared" si="25"/>
        <v>0</v>
      </c>
      <c r="L93" s="20">
        <f t="shared" si="25"/>
        <v>0</v>
      </c>
      <c r="M93" s="20">
        <f t="shared" si="25"/>
        <v>0</v>
      </c>
      <c r="N93" s="20">
        <f t="shared" si="25"/>
        <v>0</v>
      </c>
      <c r="O93" s="20">
        <f t="shared" si="25"/>
        <v>0</v>
      </c>
      <c r="P93" s="20">
        <f t="shared" si="25"/>
        <v>0</v>
      </c>
      <c r="Q93" s="20">
        <f t="shared" si="25"/>
        <v>0</v>
      </c>
      <c r="R93" s="20">
        <f t="shared" si="25"/>
        <v>0</v>
      </c>
      <c r="S93" s="20">
        <f t="shared" si="25"/>
        <v>0</v>
      </c>
      <c r="T93" s="20">
        <f t="shared" si="25"/>
        <v>0</v>
      </c>
      <c r="U93" s="20">
        <f t="shared" si="25"/>
        <v>0</v>
      </c>
      <c r="V93" s="20">
        <f t="shared" si="25"/>
        <v>0</v>
      </c>
      <c r="W93" s="20">
        <f t="shared" si="25"/>
        <v>0</v>
      </c>
      <c r="X93" s="20">
        <f t="shared" si="25"/>
        <v>0</v>
      </c>
      <c r="Y93" s="20">
        <f t="shared" si="25"/>
        <v>0</v>
      </c>
      <c r="Z93" s="20">
        <f t="shared" si="25"/>
        <v>0</v>
      </c>
      <c r="AA93" s="20">
        <f t="shared" si="25"/>
        <v>0</v>
      </c>
      <c r="AB93" s="20">
        <f t="shared" si="25"/>
        <v>0</v>
      </c>
      <c r="AC93" s="20">
        <f t="shared" si="25"/>
        <v>0</v>
      </c>
      <c r="AD93" s="20">
        <f t="shared" si="25"/>
        <v>0</v>
      </c>
      <c r="AE93" s="20">
        <f t="shared" si="25"/>
        <v>0</v>
      </c>
      <c r="AF93" s="20">
        <f t="shared" si="25"/>
        <v>0</v>
      </c>
      <c r="AG93" s="20">
        <f t="shared" si="25"/>
        <v>0</v>
      </c>
      <c r="AH93" s="20">
        <f t="shared" si="25"/>
        <v>0</v>
      </c>
      <c r="AI93" s="20">
        <f t="shared" si="25"/>
        <v>0</v>
      </c>
    </row>
    <row r="94" spans="1:35" ht="13">
      <c r="A94" s="2" t="s">
        <v>760</v>
      </c>
      <c r="B94" s="2" t="s">
        <v>685</v>
      </c>
      <c r="C94" s="2" t="s">
        <v>72</v>
      </c>
      <c r="D94" s="2" t="s">
        <v>350</v>
      </c>
      <c r="E94" s="7" t="s">
        <v>351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ht="13">
      <c r="A95" s="2" t="s">
        <v>761</v>
      </c>
      <c r="B95" s="2" t="s">
        <v>685</v>
      </c>
      <c r="C95" s="2" t="s">
        <v>74</v>
      </c>
      <c r="D95" s="2" t="s">
        <v>242</v>
      </c>
      <c r="E95" s="7" t="s">
        <v>352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ht="13">
      <c r="A96" s="2" t="s">
        <v>762</v>
      </c>
      <c r="B96" s="2" t="s">
        <v>685</v>
      </c>
      <c r="C96" s="2" t="s">
        <v>76</v>
      </c>
      <c r="D96" s="2" t="s">
        <v>77</v>
      </c>
      <c r="E96" s="7" t="s">
        <v>353</v>
      </c>
      <c r="F96" s="20">
        <f t="shared" ref="F96:AI96" si="26">ROUND(F93-F94,2)</f>
        <v>0</v>
      </c>
      <c r="G96" s="20">
        <f t="shared" si="26"/>
        <v>0</v>
      </c>
      <c r="H96" s="20">
        <f t="shared" si="26"/>
        <v>0</v>
      </c>
      <c r="I96" s="20">
        <f t="shared" si="26"/>
        <v>0</v>
      </c>
      <c r="J96" s="20">
        <f t="shared" si="26"/>
        <v>0</v>
      </c>
      <c r="K96" s="20">
        <f t="shared" si="26"/>
        <v>0</v>
      </c>
      <c r="L96" s="20">
        <f t="shared" si="26"/>
        <v>0</v>
      </c>
      <c r="M96" s="20">
        <f t="shared" si="26"/>
        <v>0</v>
      </c>
      <c r="N96" s="20">
        <f t="shared" si="26"/>
        <v>0</v>
      </c>
      <c r="O96" s="20">
        <f t="shared" si="26"/>
        <v>0</v>
      </c>
      <c r="P96" s="20">
        <f t="shared" si="26"/>
        <v>0</v>
      </c>
      <c r="Q96" s="20">
        <f t="shared" si="26"/>
        <v>0</v>
      </c>
      <c r="R96" s="20">
        <f t="shared" si="26"/>
        <v>0</v>
      </c>
      <c r="S96" s="20">
        <f t="shared" si="26"/>
        <v>0</v>
      </c>
      <c r="T96" s="20">
        <f t="shared" si="26"/>
        <v>0</v>
      </c>
      <c r="U96" s="20">
        <f t="shared" si="26"/>
        <v>0</v>
      </c>
      <c r="V96" s="20">
        <f t="shared" si="26"/>
        <v>0</v>
      </c>
      <c r="W96" s="20">
        <f t="shared" si="26"/>
        <v>0</v>
      </c>
      <c r="X96" s="20">
        <f t="shared" si="26"/>
        <v>0</v>
      </c>
      <c r="Y96" s="20">
        <f t="shared" si="26"/>
        <v>0</v>
      </c>
      <c r="Z96" s="20">
        <f t="shared" si="26"/>
        <v>0</v>
      </c>
      <c r="AA96" s="20">
        <f t="shared" si="26"/>
        <v>0</v>
      </c>
      <c r="AB96" s="20">
        <f t="shared" si="26"/>
        <v>0</v>
      </c>
      <c r="AC96" s="20">
        <f t="shared" si="26"/>
        <v>0</v>
      </c>
      <c r="AD96" s="20">
        <f t="shared" si="26"/>
        <v>0</v>
      </c>
      <c r="AE96" s="20">
        <f t="shared" si="26"/>
        <v>0</v>
      </c>
      <c r="AF96" s="20">
        <f t="shared" si="26"/>
        <v>0</v>
      </c>
      <c r="AG96" s="20">
        <f t="shared" si="26"/>
        <v>0</v>
      </c>
      <c r="AH96" s="20">
        <f t="shared" si="26"/>
        <v>0</v>
      </c>
      <c r="AI96" s="20">
        <f t="shared" si="26"/>
        <v>0</v>
      </c>
    </row>
    <row r="97" spans="1:35" ht="13">
      <c r="A97" s="2" t="s">
        <v>763</v>
      </c>
      <c r="B97" s="2" t="s">
        <v>685</v>
      </c>
      <c r="C97" s="2" t="s">
        <v>78</v>
      </c>
      <c r="D97" s="2" t="s">
        <v>79</v>
      </c>
      <c r="E97" s="9" t="s">
        <v>354</v>
      </c>
      <c r="F97" s="20" t="e">
        <f>IF(F93&lt;&gt;0,(F96/F93),"")*100</f>
        <v>#VALUE!</v>
      </c>
      <c r="G97" s="20" t="e">
        <f t="shared" ref="G97:AI97" si="27">IF(G93&lt;&gt;0,(G96/G93),"")*100</f>
        <v>#VALUE!</v>
      </c>
      <c r="H97" s="20" t="e">
        <f t="shared" si="27"/>
        <v>#VALUE!</v>
      </c>
      <c r="I97" s="20" t="e">
        <f t="shared" si="27"/>
        <v>#VALUE!</v>
      </c>
      <c r="J97" s="20" t="e">
        <f t="shared" si="27"/>
        <v>#VALUE!</v>
      </c>
      <c r="K97" s="20" t="e">
        <f t="shared" si="27"/>
        <v>#VALUE!</v>
      </c>
      <c r="L97" s="20" t="e">
        <f t="shared" si="27"/>
        <v>#VALUE!</v>
      </c>
      <c r="M97" s="20" t="e">
        <f t="shared" si="27"/>
        <v>#VALUE!</v>
      </c>
      <c r="N97" s="20" t="e">
        <f t="shared" si="27"/>
        <v>#VALUE!</v>
      </c>
      <c r="O97" s="20" t="e">
        <f t="shared" si="27"/>
        <v>#VALUE!</v>
      </c>
      <c r="P97" s="20" t="e">
        <f t="shared" si="27"/>
        <v>#VALUE!</v>
      </c>
      <c r="Q97" s="20" t="e">
        <f t="shared" si="27"/>
        <v>#VALUE!</v>
      </c>
      <c r="R97" s="20" t="e">
        <f t="shared" si="27"/>
        <v>#VALUE!</v>
      </c>
      <c r="S97" s="20" t="e">
        <f t="shared" si="27"/>
        <v>#VALUE!</v>
      </c>
      <c r="T97" s="20" t="e">
        <f t="shared" si="27"/>
        <v>#VALUE!</v>
      </c>
      <c r="U97" s="20" t="e">
        <f t="shared" si="27"/>
        <v>#VALUE!</v>
      </c>
      <c r="V97" s="20" t="e">
        <f t="shared" si="27"/>
        <v>#VALUE!</v>
      </c>
      <c r="W97" s="20" t="e">
        <f t="shared" si="27"/>
        <v>#VALUE!</v>
      </c>
      <c r="X97" s="20" t="e">
        <f t="shared" si="27"/>
        <v>#VALUE!</v>
      </c>
      <c r="Y97" s="20" t="e">
        <f t="shared" si="27"/>
        <v>#VALUE!</v>
      </c>
      <c r="Z97" s="20" t="e">
        <f t="shared" si="27"/>
        <v>#VALUE!</v>
      </c>
      <c r="AA97" s="20" t="e">
        <f t="shared" si="27"/>
        <v>#VALUE!</v>
      </c>
      <c r="AB97" s="20" t="e">
        <f t="shared" si="27"/>
        <v>#VALUE!</v>
      </c>
      <c r="AC97" s="20" t="e">
        <f t="shared" si="27"/>
        <v>#VALUE!</v>
      </c>
      <c r="AD97" s="20" t="e">
        <f t="shared" si="27"/>
        <v>#VALUE!</v>
      </c>
      <c r="AE97" s="20" t="e">
        <f t="shared" si="27"/>
        <v>#VALUE!</v>
      </c>
      <c r="AF97" s="20" t="e">
        <f t="shared" si="27"/>
        <v>#VALUE!</v>
      </c>
      <c r="AG97" s="20" t="e">
        <f t="shared" si="27"/>
        <v>#VALUE!</v>
      </c>
      <c r="AH97" s="20" t="e">
        <f t="shared" si="27"/>
        <v>#VALUE!</v>
      </c>
      <c r="AI97" s="20" t="e">
        <f t="shared" si="27"/>
        <v>#VALUE!</v>
      </c>
    </row>
  </sheetData>
  <sheetProtection algorithmName="SHA-512" hashValue="X1PhTCzP9+ra7nAXBLF7QH6dqHUkDxCx9QXezfhxFz5GpWPgMYWh83NWvsFs5yCv2Noeo5a6UYbf7dFz0QD7nA==" saltValue="lkaYz+oj4n57QG/Y3+we6w==" spinCount="100000" sheet="1" objects="1" scenarios="1"/>
  <dataValidations count="7">
    <dataValidation type="list" allowBlank="1" showInputMessage="1" showErrorMessage="1" sqref="F5:AI5" xr:uid="{00000000-0002-0000-0000-000000000000}">
      <formula1>"GAAP,IFRS"</formula1>
    </dataValidation>
    <dataValidation type="list" allowBlank="1" showInputMessage="1" showErrorMessage="1" sqref="F6:AI6" xr:uid="{00000000-0002-0000-0000-000001000000}">
      <formula1>"Consolidated,Standalone"</formula1>
    </dataValidation>
    <dataValidation type="list" allowBlank="1" showInputMessage="1" showErrorMessage="1" sqref="F8:AI8" xr:uid="{00000000-0002-0000-0000-000002000000}">
      <formula1>"Audited,Estimated,Provisional,Projected"</formula1>
    </dataValidation>
    <dataValidation type="date" allowBlank="1" showInputMessage="1" showErrorMessage="1" sqref="F9:AI9" xr:uid="{00000000-0002-0000-0000-000003000000}">
      <formula1>1</formula1>
      <formula2>365245</formula2>
    </dataValidation>
    <dataValidation type="list" allowBlank="1" showInputMessage="1" showErrorMessage="1" sqref="F10:AI10" xr:uid="{00000000-0002-0000-0000-000004000000}">
      <formula1>"1,2,3,4,5,6,7,8,9,10,11,12"</formula1>
    </dataValidation>
    <dataValidation type="list" allowBlank="1" showInputMessage="1" showErrorMessage="1" sqref="F11:AI11" xr:uid="{00000000-0002-0000-0000-000005000000}">
      <formula1>"AED,ARS,AUD,BDT,BGN,BHD,BRL,CAD,CHF,CNY,DKK,EUR,GBP,HKD,HUF,IDR,ILS,INR,JMD,JPY,KRW,KWD,LKR,MMK,MXN,MYR,NOK,NPR,NZD,OMR,PHP,PLN,QAR,RUB,SAR,SEK,SGD,THB,USD,ZAR"</formula1>
    </dataValidation>
    <dataValidation type="list" allowBlank="1" showInputMessage="1" showErrorMessage="1" sqref="F12:AI12" xr:uid="{00000000-0002-0000-0000-000006000000}">
      <formula1>"Actuals,Lakhs,Crores,Millions,Thousands"</formula1>
    </dataValidation>
  </dataValidations>
  <pageMargins left="0.75" right="0.75" top="1" bottom="1" header="0.5" footer="0.5"/>
  <pageSetup orientation="portrait" r:id="rId1"/>
  <ignoredErrors>
    <ignoredError sqref="F7 L7:AI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97B6-80D6-4931-B373-86CFC398D548}">
  <sheetPr codeName="Sheet2"/>
  <dimension ref="A1:BB140"/>
  <sheetViews>
    <sheetView topLeftCell="D1" workbookViewId="0">
      <selection activeCell="E20" sqref="E20:E140"/>
    </sheetView>
  </sheetViews>
  <sheetFormatPr defaultRowHeight="12.5"/>
  <cols>
    <col min="1" max="3" width="9.1796875" hidden="1" customWidth="1"/>
    <col min="4" max="4" width="10.81640625" customWidth="1"/>
    <col min="5" max="5" width="50.7265625" customWidth="1"/>
    <col min="6" max="35" width="20.7265625" customWidth="1"/>
  </cols>
  <sheetData>
    <row r="1" spans="1:35" s="14" customFormat="1">
      <c r="A1"/>
      <c r="B1"/>
      <c r="C1"/>
      <c r="D1"/>
      <c r="E1" s="40" t="s">
        <v>0</v>
      </c>
      <c r="F1" t="str">
        <f>IF('Profit and Loss Statement'!F1="","",'Profit and Loss Statement'!F1)</f>
        <v/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4" customFormat="1">
      <c r="A2"/>
      <c r="B2"/>
      <c r="C2"/>
      <c r="D2"/>
      <c r="E2" s="1" t="s">
        <v>1</v>
      </c>
      <c r="F2" t="str">
        <f>IF('Profit and Loss Statement'!F2="","",'Profit and Loss Statement'!F2)</f>
        <v/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>
      <c r="A3" t="s">
        <v>91</v>
      </c>
      <c r="E3" s="40" t="s">
        <v>3</v>
      </c>
      <c r="F3" t="s">
        <v>989</v>
      </c>
    </row>
    <row r="4" spans="1:35" s="14" customFormat="1">
      <c r="A4"/>
      <c r="B4"/>
      <c r="C4"/>
      <c r="D4"/>
      <c r="E4" s="1" t="s">
        <v>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>
      <c r="E5" s="40" t="s">
        <v>5</v>
      </c>
      <c r="F5" s="17" t="str">
        <f>IF('Profit and Loss Statement'!F5="","",'Profit and Loss Statement'!F5)</f>
        <v>GAAP</v>
      </c>
      <c r="G5" s="17" t="str">
        <f>IF('Profit and Loss Statement'!G5="","",'Profit and Loss Statement'!G5)</f>
        <v/>
      </c>
      <c r="H5" s="17" t="str">
        <f>IF('Profit and Loss Statement'!H5="","",'Profit and Loss Statement'!H5)</f>
        <v/>
      </c>
      <c r="I5" s="17" t="str">
        <f>IF('Profit and Loss Statement'!I5="","",'Profit and Loss Statement'!I5)</f>
        <v/>
      </c>
      <c r="J5" s="17" t="str">
        <f>IF('Profit and Loss Statement'!J5="","",'Profit and Loss Statement'!J5)</f>
        <v/>
      </c>
      <c r="K5" s="17" t="str">
        <f>IF('Profit and Loss Statement'!K5="","",'Profit and Loss Statement'!K5)</f>
        <v/>
      </c>
      <c r="L5" s="17" t="str">
        <f>IF('Profit and Loss Statement'!L5="","",'Profit and Loss Statement'!L5)</f>
        <v/>
      </c>
      <c r="M5" s="17" t="str">
        <f>IF('Profit and Loss Statement'!M5="","",'Profit and Loss Statement'!M5)</f>
        <v/>
      </c>
      <c r="N5" s="17" t="str">
        <f>IF('Profit and Loss Statement'!N5="","",'Profit and Loss Statement'!N5)</f>
        <v/>
      </c>
      <c r="O5" s="17" t="str">
        <f>IF('Profit and Loss Statement'!O5="","",'Profit and Loss Statement'!O5)</f>
        <v/>
      </c>
      <c r="P5" s="17" t="str">
        <f>IF('Profit and Loss Statement'!P5="","",'Profit and Loss Statement'!P5)</f>
        <v/>
      </c>
      <c r="Q5" s="17" t="str">
        <f>IF('Profit and Loss Statement'!Q5="","",'Profit and Loss Statement'!Q5)</f>
        <v/>
      </c>
      <c r="R5" s="17" t="str">
        <f>IF('Profit and Loss Statement'!R5="","",'Profit and Loss Statement'!R5)</f>
        <v/>
      </c>
      <c r="S5" s="17" t="str">
        <f>IF('Profit and Loss Statement'!S5="","",'Profit and Loss Statement'!S5)</f>
        <v/>
      </c>
      <c r="T5" s="17" t="str">
        <f>IF('Profit and Loss Statement'!T5="","",'Profit and Loss Statement'!T5)</f>
        <v/>
      </c>
      <c r="U5" s="17" t="str">
        <f>IF('Profit and Loss Statement'!U5="","",'Profit and Loss Statement'!U5)</f>
        <v/>
      </c>
      <c r="V5" s="17" t="str">
        <f>IF('Profit and Loss Statement'!V5="","",'Profit and Loss Statement'!V5)</f>
        <v/>
      </c>
      <c r="W5" s="17" t="str">
        <f>IF('Profit and Loss Statement'!W5="","",'Profit and Loss Statement'!W5)</f>
        <v/>
      </c>
      <c r="X5" s="17" t="str">
        <f>IF('Profit and Loss Statement'!X5="","",'Profit and Loss Statement'!X5)</f>
        <v/>
      </c>
      <c r="Y5" s="17" t="str">
        <f>IF('Profit and Loss Statement'!Y5="","",'Profit and Loss Statement'!Y5)</f>
        <v/>
      </c>
      <c r="Z5" s="17" t="str">
        <f>IF('Profit and Loss Statement'!Z5="","",'Profit and Loss Statement'!Z5)</f>
        <v/>
      </c>
      <c r="AA5" s="17" t="str">
        <f>IF('Profit and Loss Statement'!AA5="","",'Profit and Loss Statement'!AA5)</f>
        <v/>
      </c>
      <c r="AB5" s="17" t="str">
        <f>IF('Profit and Loss Statement'!AB5="","",'Profit and Loss Statement'!AB5)</f>
        <v/>
      </c>
      <c r="AC5" s="17" t="str">
        <f>IF('Profit and Loss Statement'!AC5="","",'Profit and Loss Statement'!AC5)</f>
        <v/>
      </c>
      <c r="AD5" s="17" t="str">
        <f>IF('Profit and Loss Statement'!AD5="","",'Profit and Loss Statement'!AD5)</f>
        <v/>
      </c>
      <c r="AE5" s="17" t="str">
        <f>IF('Profit and Loss Statement'!AE5="","",'Profit and Loss Statement'!AE5)</f>
        <v/>
      </c>
      <c r="AF5" s="17" t="str">
        <f>IF('Profit and Loss Statement'!AF5="","",'Profit and Loss Statement'!AF5)</f>
        <v/>
      </c>
      <c r="AG5" s="17" t="str">
        <f>IF('Profit and Loss Statement'!AG5="","",'Profit and Loss Statement'!AG5)</f>
        <v/>
      </c>
      <c r="AH5" s="17" t="str">
        <f>IF('Profit and Loss Statement'!AH5="","",'Profit and Loss Statement'!AH5)</f>
        <v/>
      </c>
      <c r="AI5" s="17" t="str">
        <f>IF('Profit and Loss Statement'!AI5="","",'Profit and Loss Statement'!AI5)</f>
        <v/>
      </c>
    </row>
    <row r="6" spans="1:35">
      <c r="E6" s="40" t="s">
        <v>7</v>
      </c>
      <c r="F6" s="17" t="str">
        <f>IF('Profit and Loss Statement'!F6="","",'Profit and Loss Statement'!F6)</f>
        <v>Consolidated</v>
      </c>
      <c r="G6" s="17" t="str">
        <f>IF('Profit and Loss Statement'!G6="","",'Profit and Loss Statement'!G6)</f>
        <v/>
      </c>
      <c r="H6" s="17" t="str">
        <f>IF('Profit and Loss Statement'!H6="","",'Profit and Loss Statement'!H6)</f>
        <v/>
      </c>
      <c r="I6" s="17" t="str">
        <f>IF('Profit and Loss Statement'!I6="","",'Profit and Loss Statement'!I6)</f>
        <v/>
      </c>
      <c r="J6" s="17" t="str">
        <f>IF('Profit and Loss Statement'!J6="","",'Profit and Loss Statement'!J6)</f>
        <v/>
      </c>
      <c r="K6" s="17" t="str">
        <f>IF('Profit and Loss Statement'!K6="","",'Profit and Loss Statement'!K6)</f>
        <v/>
      </c>
      <c r="L6" s="17" t="str">
        <f>IF('Profit and Loss Statement'!L6="","",'Profit and Loss Statement'!L6)</f>
        <v/>
      </c>
      <c r="M6" s="17" t="str">
        <f>IF('Profit and Loss Statement'!M6="","",'Profit and Loss Statement'!M6)</f>
        <v/>
      </c>
      <c r="N6" s="17" t="str">
        <f>IF('Profit and Loss Statement'!N6="","",'Profit and Loss Statement'!N6)</f>
        <v/>
      </c>
      <c r="O6" s="17" t="str">
        <f>IF('Profit and Loss Statement'!O6="","",'Profit and Loss Statement'!O6)</f>
        <v/>
      </c>
      <c r="P6" s="17" t="str">
        <f>IF('Profit and Loss Statement'!P6="","",'Profit and Loss Statement'!P6)</f>
        <v/>
      </c>
      <c r="Q6" s="17" t="str">
        <f>IF('Profit and Loss Statement'!Q6="","",'Profit and Loss Statement'!Q6)</f>
        <v/>
      </c>
      <c r="R6" s="17" t="str">
        <f>IF('Profit and Loss Statement'!R6="","",'Profit and Loss Statement'!R6)</f>
        <v/>
      </c>
      <c r="S6" s="17" t="str">
        <f>IF('Profit and Loss Statement'!S6="","",'Profit and Loss Statement'!S6)</f>
        <v/>
      </c>
      <c r="T6" s="17" t="str">
        <f>IF('Profit and Loss Statement'!T6="","",'Profit and Loss Statement'!T6)</f>
        <v/>
      </c>
      <c r="U6" s="17" t="str">
        <f>IF('Profit and Loss Statement'!U6="","",'Profit and Loss Statement'!U6)</f>
        <v/>
      </c>
      <c r="V6" s="17" t="str">
        <f>IF('Profit and Loss Statement'!V6="","",'Profit and Loss Statement'!V6)</f>
        <v/>
      </c>
      <c r="W6" s="17" t="str">
        <f>IF('Profit and Loss Statement'!W6="","",'Profit and Loss Statement'!W6)</f>
        <v/>
      </c>
      <c r="X6" s="17" t="str">
        <f>IF('Profit and Loss Statement'!X6="","",'Profit and Loss Statement'!X6)</f>
        <v/>
      </c>
      <c r="Y6" s="17" t="str">
        <f>IF('Profit and Loss Statement'!Y6="","",'Profit and Loss Statement'!Y6)</f>
        <v/>
      </c>
      <c r="Z6" s="17" t="str">
        <f>IF('Profit and Loss Statement'!Z6="","",'Profit and Loss Statement'!Z6)</f>
        <v/>
      </c>
      <c r="AA6" s="17" t="str">
        <f>IF('Profit and Loss Statement'!AA6="","",'Profit and Loss Statement'!AA6)</f>
        <v/>
      </c>
      <c r="AB6" s="17" t="str">
        <f>IF('Profit and Loss Statement'!AB6="","",'Profit and Loss Statement'!AB6)</f>
        <v/>
      </c>
      <c r="AC6" s="17" t="str">
        <f>IF('Profit and Loss Statement'!AC6="","",'Profit and Loss Statement'!AC6)</f>
        <v/>
      </c>
      <c r="AD6" s="17" t="str">
        <f>IF('Profit and Loss Statement'!AD6="","",'Profit and Loss Statement'!AD6)</f>
        <v/>
      </c>
      <c r="AE6" s="17" t="str">
        <f>IF('Profit and Loss Statement'!AE6="","",'Profit and Loss Statement'!AE6)</f>
        <v/>
      </c>
      <c r="AF6" s="17" t="str">
        <f>IF('Profit and Loss Statement'!AF6="","",'Profit and Loss Statement'!AF6)</f>
        <v/>
      </c>
      <c r="AG6" s="17" t="str">
        <f>IF('Profit and Loss Statement'!AG6="","",'Profit and Loss Statement'!AG6)</f>
        <v/>
      </c>
      <c r="AH6" s="17" t="str">
        <f>IF('Profit and Loss Statement'!AH6="","",'Profit and Loss Statement'!AH6)</f>
        <v/>
      </c>
      <c r="AI6" s="17" t="str">
        <f>IF('Profit and Loss Statement'!AI6="","",'Profit and Loss Statement'!AI6)</f>
        <v/>
      </c>
    </row>
    <row r="7" spans="1:35">
      <c r="E7" s="1" t="s">
        <v>9</v>
      </c>
      <c r="F7" s="17" t="str">
        <f>IF('Profit and Loss Statement'!F7="","",'Profit and Loss Statement'!F7)</f>
        <v/>
      </c>
      <c r="G7" s="17" t="str">
        <f>IF('Profit and Loss Statement'!G7="","",'Profit and Loss Statement'!G7)</f>
        <v/>
      </c>
      <c r="H7" s="17" t="str">
        <f>IF('Profit and Loss Statement'!H7="","",'Profit and Loss Statement'!H7)</f>
        <v/>
      </c>
      <c r="I7" s="17" t="str">
        <f>IF('Profit and Loss Statement'!I7="","",'Profit and Loss Statement'!I7)</f>
        <v/>
      </c>
      <c r="J7" s="17" t="str">
        <f>IF('Profit and Loss Statement'!J7="","",'Profit and Loss Statement'!J7)</f>
        <v/>
      </c>
      <c r="K7" s="17" t="str">
        <f>IF('Profit and Loss Statement'!K7="","",'Profit and Loss Statement'!K7)</f>
        <v/>
      </c>
      <c r="L7" s="17" t="str">
        <f>IF('Profit and Loss Statement'!L7="","",'Profit and Loss Statement'!L7)</f>
        <v/>
      </c>
      <c r="M7" s="17" t="str">
        <f>IF('Profit and Loss Statement'!M7="","",'Profit and Loss Statement'!M7)</f>
        <v/>
      </c>
      <c r="N7" s="17" t="str">
        <f>IF('Profit and Loss Statement'!N7="","",'Profit and Loss Statement'!N7)</f>
        <v/>
      </c>
      <c r="O7" s="17" t="str">
        <f>IF('Profit and Loss Statement'!O7="","",'Profit and Loss Statement'!O7)</f>
        <v/>
      </c>
      <c r="P7" s="17" t="str">
        <f>IF('Profit and Loss Statement'!P7="","",'Profit and Loss Statement'!P7)</f>
        <v/>
      </c>
      <c r="Q7" s="17" t="str">
        <f>IF('Profit and Loss Statement'!Q7="","",'Profit and Loss Statement'!Q7)</f>
        <v/>
      </c>
      <c r="R7" s="17" t="str">
        <f>IF('Profit and Loss Statement'!R7="","",'Profit and Loss Statement'!R7)</f>
        <v/>
      </c>
      <c r="S7" s="17" t="str">
        <f>IF('Profit and Loss Statement'!S7="","",'Profit and Loss Statement'!S7)</f>
        <v/>
      </c>
      <c r="T7" s="17" t="str">
        <f>IF('Profit and Loss Statement'!T7="","",'Profit and Loss Statement'!T7)</f>
        <v/>
      </c>
      <c r="U7" s="17" t="str">
        <f>IF('Profit and Loss Statement'!U7="","",'Profit and Loss Statement'!U7)</f>
        <v/>
      </c>
      <c r="V7" s="17" t="str">
        <f>IF('Profit and Loss Statement'!V7="","",'Profit and Loss Statement'!V7)</f>
        <v/>
      </c>
      <c r="W7" s="17" t="str">
        <f>IF('Profit and Loss Statement'!W7="","",'Profit and Loss Statement'!W7)</f>
        <v/>
      </c>
      <c r="X7" s="17" t="str">
        <f>IF('Profit and Loss Statement'!X7="","",'Profit and Loss Statement'!X7)</f>
        <v/>
      </c>
      <c r="Y7" s="17" t="str">
        <f>IF('Profit and Loss Statement'!Y7="","",'Profit and Loss Statement'!Y7)</f>
        <v/>
      </c>
      <c r="Z7" s="17" t="str">
        <f>IF('Profit and Loss Statement'!Z7="","",'Profit and Loss Statement'!Z7)</f>
        <v/>
      </c>
      <c r="AA7" s="17" t="str">
        <f>IF('Profit and Loss Statement'!AA7="","",'Profit and Loss Statement'!AA7)</f>
        <v/>
      </c>
      <c r="AB7" s="17" t="str">
        <f>IF('Profit and Loss Statement'!AB7="","",'Profit and Loss Statement'!AB7)</f>
        <v/>
      </c>
      <c r="AC7" s="17" t="str">
        <f>IF('Profit and Loss Statement'!AC7="","",'Profit and Loss Statement'!AC7)</f>
        <v/>
      </c>
      <c r="AD7" s="17" t="str">
        <f>IF('Profit and Loss Statement'!AD7="","",'Profit and Loss Statement'!AD7)</f>
        <v/>
      </c>
      <c r="AE7" s="17" t="str">
        <f>IF('Profit and Loss Statement'!AE7="","",'Profit and Loss Statement'!AE7)</f>
        <v/>
      </c>
      <c r="AF7" s="17" t="str">
        <f>IF('Profit and Loss Statement'!AF7="","",'Profit and Loss Statement'!AF7)</f>
        <v/>
      </c>
      <c r="AG7" s="17" t="str">
        <f>IF('Profit and Loss Statement'!AG7="","",'Profit and Loss Statement'!AG7)</f>
        <v/>
      </c>
      <c r="AH7" s="17" t="str">
        <f>IF('Profit and Loss Statement'!AH7="","",'Profit and Loss Statement'!AH7)</f>
        <v/>
      </c>
      <c r="AI7" s="17" t="str">
        <f>IF('Profit and Loss Statement'!AI7="","",'Profit and Loss Statement'!AI7)</f>
        <v/>
      </c>
    </row>
    <row r="8" spans="1:35">
      <c r="E8" s="40" t="s">
        <v>10</v>
      </c>
      <c r="F8" s="17" t="str">
        <f>IF('Profit and Loss Statement'!F8="","",'Profit and Loss Statement'!F8)</f>
        <v>Audited</v>
      </c>
      <c r="G8" s="17" t="str">
        <f>IF('Profit and Loss Statement'!G8="","",'Profit and Loss Statement'!G8)</f>
        <v/>
      </c>
      <c r="H8" s="17" t="str">
        <f>IF('Profit and Loss Statement'!H8="","",'Profit and Loss Statement'!H8)</f>
        <v/>
      </c>
      <c r="I8" s="17" t="str">
        <f>IF('Profit and Loss Statement'!I8="","",'Profit and Loss Statement'!I8)</f>
        <v/>
      </c>
      <c r="J8" s="17" t="str">
        <f>IF('Profit and Loss Statement'!J8="","",'Profit and Loss Statement'!J8)</f>
        <v/>
      </c>
      <c r="K8" s="17" t="str">
        <f>IF('Profit and Loss Statement'!K8="","",'Profit and Loss Statement'!K8)</f>
        <v/>
      </c>
      <c r="L8" s="17" t="str">
        <f>IF('Profit and Loss Statement'!L8="","",'Profit and Loss Statement'!L8)</f>
        <v/>
      </c>
      <c r="M8" s="17" t="str">
        <f>IF('Profit and Loss Statement'!M8="","",'Profit and Loss Statement'!M8)</f>
        <v/>
      </c>
      <c r="N8" s="17" t="str">
        <f>IF('Profit and Loss Statement'!N8="","",'Profit and Loss Statement'!N8)</f>
        <v/>
      </c>
      <c r="O8" s="17" t="str">
        <f>IF('Profit and Loss Statement'!O8="","",'Profit and Loss Statement'!O8)</f>
        <v/>
      </c>
      <c r="P8" s="17" t="str">
        <f>IF('Profit and Loss Statement'!P8="","",'Profit and Loss Statement'!P8)</f>
        <v/>
      </c>
      <c r="Q8" s="17" t="str">
        <f>IF('Profit and Loss Statement'!Q8="","",'Profit and Loss Statement'!Q8)</f>
        <v/>
      </c>
      <c r="R8" s="17" t="str">
        <f>IF('Profit and Loss Statement'!R8="","",'Profit and Loss Statement'!R8)</f>
        <v/>
      </c>
      <c r="S8" s="17" t="str">
        <f>IF('Profit and Loss Statement'!S8="","",'Profit and Loss Statement'!S8)</f>
        <v/>
      </c>
      <c r="T8" s="17" t="str">
        <f>IF('Profit and Loss Statement'!T8="","",'Profit and Loss Statement'!T8)</f>
        <v/>
      </c>
      <c r="U8" s="17" t="str">
        <f>IF('Profit and Loss Statement'!U8="","",'Profit and Loss Statement'!U8)</f>
        <v/>
      </c>
      <c r="V8" s="17" t="str">
        <f>IF('Profit and Loss Statement'!V8="","",'Profit and Loss Statement'!V8)</f>
        <v/>
      </c>
      <c r="W8" s="17" t="str">
        <f>IF('Profit and Loss Statement'!W8="","",'Profit and Loss Statement'!W8)</f>
        <v/>
      </c>
      <c r="X8" s="17" t="str">
        <f>IF('Profit and Loss Statement'!X8="","",'Profit and Loss Statement'!X8)</f>
        <v/>
      </c>
      <c r="Y8" s="17" t="str">
        <f>IF('Profit and Loss Statement'!Y8="","",'Profit and Loss Statement'!Y8)</f>
        <v/>
      </c>
      <c r="Z8" s="17" t="str">
        <f>IF('Profit and Loss Statement'!Z8="","",'Profit and Loss Statement'!Z8)</f>
        <v/>
      </c>
      <c r="AA8" s="17" t="str">
        <f>IF('Profit and Loss Statement'!AA8="","",'Profit and Loss Statement'!AA8)</f>
        <v/>
      </c>
      <c r="AB8" s="17" t="str">
        <f>IF('Profit and Loss Statement'!AB8="","",'Profit and Loss Statement'!AB8)</f>
        <v/>
      </c>
      <c r="AC8" s="17" t="str">
        <f>IF('Profit and Loss Statement'!AC8="","",'Profit and Loss Statement'!AC8)</f>
        <v/>
      </c>
      <c r="AD8" s="17" t="str">
        <f>IF('Profit and Loss Statement'!AD8="","",'Profit and Loss Statement'!AD8)</f>
        <v/>
      </c>
      <c r="AE8" s="17" t="str">
        <f>IF('Profit and Loss Statement'!AE8="","",'Profit and Loss Statement'!AE8)</f>
        <v/>
      </c>
      <c r="AF8" s="17" t="str">
        <f>IF('Profit and Loss Statement'!AF8="","",'Profit and Loss Statement'!AF8)</f>
        <v/>
      </c>
      <c r="AG8" s="17" t="str">
        <f>IF('Profit and Loss Statement'!AG8="","",'Profit and Loss Statement'!AG8)</f>
        <v/>
      </c>
      <c r="AH8" s="17" t="str">
        <f>IF('Profit and Loss Statement'!AH8="","",'Profit and Loss Statement'!AH8)</f>
        <v/>
      </c>
      <c r="AI8" s="17" t="str">
        <f>IF('Profit and Loss Statement'!AI8="","",'Profit and Loss Statement'!AI8)</f>
        <v/>
      </c>
    </row>
    <row r="9" spans="1:35" s="16" customFormat="1">
      <c r="E9" s="40" t="s">
        <v>11</v>
      </c>
      <c r="F9" s="39" t="str">
        <f>IF('Profit and Loss Statement'!F9="","",'Profit and Loss Statement'!F9)</f>
        <v/>
      </c>
      <c r="G9" s="39" t="str">
        <f>IF('Profit and Loss Statement'!G9="","",'Profit and Loss Statement'!G9)</f>
        <v/>
      </c>
      <c r="H9" s="39" t="str">
        <f>IF('Profit and Loss Statement'!H9="","",'Profit and Loss Statement'!H9)</f>
        <v/>
      </c>
      <c r="I9" s="39" t="str">
        <f>IF('Profit and Loss Statement'!I9="","",'Profit and Loss Statement'!I9)</f>
        <v/>
      </c>
      <c r="J9" s="39" t="str">
        <f>IF('Profit and Loss Statement'!J9="","",'Profit and Loss Statement'!J9)</f>
        <v/>
      </c>
      <c r="K9" s="39" t="str">
        <f>IF('Profit and Loss Statement'!K9="","",'Profit and Loss Statement'!K9)</f>
        <v/>
      </c>
      <c r="L9" s="39" t="str">
        <f>IF('Profit and Loss Statement'!L9="","",'Profit and Loss Statement'!L9)</f>
        <v/>
      </c>
      <c r="M9" s="39" t="str">
        <f>IF('Profit and Loss Statement'!M9="","",'Profit and Loss Statement'!M9)</f>
        <v/>
      </c>
      <c r="N9" s="39" t="str">
        <f>IF('Profit and Loss Statement'!N9="","",'Profit and Loss Statement'!N9)</f>
        <v/>
      </c>
      <c r="O9" s="39" t="str">
        <f>IF('Profit and Loss Statement'!O9="","",'Profit and Loss Statement'!O9)</f>
        <v/>
      </c>
      <c r="P9" s="39" t="str">
        <f>IF('Profit and Loss Statement'!P9="","",'Profit and Loss Statement'!P9)</f>
        <v/>
      </c>
      <c r="Q9" s="39" t="str">
        <f>IF('Profit and Loss Statement'!Q9="","",'Profit and Loss Statement'!Q9)</f>
        <v/>
      </c>
      <c r="R9" s="39" t="str">
        <f>IF('Profit and Loss Statement'!R9="","",'Profit and Loss Statement'!R9)</f>
        <v/>
      </c>
      <c r="S9" s="39" t="str">
        <f>IF('Profit and Loss Statement'!S9="","",'Profit and Loss Statement'!S9)</f>
        <v/>
      </c>
      <c r="T9" s="39" t="str">
        <f>IF('Profit and Loss Statement'!T9="","",'Profit and Loss Statement'!T9)</f>
        <v/>
      </c>
      <c r="U9" s="39" t="str">
        <f>IF('Profit and Loss Statement'!U9="","",'Profit and Loss Statement'!U9)</f>
        <v/>
      </c>
      <c r="V9" s="39" t="str">
        <f>IF('Profit and Loss Statement'!V9="","",'Profit and Loss Statement'!V9)</f>
        <v/>
      </c>
      <c r="W9" s="39" t="str">
        <f>IF('Profit and Loss Statement'!W9="","",'Profit and Loss Statement'!W9)</f>
        <v/>
      </c>
      <c r="X9" s="39" t="str">
        <f>IF('Profit and Loss Statement'!X9="","",'Profit and Loss Statement'!X9)</f>
        <v/>
      </c>
      <c r="Y9" s="39" t="str">
        <f>IF('Profit and Loss Statement'!Y9="","",'Profit and Loss Statement'!Y9)</f>
        <v/>
      </c>
      <c r="Z9" s="39" t="str">
        <f>IF('Profit and Loss Statement'!Z9="","",'Profit and Loss Statement'!Z9)</f>
        <v/>
      </c>
      <c r="AA9" s="39" t="str">
        <f>IF('Profit and Loss Statement'!AA9="","",'Profit and Loss Statement'!AA9)</f>
        <v/>
      </c>
      <c r="AB9" s="39" t="str">
        <f>IF('Profit and Loss Statement'!AB9="","",'Profit and Loss Statement'!AB9)</f>
        <v/>
      </c>
      <c r="AC9" s="39" t="str">
        <f>IF('Profit and Loss Statement'!AC9="","",'Profit and Loss Statement'!AC9)</f>
        <v/>
      </c>
      <c r="AD9" s="39" t="str">
        <f>IF('Profit and Loss Statement'!AD9="","",'Profit and Loss Statement'!AD9)</f>
        <v/>
      </c>
      <c r="AE9" s="39" t="str">
        <f>IF('Profit and Loss Statement'!AE9="","",'Profit and Loss Statement'!AE9)</f>
        <v/>
      </c>
      <c r="AF9" s="39" t="str">
        <f>IF('Profit and Loss Statement'!AF9="","",'Profit and Loss Statement'!AF9)</f>
        <v/>
      </c>
      <c r="AG9" s="39" t="str">
        <f>IF('Profit and Loss Statement'!AG9="","",'Profit and Loss Statement'!AG9)</f>
        <v/>
      </c>
      <c r="AH9" s="39" t="str">
        <f>IF('Profit and Loss Statement'!AH9="","",'Profit and Loss Statement'!AH9)</f>
        <v/>
      </c>
      <c r="AI9" s="39" t="str">
        <f>IF('Profit and Loss Statement'!AI9="","",'Profit and Loss Statement'!AI9)</f>
        <v/>
      </c>
    </row>
    <row r="10" spans="1:35">
      <c r="E10" s="40" t="s">
        <v>12</v>
      </c>
      <c r="F10" s="17" t="str">
        <f>IF('Profit and Loss Statement'!F10="","",'Profit and Loss Statement'!F10)</f>
        <v/>
      </c>
      <c r="G10" s="17" t="str">
        <f>IF('Profit and Loss Statement'!G10="","",'Profit and Loss Statement'!G10)</f>
        <v/>
      </c>
      <c r="H10" s="17" t="str">
        <f>IF('Profit and Loss Statement'!H10="","",'Profit and Loss Statement'!H10)</f>
        <v/>
      </c>
      <c r="I10" s="17" t="str">
        <f>IF('Profit and Loss Statement'!I10="","",'Profit and Loss Statement'!I10)</f>
        <v/>
      </c>
      <c r="J10" s="17" t="str">
        <f>IF('Profit and Loss Statement'!J10="","",'Profit and Loss Statement'!J10)</f>
        <v/>
      </c>
      <c r="K10" s="17" t="str">
        <f>IF('Profit and Loss Statement'!K10="","",'Profit and Loss Statement'!K10)</f>
        <v/>
      </c>
      <c r="L10" s="17" t="str">
        <f>IF('Profit and Loss Statement'!L10="","",'Profit and Loss Statement'!L10)</f>
        <v/>
      </c>
      <c r="M10" s="17" t="str">
        <f>IF('Profit and Loss Statement'!M10="","",'Profit and Loss Statement'!M10)</f>
        <v/>
      </c>
      <c r="N10" s="17" t="str">
        <f>IF('Profit and Loss Statement'!N10="","",'Profit and Loss Statement'!N10)</f>
        <v/>
      </c>
      <c r="O10" s="17" t="str">
        <f>IF('Profit and Loss Statement'!O10="","",'Profit and Loss Statement'!O10)</f>
        <v/>
      </c>
      <c r="P10" s="17" t="str">
        <f>IF('Profit and Loss Statement'!P10="","",'Profit and Loss Statement'!P10)</f>
        <v/>
      </c>
      <c r="Q10" s="17" t="str">
        <f>IF('Profit and Loss Statement'!Q10="","",'Profit and Loss Statement'!Q10)</f>
        <v/>
      </c>
      <c r="R10" s="17" t="str">
        <f>IF('Profit and Loss Statement'!R10="","",'Profit and Loss Statement'!R10)</f>
        <v/>
      </c>
      <c r="S10" s="17" t="str">
        <f>IF('Profit and Loss Statement'!S10="","",'Profit and Loss Statement'!S10)</f>
        <v/>
      </c>
      <c r="T10" s="17" t="str">
        <f>IF('Profit and Loss Statement'!T10="","",'Profit and Loss Statement'!T10)</f>
        <v/>
      </c>
      <c r="U10" s="17" t="str">
        <f>IF('Profit and Loss Statement'!U10="","",'Profit and Loss Statement'!U10)</f>
        <v/>
      </c>
      <c r="V10" s="17" t="str">
        <f>IF('Profit and Loss Statement'!V10="","",'Profit and Loss Statement'!V10)</f>
        <v/>
      </c>
      <c r="W10" s="17" t="str">
        <f>IF('Profit and Loss Statement'!W10="","",'Profit and Loss Statement'!W10)</f>
        <v/>
      </c>
      <c r="X10" s="17" t="str">
        <f>IF('Profit and Loss Statement'!X10="","",'Profit and Loss Statement'!X10)</f>
        <v/>
      </c>
      <c r="Y10" s="17" t="str">
        <f>IF('Profit and Loss Statement'!Y10="","",'Profit and Loss Statement'!Y10)</f>
        <v/>
      </c>
      <c r="Z10" s="17" t="str">
        <f>IF('Profit and Loss Statement'!Z10="","",'Profit and Loss Statement'!Z10)</f>
        <v/>
      </c>
      <c r="AA10" s="17" t="str">
        <f>IF('Profit and Loss Statement'!AA10="","",'Profit and Loss Statement'!AA10)</f>
        <v/>
      </c>
      <c r="AB10" s="17" t="str">
        <f>IF('Profit and Loss Statement'!AB10="","",'Profit and Loss Statement'!AB10)</f>
        <v/>
      </c>
      <c r="AC10" s="17" t="str">
        <f>IF('Profit and Loss Statement'!AC10="","",'Profit and Loss Statement'!AC10)</f>
        <v/>
      </c>
      <c r="AD10" s="17" t="str">
        <f>IF('Profit and Loss Statement'!AD10="","",'Profit and Loss Statement'!AD10)</f>
        <v/>
      </c>
      <c r="AE10" s="17" t="str">
        <f>IF('Profit and Loss Statement'!AE10="","",'Profit and Loss Statement'!AE10)</f>
        <v/>
      </c>
      <c r="AF10" s="17" t="str">
        <f>IF('Profit and Loss Statement'!AF10="","",'Profit and Loss Statement'!AF10)</f>
        <v/>
      </c>
      <c r="AG10" s="17" t="str">
        <f>IF('Profit and Loss Statement'!AG10="","",'Profit and Loss Statement'!AG10)</f>
        <v/>
      </c>
      <c r="AH10" s="17" t="str">
        <f>IF('Profit and Loss Statement'!AH10="","",'Profit and Loss Statement'!AH10)</f>
        <v/>
      </c>
      <c r="AI10" s="17" t="str">
        <f>IF('Profit and Loss Statement'!AI10="","",'Profit and Loss Statement'!AI10)</f>
        <v/>
      </c>
    </row>
    <row r="11" spans="1:35">
      <c r="E11" s="40" t="s">
        <v>13</v>
      </c>
      <c r="F11" s="17" t="str">
        <f>IF('Profit and Loss Statement'!F11="","",'Profit and Loss Statement'!F11)</f>
        <v>INR</v>
      </c>
      <c r="G11" s="17" t="str">
        <f>IF('Profit and Loss Statement'!G11="","",'Profit and Loss Statement'!G11)</f>
        <v>INR</v>
      </c>
      <c r="H11" s="17" t="str">
        <f>IF('Profit and Loss Statement'!H11="","",'Profit and Loss Statement'!H11)</f>
        <v>INR</v>
      </c>
      <c r="I11" s="17" t="str">
        <f>IF('Profit and Loss Statement'!I11="","",'Profit and Loss Statement'!I11)</f>
        <v>INR</v>
      </c>
      <c r="J11" s="17" t="str">
        <f>IF('Profit and Loss Statement'!J11="","",'Profit and Loss Statement'!J11)</f>
        <v>INR</v>
      </c>
      <c r="K11" s="17" t="str">
        <f>IF('Profit and Loss Statement'!K11="","",'Profit and Loss Statement'!K11)</f>
        <v>INR</v>
      </c>
      <c r="L11" s="17" t="str">
        <f>IF('Profit and Loss Statement'!L11="","",'Profit and Loss Statement'!L11)</f>
        <v>INR</v>
      </c>
      <c r="M11" s="17" t="str">
        <f>IF('Profit and Loss Statement'!M11="","",'Profit and Loss Statement'!M11)</f>
        <v>INR</v>
      </c>
      <c r="N11" s="17" t="str">
        <f>IF('Profit and Loss Statement'!N11="","",'Profit and Loss Statement'!N11)</f>
        <v>INR</v>
      </c>
      <c r="O11" s="17" t="str">
        <f>IF('Profit and Loss Statement'!O11="","",'Profit and Loss Statement'!O11)</f>
        <v>INR</v>
      </c>
      <c r="P11" s="17" t="str">
        <f>IF('Profit and Loss Statement'!P11="","",'Profit and Loss Statement'!P11)</f>
        <v>INR</v>
      </c>
      <c r="Q11" s="17" t="str">
        <f>IF('Profit and Loss Statement'!Q11="","",'Profit and Loss Statement'!Q11)</f>
        <v>INR</v>
      </c>
      <c r="R11" s="17" t="str">
        <f>IF('Profit and Loss Statement'!R11="","",'Profit and Loss Statement'!R11)</f>
        <v>INR</v>
      </c>
      <c r="S11" s="17" t="str">
        <f>IF('Profit and Loss Statement'!S11="","",'Profit and Loss Statement'!S11)</f>
        <v>INR</v>
      </c>
      <c r="T11" s="17" t="str">
        <f>IF('Profit and Loss Statement'!T11="","",'Profit and Loss Statement'!T11)</f>
        <v>INR</v>
      </c>
      <c r="U11" s="17" t="str">
        <f>IF('Profit and Loss Statement'!U11="","",'Profit and Loss Statement'!U11)</f>
        <v>INR</v>
      </c>
      <c r="V11" s="17" t="str">
        <f>IF('Profit and Loss Statement'!V11="","",'Profit and Loss Statement'!V11)</f>
        <v>INR</v>
      </c>
      <c r="W11" s="17" t="str">
        <f>IF('Profit and Loss Statement'!W11="","",'Profit and Loss Statement'!W11)</f>
        <v>INR</v>
      </c>
      <c r="X11" s="17" t="str">
        <f>IF('Profit and Loss Statement'!X11="","",'Profit and Loss Statement'!X11)</f>
        <v>INR</v>
      </c>
      <c r="Y11" s="17" t="str">
        <f>IF('Profit and Loss Statement'!Y11="","",'Profit and Loss Statement'!Y11)</f>
        <v>INR</v>
      </c>
      <c r="Z11" s="17" t="str">
        <f>IF('Profit and Loss Statement'!Z11="","",'Profit and Loss Statement'!Z11)</f>
        <v>INR</v>
      </c>
      <c r="AA11" s="17" t="str">
        <f>IF('Profit and Loss Statement'!AA11="","",'Profit and Loss Statement'!AA11)</f>
        <v>INR</v>
      </c>
      <c r="AB11" s="17" t="str">
        <f>IF('Profit and Loss Statement'!AB11="","",'Profit and Loss Statement'!AB11)</f>
        <v>INR</v>
      </c>
      <c r="AC11" s="17" t="str">
        <f>IF('Profit and Loss Statement'!AC11="","",'Profit and Loss Statement'!AC11)</f>
        <v>INR</v>
      </c>
      <c r="AD11" s="17" t="str">
        <f>IF('Profit and Loss Statement'!AD11="","",'Profit and Loss Statement'!AD11)</f>
        <v>INR</v>
      </c>
      <c r="AE11" s="17" t="str">
        <f>IF('Profit and Loss Statement'!AE11="","",'Profit and Loss Statement'!AE11)</f>
        <v>INR</v>
      </c>
      <c r="AF11" s="17" t="str">
        <f>IF('Profit and Loss Statement'!AF11="","",'Profit and Loss Statement'!AF11)</f>
        <v>INR</v>
      </c>
      <c r="AG11" s="17" t="str">
        <f>IF('Profit and Loss Statement'!AG11="","",'Profit and Loss Statement'!AG11)</f>
        <v>INR</v>
      </c>
      <c r="AH11" s="17" t="str">
        <f>IF('Profit and Loss Statement'!AH11="","",'Profit and Loss Statement'!AH11)</f>
        <v>INR</v>
      </c>
      <c r="AI11" s="17" t="str">
        <f>IF('Profit and Loss Statement'!AI11="","",'Profit and Loss Statement'!AI11)</f>
        <v>INR</v>
      </c>
    </row>
    <row r="12" spans="1:35">
      <c r="E12" s="40" t="s">
        <v>14</v>
      </c>
      <c r="F12" s="17" t="str">
        <f>IF('Profit and Loss Statement'!F12="","",'Profit and Loss Statement'!F12)</f>
        <v>Crores</v>
      </c>
      <c r="G12" s="17" t="str">
        <f>IF('Profit and Loss Statement'!G12="","",'Profit and Loss Statement'!G12)</f>
        <v>Crores</v>
      </c>
      <c r="H12" s="17" t="str">
        <f>IF('Profit and Loss Statement'!H12="","",'Profit and Loss Statement'!H12)</f>
        <v>Crores</v>
      </c>
      <c r="I12" s="17" t="str">
        <f>IF('Profit and Loss Statement'!I12="","",'Profit and Loss Statement'!I12)</f>
        <v>Crores</v>
      </c>
      <c r="J12" s="17" t="str">
        <f>IF('Profit and Loss Statement'!J12="","",'Profit and Loss Statement'!J12)</f>
        <v>Crores</v>
      </c>
      <c r="K12" s="17" t="str">
        <f>IF('Profit and Loss Statement'!K12="","",'Profit and Loss Statement'!K12)</f>
        <v>Crores</v>
      </c>
      <c r="L12" s="17" t="str">
        <f>IF('Profit and Loss Statement'!L12="","",'Profit and Loss Statement'!L12)</f>
        <v>Crores</v>
      </c>
      <c r="M12" s="17" t="str">
        <f>IF('Profit and Loss Statement'!M12="","",'Profit and Loss Statement'!M12)</f>
        <v>Crores</v>
      </c>
      <c r="N12" s="17" t="str">
        <f>IF('Profit and Loss Statement'!N12="","",'Profit and Loss Statement'!N12)</f>
        <v>Crores</v>
      </c>
      <c r="O12" s="17" t="str">
        <f>IF('Profit and Loss Statement'!O12="","",'Profit and Loss Statement'!O12)</f>
        <v>Crores</v>
      </c>
      <c r="P12" s="17" t="str">
        <f>IF('Profit and Loss Statement'!P12="","",'Profit and Loss Statement'!P12)</f>
        <v>Crores</v>
      </c>
      <c r="Q12" s="17" t="str">
        <f>IF('Profit and Loss Statement'!Q12="","",'Profit and Loss Statement'!Q12)</f>
        <v>Crores</v>
      </c>
      <c r="R12" s="17" t="str">
        <f>IF('Profit and Loss Statement'!R12="","",'Profit and Loss Statement'!R12)</f>
        <v>Crores</v>
      </c>
      <c r="S12" s="17" t="str">
        <f>IF('Profit and Loss Statement'!S12="","",'Profit and Loss Statement'!S12)</f>
        <v>Crores</v>
      </c>
      <c r="T12" s="17" t="str">
        <f>IF('Profit and Loss Statement'!T12="","",'Profit and Loss Statement'!T12)</f>
        <v>Crores</v>
      </c>
      <c r="U12" s="17" t="str">
        <f>IF('Profit and Loss Statement'!U12="","",'Profit and Loss Statement'!U12)</f>
        <v>Crores</v>
      </c>
      <c r="V12" s="17" t="str">
        <f>IF('Profit and Loss Statement'!V12="","",'Profit and Loss Statement'!V12)</f>
        <v>Crores</v>
      </c>
      <c r="W12" s="17" t="str">
        <f>IF('Profit and Loss Statement'!W12="","",'Profit and Loss Statement'!W12)</f>
        <v>Crores</v>
      </c>
      <c r="X12" s="17" t="str">
        <f>IF('Profit and Loss Statement'!X12="","",'Profit and Loss Statement'!X12)</f>
        <v>Crores</v>
      </c>
      <c r="Y12" s="17" t="str">
        <f>IF('Profit and Loss Statement'!Y12="","",'Profit and Loss Statement'!Y12)</f>
        <v>Crores</v>
      </c>
      <c r="Z12" s="17" t="str">
        <f>IF('Profit and Loss Statement'!Z12="","",'Profit and Loss Statement'!Z12)</f>
        <v>Crores</v>
      </c>
      <c r="AA12" s="17" t="str">
        <f>IF('Profit and Loss Statement'!AA12="","",'Profit and Loss Statement'!AA12)</f>
        <v>Crores</v>
      </c>
      <c r="AB12" s="17" t="str">
        <f>IF('Profit and Loss Statement'!AB12="","",'Profit and Loss Statement'!AB12)</f>
        <v>Crores</v>
      </c>
      <c r="AC12" s="17" t="str">
        <f>IF('Profit and Loss Statement'!AC12="","",'Profit and Loss Statement'!AC12)</f>
        <v>Crores</v>
      </c>
      <c r="AD12" s="17" t="str">
        <f>IF('Profit and Loss Statement'!AD12="","",'Profit and Loss Statement'!AD12)</f>
        <v>Crores</v>
      </c>
      <c r="AE12" s="17" t="str">
        <f>IF('Profit and Loss Statement'!AE12="","",'Profit and Loss Statement'!AE12)</f>
        <v>Crores</v>
      </c>
      <c r="AF12" s="17" t="str">
        <f>IF('Profit and Loss Statement'!AF12="","",'Profit and Loss Statement'!AF12)</f>
        <v>Crores</v>
      </c>
      <c r="AG12" s="17" t="str">
        <f>IF('Profit and Loss Statement'!AG12="","",'Profit and Loss Statement'!AG12)</f>
        <v>Crores</v>
      </c>
      <c r="AH12" s="17" t="str">
        <f>IF('Profit and Loss Statement'!AH12="","",'Profit and Loss Statement'!AH12)</f>
        <v>Crores</v>
      </c>
      <c r="AI12" s="17" t="str">
        <f>IF('Profit and Loss Statement'!AI12="","",'Profit and Loss Statement'!AI12)</f>
        <v>Crores</v>
      </c>
    </row>
    <row r="13" spans="1:35" s="14" customFormat="1">
      <c r="A13"/>
      <c r="B13"/>
      <c r="C13"/>
      <c r="D13"/>
      <c r="E13" s="1" t="s">
        <v>15</v>
      </c>
      <c r="F13" t="str">
        <f>IF('Profit and Loss Statement'!F13="","",'Profit and Loss Statement'!F13)</f>
        <v/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14" customFormat="1">
      <c r="A14"/>
      <c r="B14"/>
      <c r="C14"/>
      <c r="D14"/>
      <c r="E14" s="1" t="s">
        <v>16</v>
      </c>
      <c r="F14" t="str">
        <f>IF('Profit and Loss Statement'!F14="","",'Profit and Loss Statement'!F14)</f>
        <v/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14" customFormat="1">
      <c r="A15"/>
      <c r="B15"/>
      <c r="C15"/>
      <c r="D15"/>
      <c r="E15" s="1" t="s">
        <v>17</v>
      </c>
      <c r="F15" t="str">
        <f>IF('Profit and Loss Statement'!F15="","",'Profit and Loss Statement'!F15)</f>
        <v/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s="14" customFormat="1">
      <c r="A16"/>
      <c r="B16"/>
      <c r="C16"/>
      <c r="D16"/>
      <c r="E16" s="40" t="s">
        <v>18</v>
      </c>
      <c r="F16" t="str">
        <f>IF('Profit and Loss Statement'!F16="","",'Profit and Loss Statement'!F16)</f>
        <v/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>
      <c r="F17" s="2">
        <v>1</v>
      </c>
      <c r="G17" s="2">
        <v>2</v>
      </c>
      <c r="H17" s="2">
        <v>3</v>
      </c>
      <c r="I17" s="2">
        <v>4</v>
      </c>
      <c r="J17" s="2">
        <v>5</v>
      </c>
      <c r="K17" s="2">
        <v>6</v>
      </c>
      <c r="L17" s="2">
        <v>7</v>
      </c>
      <c r="M17" s="2">
        <v>8</v>
      </c>
      <c r="N17" s="2">
        <v>9</v>
      </c>
      <c r="O17" s="2">
        <v>10</v>
      </c>
      <c r="P17" s="2">
        <v>11</v>
      </c>
      <c r="Q17" s="2">
        <v>12</v>
      </c>
      <c r="R17" s="2">
        <v>13</v>
      </c>
      <c r="S17" s="2">
        <v>14</v>
      </c>
      <c r="T17" s="2">
        <v>15</v>
      </c>
      <c r="U17" s="2">
        <v>16</v>
      </c>
      <c r="V17" s="2">
        <v>17</v>
      </c>
      <c r="W17" s="2">
        <v>18</v>
      </c>
      <c r="X17" s="2">
        <v>19</v>
      </c>
      <c r="Y17" s="2">
        <v>20</v>
      </c>
      <c r="Z17" s="2">
        <v>21</v>
      </c>
      <c r="AA17" s="2">
        <v>22</v>
      </c>
      <c r="AB17" s="2">
        <v>23</v>
      </c>
      <c r="AC17" s="2">
        <v>24</v>
      </c>
      <c r="AD17" s="2">
        <v>25</v>
      </c>
      <c r="AE17" s="2">
        <v>26</v>
      </c>
      <c r="AF17" s="2">
        <v>27</v>
      </c>
      <c r="AG17" s="2">
        <v>28</v>
      </c>
      <c r="AH17" s="2">
        <v>29</v>
      </c>
      <c r="AI17" s="2">
        <v>30</v>
      </c>
    </row>
    <row r="18" spans="1:3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3" t="s">
        <v>24</v>
      </c>
      <c r="S18" s="3" t="s">
        <v>24</v>
      </c>
      <c r="T18" s="3" t="s">
        <v>24</v>
      </c>
      <c r="U18" s="3" t="s">
        <v>24</v>
      </c>
      <c r="V18" s="3" t="s">
        <v>24</v>
      </c>
      <c r="W18" s="3" t="s">
        <v>24</v>
      </c>
      <c r="X18" s="3" t="s">
        <v>24</v>
      </c>
      <c r="Y18" s="3" t="s">
        <v>24</v>
      </c>
      <c r="Z18" s="3" t="s">
        <v>24</v>
      </c>
      <c r="AA18" s="3" t="s">
        <v>24</v>
      </c>
      <c r="AB18" s="3" t="s">
        <v>24</v>
      </c>
      <c r="AC18" s="3" t="s">
        <v>24</v>
      </c>
      <c r="AD18" s="3" t="s">
        <v>24</v>
      </c>
      <c r="AE18" s="3" t="s">
        <v>24</v>
      </c>
      <c r="AF18" s="3" t="s">
        <v>24</v>
      </c>
      <c r="AG18" s="3" t="s">
        <v>24</v>
      </c>
      <c r="AH18" s="3" t="s">
        <v>24</v>
      </c>
      <c r="AI18" s="3" t="s">
        <v>24</v>
      </c>
    </row>
    <row r="19" spans="1:35" ht="28">
      <c r="A19" s="2" t="s">
        <v>764</v>
      </c>
      <c r="B19" s="2" t="s">
        <v>25</v>
      </c>
      <c r="C19" s="2" t="s">
        <v>36</v>
      </c>
      <c r="D19" s="2" t="s">
        <v>25</v>
      </c>
      <c r="E19" s="10" t="s">
        <v>92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</row>
    <row r="20" spans="1:35" ht="13">
      <c r="A20" s="2" t="s">
        <v>765</v>
      </c>
      <c r="B20" s="2" t="s">
        <v>764</v>
      </c>
      <c r="C20" s="2" t="s">
        <v>93</v>
      </c>
      <c r="D20" s="2"/>
      <c r="E20" s="43" t="s">
        <v>94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3">
      <c r="A21" s="2" t="s">
        <v>766</v>
      </c>
      <c r="B21" s="2" t="s">
        <v>765</v>
      </c>
      <c r="C21" s="2" t="s">
        <v>95</v>
      </c>
      <c r="D21" s="2"/>
      <c r="E21" s="43" t="s">
        <v>96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3">
      <c r="A22" s="2" t="s">
        <v>767</v>
      </c>
      <c r="B22" s="2" t="s">
        <v>766</v>
      </c>
      <c r="C22" s="2" t="s">
        <v>97</v>
      </c>
      <c r="D22" s="2" t="s">
        <v>356</v>
      </c>
      <c r="E22" s="43" t="s">
        <v>355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3">
      <c r="A23" s="2" t="s">
        <v>768</v>
      </c>
      <c r="B23" s="2" t="s">
        <v>767</v>
      </c>
      <c r="C23" s="2" t="s">
        <v>357</v>
      </c>
      <c r="D23" s="2" t="s">
        <v>238</v>
      </c>
      <c r="E23" s="43" t="s">
        <v>358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37"/>
    </row>
    <row r="24" spans="1:35" ht="13">
      <c r="A24" s="2" t="s">
        <v>769</v>
      </c>
      <c r="B24" s="2" t="s">
        <v>767</v>
      </c>
      <c r="C24" s="2" t="s">
        <v>359</v>
      </c>
      <c r="D24" s="2" t="s">
        <v>244</v>
      </c>
      <c r="E24" s="43" t="s">
        <v>360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37"/>
    </row>
    <row r="25" spans="1:35" ht="13">
      <c r="A25" s="2" t="s">
        <v>770</v>
      </c>
      <c r="B25" s="2" t="s">
        <v>767</v>
      </c>
      <c r="C25" s="2" t="s">
        <v>361</v>
      </c>
      <c r="D25" s="2" t="s">
        <v>25</v>
      </c>
      <c r="E25" s="43" t="s">
        <v>362</v>
      </c>
      <c r="F25" s="20">
        <f t="shared" ref="F25:AI25" si="0">ROUND(F23+F24,2)</f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 t="shared" si="0"/>
        <v>0</v>
      </c>
      <c r="AI25" s="20">
        <f t="shared" si="0"/>
        <v>0</v>
      </c>
    </row>
    <row r="26" spans="1:35" ht="26">
      <c r="A26" s="2" t="s">
        <v>771</v>
      </c>
      <c r="B26" s="2" t="s">
        <v>766</v>
      </c>
      <c r="C26" s="2" t="s">
        <v>98</v>
      </c>
      <c r="D26" s="2" t="s">
        <v>363</v>
      </c>
      <c r="E26" s="44" t="s">
        <v>364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37"/>
    </row>
    <row r="27" spans="1:35" ht="13">
      <c r="A27" s="2" t="s">
        <v>772</v>
      </c>
      <c r="B27" s="2" t="s">
        <v>766</v>
      </c>
      <c r="C27" s="2" t="s">
        <v>365</v>
      </c>
      <c r="D27" s="2" t="s">
        <v>244</v>
      </c>
      <c r="E27" s="44" t="s">
        <v>366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37"/>
    </row>
    <row r="28" spans="1:35" ht="13">
      <c r="A28" s="2" t="s">
        <v>773</v>
      </c>
      <c r="B28" s="2" t="s">
        <v>766</v>
      </c>
      <c r="C28" s="2" t="s">
        <v>367</v>
      </c>
      <c r="D28" s="2" t="s">
        <v>39</v>
      </c>
      <c r="E28" s="43" t="s">
        <v>368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37"/>
    </row>
    <row r="29" spans="1:35" ht="13">
      <c r="A29" s="2" t="s">
        <v>774</v>
      </c>
      <c r="B29" s="2" t="s">
        <v>766</v>
      </c>
      <c r="C29" s="2" t="s">
        <v>369</v>
      </c>
      <c r="D29" s="2" t="s">
        <v>42</v>
      </c>
      <c r="E29" s="43" t="s">
        <v>370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37"/>
    </row>
    <row r="30" spans="1:35" ht="13">
      <c r="A30" s="2" t="s">
        <v>775</v>
      </c>
      <c r="B30" s="2" t="s">
        <v>766</v>
      </c>
      <c r="C30" s="2" t="s">
        <v>371</v>
      </c>
      <c r="D30" s="2" t="s">
        <v>45</v>
      </c>
      <c r="E30" s="43" t="s">
        <v>372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37"/>
    </row>
    <row r="31" spans="1:35" ht="13">
      <c r="A31" s="2" t="s">
        <v>776</v>
      </c>
      <c r="B31" s="2" t="s">
        <v>766</v>
      </c>
      <c r="C31" s="2" t="s">
        <v>373</v>
      </c>
      <c r="D31" s="2" t="s">
        <v>52</v>
      </c>
      <c r="E31" s="43" t="s">
        <v>374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37"/>
    </row>
    <row r="32" spans="1:35" ht="13">
      <c r="A32" s="2" t="s">
        <v>777</v>
      </c>
      <c r="B32" s="2" t="s">
        <v>766</v>
      </c>
      <c r="C32" s="2" t="s">
        <v>375</v>
      </c>
      <c r="D32" s="2" t="s">
        <v>58</v>
      </c>
      <c r="E32" s="44" t="s">
        <v>376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37"/>
    </row>
    <row r="33" spans="1:35" ht="13">
      <c r="A33" s="2" t="s">
        <v>778</v>
      </c>
      <c r="B33" s="2" t="s">
        <v>766</v>
      </c>
      <c r="C33" s="2" t="s">
        <v>377</v>
      </c>
      <c r="D33" s="2" t="s">
        <v>60</v>
      </c>
      <c r="E33" s="44" t="s">
        <v>378</v>
      </c>
      <c r="F33" s="20">
        <f>SUM(F$34:F$38)</f>
        <v>0</v>
      </c>
      <c r="G33" s="20">
        <f>SUM(G$34:G$38)</f>
        <v>0</v>
      </c>
      <c r="H33" s="20">
        <f t="shared" ref="H33:AI33" si="1">SUM(H$34:H$38)</f>
        <v>0</v>
      </c>
      <c r="I33" s="20">
        <f t="shared" si="1"/>
        <v>0</v>
      </c>
      <c r="J33" s="20">
        <f t="shared" si="1"/>
        <v>0</v>
      </c>
      <c r="K33" s="20">
        <f t="shared" si="1"/>
        <v>0</v>
      </c>
      <c r="L33" s="20">
        <f t="shared" si="1"/>
        <v>0</v>
      </c>
      <c r="M33" s="20">
        <f t="shared" si="1"/>
        <v>0</v>
      </c>
      <c r="N33" s="20">
        <f t="shared" si="1"/>
        <v>0</v>
      </c>
      <c r="O33" s="20">
        <f t="shared" si="1"/>
        <v>0</v>
      </c>
      <c r="P33" s="20">
        <f t="shared" si="1"/>
        <v>0</v>
      </c>
      <c r="Q33" s="20">
        <f t="shared" si="1"/>
        <v>0</v>
      </c>
      <c r="R33" s="20">
        <f t="shared" si="1"/>
        <v>0</v>
      </c>
      <c r="S33" s="20">
        <f t="shared" si="1"/>
        <v>0</v>
      </c>
      <c r="T33" s="20">
        <f t="shared" si="1"/>
        <v>0</v>
      </c>
      <c r="U33" s="20">
        <f t="shared" si="1"/>
        <v>0</v>
      </c>
      <c r="V33" s="20">
        <f t="shared" si="1"/>
        <v>0</v>
      </c>
      <c r="W33" s="20">
        <f t="shared" si="1"/>
        <v>0</v>
      </c>
      <c r="X33" s="20">
        <f t="shared" si="1"/>
        <v>0</v>
      </c>
      <c r="Y33" s="20">
        <f t="shared" si="1"/>
        <v>0</v>
      </c>
      <c r="Z33" s="20">
        <f t="shared" si="1"/>
        <v>0</v>
      </c>
      <c r="AA33" s="20">
        <f t="shared" si="1"/>
        <v>0</v>
      </c>
      <c r="AB33" s="20">
        <f t="shared" si="1"/>
        <v>0</v>
      </c>
      <c r="AC33" s="20">
        <f t="shared" si="1"/>
        <v>0</v>
      </c>
      <c r="AD33" s="20">
        <f t="shared" si="1"/>
        <v>0</v>
      </c>
      <c r="AE33" s="20">
        <f t="shared" si="1"/>
        <v>0</v>
      </c>
      <c r="AF33" s="20">
        <f t="shared" si="1"/>
        <v>0</v>
      </c>
      <c r="AG33" s="20">
        <f t="shared" si="1"/>
        <v>0</v>
      </c>
      <c r="AH33" s="20">
        <f t="shared" si="1"/>
        <v>0</v>
      </c>
      <c r="AI33" s="20">
        <f t="shared" si="1"/>
        <v>0</v>
      </c>
    </row>
    <row r="34" spans="1:35" ht="13">
      <c r="A34" s="2" t="s">
        <v>779</v>
      </c>
      <c r="B34" s="2" t="s">
        <v>778</v>
      </c>
      <c r="C34" s="2" t="s">
        <v>379</v>
      </c>
      <c r="D34" s="2" t="s">
        <v>240</v>
      </c>
      <c r="E34" s="43" t="s">
        <v>380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37"/>
    </row>
    <row r="35" spans="1:35" ht="13">
      <c r="A35" s="2" t="s">
        <v>780</v>
      </c>
      <c r="B35" s="2" t="s">
        <v>778</v>
      </c>
      <c r="C35" s="2" t="s">
        <v>381</v>
      </c>
      <c r="D35" s="2" t="s">
        <v>242</v>
      </c>
      <c r="E35" s="43" t="s">
        <v>382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37"/>
    </row>
    <row r="36" spans="1:35" ht="13">
      <c r="A36" s="2" t="s">
        <v>781</v>
      </c>
      <c r="B36" s="2" t="s">
        <v>778</v>
      </c>
      <c r="C36" s="2" t="s">
        <v>383</v>
      </c>
      <c r="D36" s="2" t="s">
        <v>256</v>
      </c>
      <c r="E36" s="43" t="s">
        <v>384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37"/>
    </row>
    <row r="37" spans="1:35" ht="13">
      <c r="A37" s="2" t="s">
        <v>782</v>
      </c>
      <c r="B37" s="2" t="s">
        <v>778</v>
      </c>
      <c r="C37" s="2" t="s">
        <v>385</v>
      </c>
      <c r="D37" s="2" t="s">
        <v>273</v>
      </c>
      <c r="E37" s="43" t="s">
        <v>386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37"/>
    </row>
    <row r="38" spans="1:35" ht="13">
      <c r="A38" s="2" t="s">
        <v>783</v>
      </c>
      <c r="B38" s="2" t="s">
        <v>778</v>
      </c>
      <c r="C38" s="2" t="s">
        <v>387</v>
      </c>
      <c r="D38" s="2" t="s">
        <v>275</v>
      </c>
      <c r="E38" s="43" t="s">
        <v>120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37"/>
    </row>
    <row r="39" spans="1:35" ht="13">
      <c r="A39" s="2" t="s">
        <v>784</v>
      </c>
      <c r="B39" s="2" t="s">
        <v>766</v>
      </c>
      <c r="C39" s="2" t="s">
        <v>388</v>
      </c>
      <c r="D39" s="2" t="s">
        <v>62</v>
      </c>
      <c r="E39" s="44" t="s">
        <v>389</v>
      </c>
      <c r="F39" s="20">
        <f>ROUND(SUM(F$40:F$45),2)</f>
        <v>0</v>
      </c>
      <c r="G39" s="20">
        <f>ROUND(SUM(G$40:G$45),2)</f>
        <v>0</v>
      </c>
      <c r="H39" s="20">
        <f t="shared" ref="H39:AI39" si="2">ROUND(SUM(H$40:H$45),2)</f>
        <v>0</v>
      </c>
      <c r="I39" s="20">
        <f t="shared" si="2"/>
        <v>0</v>
      </c>
      <c r="J39" s="20">
        <f t="shared" si="2"/>
        <v>0</v>
      </c>
      <c r="K39" s="20">
        <f t="shared" si="2"/>
        <v>0</v>
      </c>
      <c r="L39" s="20">
        <f t="shared" si="2"/>
        <v>0</v>
      </c>
      <c r="M39" s="20">
        <f t="shared" si="2"/>
        <v>0</v>
      </c>
      <c r="N39" s="20">
        <f t="shared" si="2"/>
        <v>0</v>
      </c>
      <c r="O39" s="20">
        <f t="shared" si="2"/>
        <v>0</v>
      </c>
      <c r="P39" s="20">
        <f t="shared" si="2"/>
        <v>0</v>
      </c>
      <c r="Q39" s="20">
        <f t="shared" si="2"/>
        <v>0</v>
      </c>
      <c r="R39" s="20">
        <f t="shared" si="2"/>
        <v>0</v>
      </c>
      <c r="S39" s="20">
        <f t="shared" si="2"/>
        <v>0</v>
      </c>
      <c r="T39" s="20">
        <f t="shared" si="2"/>
        <v>0</v>
      </c>
      <c r="U39" s="20">
        <f t="shared" si="2"/>
        <v>0</v>
      </c>
      <c r="V39" s="20">
        <f t="shared" si="2"/>
        <v>0</v>
      </c>
      <c r="W39" s="20">
        <f t="shared" si="2"/>
        <v>0</v>
      </c>
      <c r="X39" s="20">
        <f t="shared" si="2"/>
        <v>0</v>
      </c>
      <c r="Y39" s="20">
        <f t="shared" si="2"/>
        <v>0</v>
      </c>
      <c r="Z39" s="20">
        <f t="shared" si="2"/>
        <v>0</v>
      </c>
      <c r="AA39" s="20">
        <f t="shared" si="2"/>
        <v>0</v>
      </c>
      <c r="AB39" s="20">
        <f t="shared" si="2"/>
        <v>0</v>
      </c>
      <c r="AC39" s="20">
        <f t="shared" si="2"/>
        <v>0</v>
      </c>
      <c r="AD39" s="20">
        <f t="shared" si="2"/>
        <v>0</v>
      </c>
      <c r="AE39" s="20">
        <f t="shared" si="2"/>
        <v>0</v>
      </c>
      <c r="AF39" s="20">
        <f t="shared" si="2"/>
        <v>0</v>
      </c>
      <c r="AG39" s="20">
        <f t="shared" si="2"/>
        <v>0</v>
      </c>
      <c r="AH39" s="20">
        <f t="shared" si="2"/>
        <v>0</v>
      </c>
      <c r="AI39" s="20">
        <f t="shared" si="2"/>
        <v>0</v>
      </c>
    </row>
    <row r="40" spans="1:35" ht="13">
      <c r="A40" s="2" t="s">
        <v>785</v>
      </c>
      <c r="B40" s="2" t="s">
        <v>784</v>
      </c>
      <c r="C40" s="2" t="s">
        <v>390</v>
      </c>
      <c r="D40" s="2" t="s">
        <v>240</v>
      </c>
      <c r="E40" s="43" t="s">
        <v>101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37"/>
    </row>
    <row r="41" spans="1:35" ht="13">
      <c r="A41" s="2" t="s">
        <v>786</v>
      </c>
      <c r="B41" s="2" t="s">
        <v>784</v>
      </c>
      <c r="C41" s="2" t="s">
        <v>391</v>
      </c>
      <c r="D41" s="2" t="s">
        <v>242</v>
      </c>
      <c r="E41" s="43" t="s">
        <v>392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37"/>
    </row>
    <row r="42" spans="1:35" ht="13">
      <c r="A42" s="2" t="s">
        <v>787</v>
      </c>
      <c r="B42" s="2" t="s">
        <v>784</v>
      </c>
      <c r="C42" s="2" t="s">
        <v>393</v>
      </c>
      <c r="D42" s="2" t="s">
        <v>256</v>
      </c>
      <c r="E42" s="43" t="s">
        <v>336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37"/>
    </row>
    <row r="43" spans="1:35" ht="13">
      <c r="A43" s="2" t="s">
        <v>788</v>
      </c>
      <c r="B43" s="2" t="s">
        <v>784</v>
      </c>
      <c r="C43" s="2" t="s">
        <v>394</v>
      </c>
      <c r="D43" s="2" t="s">
        <v>273</v>
      </c>
      <c r="E43" s="43" t="s">
        <v>395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37"/>
    </row>
    <row r="44" spans="1:35" ht="13">
      <c r="A44" s="2" t="s">
        <v>789</v>
      </c>
      <c r="B44" s="2" t="s">
        <v>784</v>
      </c>
      <c r="C44" s="2" t="s">
        <v>396</v>
      </c>
      <c r="D44" s="2" t="s">
        <v>275</v>
      </c>
      <c r="E44" s="43" t="s">
        <v>397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37"/>
    </row>
    <row r="45" spans="1:35" ht="13">
      <c r="A45" s="2" t="s">
        <v>790</v>
      </c>
      <c r="B45" s="2" t="s">
        <v>784</v>
      </c>
      <c r="C45" s="2" t="s">
        <v>398</v>
      </c>
      <c r="D45" s="2" t="s">
        <v>278</v>
      </c>
      <c r="E45" s="43" t="s">
        <v>313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37"/>
    </row>
    <row r="46" spans="1:35" ht="13">
      <c r="A46" s="2" t="s">
        <v>791</v>
      </c>
      <c r="B46" s="2" t="s">
        <v>784</v>
      </c>
      <c r="C46" s="2" t="s">
        <v>399</v>
      </c>
      <c r="D46" s="2" t="s">
        <v>25</v>
      </c>
      <c r="E46" s="43" t="s">
        <v>400</v>
      </c>
      <c r="F46" s="20">
        <f>SUM(F$26:F$33)+F39</f>
        <v>0</v>
      </c>
      <c r="G46" s="20">
        <f>SUM(G$26:G$33)+G39</f>
        <v>0</v>
      </c>
      <c r="H46" s="20">
        <f t="shared" ref="H46:AI46" si="3">SUM(H$26:H$33)+H39</f>
        <v>0</v>
      </c>
      <c r="I46" s="20">
        <f t="shared" si="3"/>
        <v>0</v>
      </c>
      <c r="J46" s="20">
        <f t="shared" si="3"/>
        <v>0</v>
      </c>
      <c r="K46" s="20">
        <f t="shared" si="3"/>
        <v>0</v>
      </c>
      <c r="L46" s="20">
        <f t="shared" si="3"/>
        <v>0</v>
      </c>
      <c r="M46" s="20">
        <f t="shared" si="3"/>
        <v>0</v>
      </c>
      <c r="N46" s="20">
        <f t="shared" si="3"/>
        <v>0</v>
      </c>
      <c r="O46" s="20">
        <f t="shared" si="3"/>
        <v>0</v>
      </c>
      <c r="P46" s="20">
        <f t="shared" si="3"/>
        <v>0</v>
      </c>
      <c r="Q46" s="20">
        <f t="shared" si="3"/>
        <v>0</v>
      </c>
      <c r="R46" s="20">
        <f t="shared" si="3"/>
        <v>0</v>
      </c>
      <c r="S46" s="20">
        <f t="shared" si="3"/>
        <v>0</v>
      </c>
      <c r="T46" s="20">
        <f t="shared" si="3"/>
        <v>0</v>
      </c>
      <c r="U46" s="20">
        <f t="shared" si="3"/>
        <v>0</v>
      </c>
      <c r="V46" s="20">
        <f t="shared" si="3"/>
        <v>0</v>
      </c>
      <c r="W46" s="20">
        <f t="shared" si="3"/>
        <v>0</v>
      </c>
      <c r="X46" s="20">
        <f t="shared" si="3"/>
        <v>0</v>
      </c>
      <c r="Y46" s="20">
        <f t="shared" si="3"/>
        <v>0</v>
      </c>
      <c r="Z46" s="20">
        <f t="shared" si="3"/>
        <v>0</v>
      </c>
      <c r="AA46" s="20">
        <f t="shared" si="3"/>
        <v>0</v>
      </c>
      <c r="AB46" s="20">
        <f t="shared" si="3"/>
        <v>0</v>
      </c>
      <c r="AC46" s="20">
        <f t="shared" si="3"/>
        <v>0</v>
      </c>
      <c r="AD46" s="20">
        <f t="shared" si="3"/>
        <v>0</v>
      </c>
      <c r="AE46" s="20">
        <f t="shared" si="3"/>
        <v>0</v>
      </c>
      <c r="AF46" s="20">
        <f t="shared" si="3"/>
        <v>0</v>
      </c>
      <c r="AG46" s="20">
        <f t="shared" si="3"/>
        <v>0</v>
      </c>
      <c r="AH46" s="20">
        <f t="shared" si="3"/>
        <v>0</v>
      </c>
      <c r="AI46" s="20">
        <f t="shared" si="3"/>
        <v>0</v>
      </c>
    </row>
    <row r="47" spans="1:35" ht="13">
      <c r="A47" s="2" t="s">
        <v>792</v>
      </c>
      <c r="B47" s="2" t="s">
        <v>766</v>
      </c>
      <c r="C47" s="2" t="s">
        <v>401</v>
      </c>
      <c r="D47" s="2" t="s">
        <v>64</v>
      </c>
      <c r="E47" s="44" t="s">
        <v>402</v>
      </c>
      <c r="F47" s="20">
        <f t="shared" ref="F47" si="4">ROUND(F25+F46,2)</f>
        <v>0</v>
      </c>
      <c r="G47" s="20">
        <f t="shared" ref="G47" si="5">ROUND(G25+G46,2)</f>
        <v>0</v>
      </c>
      <c r="H47" s="20">
        <f t="shared" ref="H47:AI47" si="6">ROUND(H25+H46,2)</f>
        <v>0</v>
      </c>
      <c r="I47" s="20">
        <f t="shared" si="6"/>
        <v>0</v>
      </c>
      <c r="J47" s="20">
        <f t="shared" si="6"/>
        <v>0</v>
      </c>
      <c r="K47" s="20">
        <f t="shared" si="6"/>
        <v>0</v>
      </c>
      <c r="L47" s="20">
        <f t="shared" si="6"/>
        <v>0</v>
      </c>
      <c r="M47" s="20">
        <f t="shared" si="6"/>
        <v>0</v>
      </c>
      <c r="N47" s="20">
        <f t="shared" si="6"/>
        <v>0</v>
      </c>
      <c r="O47" s="20">
        <f t="shared" si="6"/>
        <v>0</v>
      </c>
      <c r="P47" s="20">
        <f t="shared" si="6"/>
        <v>0</v>
      </c>
      <c r="Q47" s="20">
        <f t="shared" si="6"/>
        <v>0</v>
      </c>
      <c r="R47" s="20">
        <f t="shared" si="6"/>
        <v>0</v>
      </c>
      <c r="S47" s="20">
        <f t="shared" si="6"/>
        <v>0</v>
      </c>
      <c r="T47" s="20">
        <f t="shared" si="6"/>
        <v>0</v>
      </c>
      <c r="U47" s="20">
        <f t="shared" si="6"/>
        <v>0</v>
      </c>
      <c r="V47" s="20">
        <f t="shared" si="6"/>
        <v>0</v>
      </c>
      <c r="W47" s="20">
        <f t="shared" si="6"/>
        <v>0</v>
      </c>
      <c r="X47" s="20">
        <f t="shared" si="6"/>
        <v>0</v>
      </c>
      <c r="Y47" s="20">
        <f t="shared" si="6"/>
        <v>0</v>
      </c>
      <c r="Z47" s="20">
        <f t="shared" si="6"/>
        <v>0</v>
      </c>
      <c r="AA47" s="20">
        <f t="shared" si="6"/>
        <v>0</v>
      </c>
      <c r="AB47" s="20">
        <f t="shared" si="6"/>
        <v>0</v>
      </c>
      <c r="AC47" s="20">
        <f t="shared" si="6"/>
        <v>0</v>
      </c>
      <c r="AD47" s="20">
        <f t="shared" si="6"/>
        <v>0</v>
      </c>
      <c r="AE47" s="20">
        <f t="shared" si="6"/>
        <v>0</v>
      </c>
      <c r="AF47" s="20">
        <f t="shared" si="6"/>
        <v>0</v>
      </c>
      <c r="AG47" s="20">
        <f t="shared" si="6"/>
        <v>0</v>
      </c>
      <c r="AH47" s="20">
        <f t="shared" si="6"/>
        <v>0</v>
      </c>
      <c r="AI47" s="20">
        <f t="shared" si="6"/>
        <v>0</v>
      </c>
    </row>
    <row r="48" spans="1:35" ht="13">
      <c r="A48" s="2" t="s">
        <v>793</v>
      </c>
      <c r="B48" s="2" t="s">
        <v>766</v>
      </c>
      <c r="C48" s="2" t="s">
        <v>403</v>
      </c>
      <c r="D48" s="2" t="s">
        <v>25</v>
      </c>
      <c r="E48" s="44" t="s">
        <v>35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3">
      <c r="A49" s="2" t="s">
        <v>794</v>
      </c>
      <c r="B49" s="2" t="s">
        <v>765</v>
      </c>
      <c r="C49" s="2" t="s">
        <v>99</v>
      </c>
      <c r="D49" s="2"/>
      <c r="E49" s="43" t="s">
        <v>106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ht="26">
      <c r="A50" s="2" t="s">
        <v>795</v>
      </c>
      <c r="B50" s="2" t="s">
        <v>794</v>
      </c>
      <c r="C50" s="2" t="s">
        <v>131</v>
      </c>
      <c r="D50" s="2" t="s">
        <v>66</v>
      </c>
      <c r="E50" s="44" t="s">
        <v>404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38"/>
    </row>
    <row r="51" spans="1:35" ht="13">
      <c r="A51" s="2" t="s">
        <v>796</v>
      </c>
      <c r="B51" s="2" t="s">
        <v>794</v>
      </c>
      <c r="C51" s="2" t="s">
        <v>133</v>
      </c>
      <c r="D51" s="2" t="s">
        <v>68</v>
      </c>
      <c r="E51" s="43" t="s">
        <v>405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38"/>
    </row>
    <row r="52" spans="1:35" ht="26">
      <c r="A52" s="2" t="s">
        <v>797</v>
      </c>
      <c r="B52" s="2" t="s">
        <v>794</v>
      </c>
      <c r="C52" s="2" t="s">
        <v>134</v>
      </c>
      <c r="D52" s="2" t="s">
        <v>406</v>
      </c>
      <c r="E52" s="44" t="s">
        <v>407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38"/>
    </row>
    <row r="53" spans="1:35" ht="26">
      <c r="A53" s="2" t="s">
        <v>798</v>
      </c>
      <c r="B53" s="2" t="s">
        <v>794</v>
      </c>
      <c r="C53" s="2" t="s">
        <v>408</v>
      </c>
      <c r="D53" s="2" t="s">
        <v>409</v>
      </c>
      <c r="E53" s="44" t="s">
        <v>410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38"/>
    </row>
    <row r="54" spans="1:35" ht="26">
      <c r="A54" s="2" t="s">
        <v>799</v>
      </c>
      <c r="B54" s="2" t="s">
        <v>794</v>
      </c>
      <c r="C54" s="2" t="s">
        <v>411</v>
      </c>
      <c r="D54" s="2" t="s">
        <v>73</v>
      </c>
      <c r="E54" s="44" t="s">
        <v>412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38"/>
    </row>
    <row r="55" spans="1:35" ht="13">
      <c r="A55" s="2" t="s">
        <v>800</v>
      </c>
      <c r="B55" s="2" t="s">
        <v>794</v>
      </c>
      <c r="C55" s="2" t="s">
        <v>413</v>
      </c>
      <c r="D55" s="2" t="s">
        <v>75</v>
      </c>
      <c r="E55" s="44" t="s">
        <v>414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38"/>
    </row>
    <row r="56" spans="1:35" ht="26">
      <c r="A56" s="2" t="s">
        <v>801</v>
      </c>
      <c r="B56" s="2" t="s">
        <v>794</v>
      </c>
      <c r="C56" s="2" t="s">
        <v>415</v>
      </c>
      <c r="D56" s="2" t="s">
        <v>77</v>
      </c>
      <c r="E56" s="44" t="s">
        <v>416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38"/>
    </row>
    <row r="57" spans="1:35" ht="13">
      <c r="A57" s="2" t="s">
        <v>802</v>
      </c>
      <c r="B57" s="2" t="s">
        <v>794</v>
      </c>
      <c r="C57" s="2" t="s">
        <v>417</v>
      </c>
      <c r="D57" s="2" t="s">
        <v>79</v>
      </c>
      <c r="E57" s="44" t="s">
        <v>418</v>
      </c>
      <c r="F57" s="20">
        <f>ROUND(SUM(F50:F56),2)</f>
        <v>0</v>
      </c>
      <c r="G57" s="20">
        <f>ROUND(SUM(G50:G56),2)</f>
        <v>0</v>
      </c>
      <c r="H57" s="20">
        <f t="shared" ref="H57:AI57" si="7">ROUND(SUM(H50:H56),2)</f>
        <v>0</v>
      </c>
      <c r="I57" s="20">
        <f t="shared" si="7"/>
        <v>0</v>
      </c>
      <c r="J57" s="20">
        <f t="shared" si="7"/>
        <v>0</v>
      </c>
      <c r="K57" s="20">
        <f t="shared" si="7"/>
        <v>0</v>
      </c>
      <c r="L57" s="20">
        <f t="shared" si="7"/>
        <v>0</v>
      </c>
      <c r="M57" s="20">
        <f t="shared" si="7"/>
        <v>0</v>
      </c>
      <c r="N57" s="20">
        <f t="shared" si="7"/>
        <v>0</v>
      </c>
      <c r="O57" s="20">
        <f t="shared" si="7"/>
        <v>0</v>
      </c>
      <c r="P57" s="20">
        <f t="shared" si="7"/>
        <v>0</v>
      </c>
      <c r="Q57" s="20">
        <f t="shared" si="7"/>
        <v>0</v>
      </c>
      <c r="R57" s="20">
        <f t="shared" si="7"/>
        <v>0</v>
      </c>
      <c r="S57" s="20">
        <f t="shared" si="7"/>
        <v>0</v>
      </c>
      <c r="T57" s="20">
        <f t="shared" si="7"/>
        <v>0</v>
      </c>
      <c r="U57" s="20">
        <f t="shared" si="7"/>
        <v>0</v>
      </c>
      <c r="V57" s="20">
        <f t="shared" si="7"/>
        <v>0</v>
      </c>
      <c r="W57" s="20">
        <f t="shared" si="7"/>
        <v>0</v>
      </c>
      <c r="X57" s="20">
        <f t="shared" si="7"/>
        <v>0</v>
      </c>
      <c r="Y57" s="20">
        <f t="shared" si="7"/>
        <v>0</v>
      </c>
      <c r="Z57" s="20">
        <f t="shared" si="7"/>
        <v>0</v>
      </c>
      <c r="AA57" s="20">
        <f t="shared" si="7"/>
        <v>0</v>
      </c>
      <c r="AB57" s="20">
        <f t="shared" si="7"/>
        <v>0</v>
      </c>
      <c r="AC57" s="20">
        <f t="shared" si="7"/>
        <v>0</v>
      </c>
      <c r="AD57" s="20">
        <f t="shared" si="7"/>
        <v>0</v>
      </c>
      <c r="AE57" s="20">
        <f t="shared" si="7"/>
        <v>0</v>
      </c>
      <c r="AF57" s="20">
        <f t="shared" si="7"/>
        <v>0</v>
      </c>
      <c r="AG57" s="20">
        <f t="shared" si="7"/>
        <v>0</v>
      </c>
      <c r="AH57" s="20">
        <f t="shared" si="7"/>
        <v>0</v>
      </c>
      <c r="AI57" s="20">
        <f t="shared" si="7"/>
        <v>0</v>
      </c>
    </row>
    <row r="58" spans="1:35" ht="13">
      <c r="A58" s="2" t="s">
        <v>803</v>
      </c>
      <c r="B58" s="2" t="s">
        <v>794</v>
      </c>
      <c r="C58" s="2" t="s">
        <v>419</v>
      </c>
      <c r="D58" s="2" t="s">
        <v>80</v>
      </c>
      <c r="E58" s="44" t="s">
        <v>420</v>
      </c>
      <c r="F58" s="20">
        <f t="shared" ref="F58" si="8">ROUND(F47+F57,2)</f>
        <v>0</v>
      </c>
      <c r="G58" s="20">
        <f t="shared" ref="G58" si="9">ROUND(G47+G57,2)</f>
        <v>0</v>
      </c>
      <c r="H58" s="20">
        <f t="shared" ref="H58:AI58" si="10">ROUND(H47+H57,2)</f>
        <v>0</v>
      </c>
      <c r="I58" s="20">
        <f t="shared" si="10"/>
        <v>0</v>
      </c>
      <c r="J58" s="20">
        <f t="shared" si="10"/>
        <v>0</v>
      </c>
      <c r="K58" s="20">
        <f t="shared" si="10"/>
        <v>0</v>
      </c>
      <c r="L58" s="20">
        <f t="shared" si="10"/>
        <v>0</v>
      </c>
      <c r="M58" s="20">
        <f t="shared" si="10"/>
        <v>0</v>
      </c>
      <c r="N58" s="20">
        <f t="shared" si="10"/>
        <v>0</v>
      </c>
      <c r="O58" s="20">
        <f t="shared" si="10"/>
        <v>0</v>
      </c>
      <c r="P58" s="20">
        <f t="shared" si="10"/>
        <v>0</v>
      </c>
      <c r="Q58" s="20">
        <f t="shared" si="10"/>
        <v>0</v>
      </c>
      <c r="R58" s="20">
        <f t="shared" si="10"/>
        <v>0</v>
      </c>
      <c r="S58" s="20">
        <f t="shared" si="10"/>
        <v>0</v>
      </c>
      <c r="T58" s="20">
        <f t="shared" si="10"/>
        <v>0</v>
      </c>
      <c r="U58" s="20">
        <f t="shared" si="10"/>
        <v>0</v>
      </c>
      <c r="V58" s="20">
        <f t="shared" si="10"/>
        <v>0</v>
      </c>
      <c r="W58" s="20">
        <f t="shared" si="10"/>
        <v>0</v>
      </c>
      <c r="X58" s="20">
        <f t="shared" si="10"/>
        <v>0</v>
      </c>
      <c r="Y58" s="20">
        <f t="shared" si="10"/>
        <v>0</v>
      </c>
      <c r="Z58" s="20">
        <f t="shared" si="10"/>
        <v>0</v>
      </c>
      <c r="AA58" s="20">
        <f t="shared" si="10"/>
        <v>0</v>
      </c>
      <c r="AB58" s="20">
        <f t="shared" si="10"/>
        <v>0</v>
      </c>
      <c r="AC58" s="20">
        <f t="shared" si="10"/>
        <v>0</v>
      </c>
      <c r="AD58" s="20">
        <f t="shared" si="10"/>
        <v>0</v>
      </c>
      <c r="AE58" s="20">
        <f t="shared" si="10"/>
        <v>0</v>
      </c>
      <c r="AF58" s="20">
        <f t="shared" si="10"/>
        <v>0</v>
      </c>
      <c r="AG58" s="20">
        <f t="shared" si="10"/>
        <v>0</v>
      </c>
      <c r="AH58" s="20">
        <f t="shared" si="10"/>
        <v>0</v>
      </c>
      <c r="AI58" s="20">
        <f t="shared" si="10"/>
        <v>0</v>
      </c>
    </row>
    <row r="59" spans="1:35" ht="13">
      <c r="A59" s="2" t="s">
        <v>804</v>
      </c>
      <c r="B59" s="2" t="s">
        <v>794</v>
      </c>
      <c r="C59" s="2" t="s">
        <v>421</v>
      </c>
      <c r="D59" s="2" t="s">
        <v>25</v>
      </c>
      <c r="E59" s="44" t="s">
        <v>35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31"/>
    </row>
    <row r="60" spans="1:35" ht="13">
      <c r="A60" s="2" t="s">
        <v>805</v>
      </c>
      <c r="B60" s="2" t="s">
        <v>765</v>
      </c>
      <c r="C60" s="2" t="s">
        <v>100</v>
      </c>
      <c r="D60" s="2"/>
      <c r="E60" s="43" t="s">
        <v>115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ht="13">
      <c r="A61" s="2" t="s">
        <v>806</v>
      </c>
      <c r="B61" s="2" t="s">
        <v>805</v>
      </c>
      <c r="C61" s="2" t="s">
        <v>136</v>
      </c>
      <c r="D61" s="2" t="s">
        <v>81</v>
      </c>
      <c r="E61" s="43" t="s">
        <v>422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3">
      <c r="A62" s="2" t="s">
        <v>807</v>
      </c>
      <c r="B62" s="2" t="s">
        <v>805</v>
      </c>
      <c r="C62" s="2" t="s">
        <v>138</v>
      </c>
      <c r="D62" s="2" t="s">
        <v>82</v>
      </c>
      <c r="E62" s="43" t="s">
        <v>118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3">
      <c r="A63" s="2" t="s">
        <v>808</v>
      </c>
      <c r="B63" s="2" t="s">
        <v>805</v>
      </c>
      <c r="C63" s="2" t="s">
        <v>140</v>
      </c>
      <c r="D63" s="2" t="s">
        <v>83</v>
      </c>
      <c r="E63" s="43" t="s">
        <v>423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3">
      <c r="A64" s="2" t="s">
        <v>809</v>
      </c>
      <c r="B64" s="2" t="s">
        <v>805</v>
      </c>
      <c r="C64" s="2" t="s">
        <v>141</v>
      </c>
      <c r="D64" s="2" t="s">
        <v>84</v>
      </c>
      <c r="E64" s="44" t="s">
        <v>424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12"/>
    </row>
    <row r="65" spans="1:35" ht="13">
      <c r="A65" s="2" t="s">
        <v>810</v>
      </c>
      <c r="B65" s="2" t="s">
        <v>805</v>
      </c>
      <c r="C65" s="2" t="s">
        <v>142</v>
      </c>
      <c r="D65" s="2" t="s">
        <v>85</v>
      </c>
      <c r="E65" s="44" t="s">
        <v>425</v>
      </c>
      <c r="F65" s="28"/>
      <c r="G65" s="19">
        <f>F65+'Profit and Loss Statement'!G96</f>
        <v>0</v>
      </c>
      <c r="H65" s="19">
        <f>G65+'Profit and Loss Statement'!H96</f>
        <v>0</v>
      </c>
      <c r="I65" s="19">
        <f>H65+'Profit and Loss Statement'!I96</f>
        <v>0</v>
      </c>
      <c r="J65" s="19">
        <f>I65+'Profit and Loss Statement'!J96</f>
        <v>0</v>
      </c>
      <c r="K65" s="19">
        <f>J65+'Profit and Loss Statement'!K96</f>
        <v>0</v>
      </c>
      <c r="L65" s="19">
        <f>K65+'Profit and Loss Statement'!L96</f>
        <v>0</v>
      </c>
      <c r="M65" s="19">
        <f>L65+'Profit and Loss Statement'!M96</f>
        <v>0</v>
      </c>
      <c r="N65" s="19">
        <f>M65+'Profit and Loss Statement'!N96</f>
        <v>0</v>
      </c>
      <c r="O65" s="19">
        <f>N65+'Profit and Loss Statement'!O96</f>
        <v>0</v>
      </c>
      <c r="P65" s="19">
        <f>O65+'Profit and Loss Statement'!P96</f>
        <v>0</v>
      </c>
      <c r="Q65" s="19">
        <f>P65+'Profit and Loss Statement'!Q96</f>
        <v>0</v>
      </c>
      <c r="R65" s="19">
        <f>Q65+'Profit and Loss Statement'!R96</f>
        <v>0</v>
      </c>
      <c r="S65" s="19">
        <f>R65+'Profit and Loss Statement'!S96</f>
        <v>0</v>
      </c>
      <c r="T65" s="19">
        <f>S65+'Profit and Loss Statement'!T96</f>
        <v>0</v>
      </c>
      <c r="U65" s="19">
        <f>T65+'Profit and Loss Statement'!U96</f>
        <v>0</v>
      </c>
      <c r="V65" s="19">
        <f>U65+'Profit and Loss Statement'!V96</f>
        <v>0</v>
      </c>
      <c r="W65" s="19">
        <f>V65+'Profit and Loss Statement'!W96</f>
        <v>0</v>
      </c>
      <c r="X65" s="19">
        <f>W65+'Profit and Loss Statement'!X96</f>
        <v>0</v>
      </c>
      <c r="Y65" s="19">
        <f>X65+'Profit and Loss Statement'!Y96</f>
        <v>0</v>
      </c>
      <c r="Z65" s="19">
        <f>Y65+'Profit and Loss Statement'!Z96</f>
        <v>0</v>
      </c>
      <c r="AA65" s="19">
        <f>Z65+'Profit and Loss Statement'!AA96</f>
        <v>0</v>
      </c>
      <c r="AB65" s="19">
        <f>AA65+'Profit and Loss Statement'!AB96</f>
        <v>0</v>
      </c>
      <c r="AC65" s="19">
        <f>AB65+'Profit and Loss Statement'!AC96</f>
        <v>0</v>
      </c>
      <c r="AD65" s="19">
        <f>AC65+'Profit and Loss Statement'!AD96</f>
        <v>0</v>
      </c>
      <c r="AE65" s="19">
        <f>AD65+'Profit and Loss Statement'!AE96</f>
        <v>0</v>
      </c>
      <c r="AF65" s="19">
        <f>AE65+'Profit and Loss Statement'!AF96</f>
        <v>0</v>
      </c>
      <c r="AG65" s="19">
        <f>AF65+'Profit and Loss Statement'!AG96</f>
        <v>0</v>
      </c>
      <c r="AH65" s="19">
        <f>AG65+'Profit and Loss Statement'!AH96</f>
        <v>0</v>
      </c>
      <c r="AI65" s="19">
        <f>AH65+'Profit and Loss Statement'!AI96</f>
        <v>0</v>
      </c>
    </row>
    <row r="66" spans="1:35" ht="13">
      <c r="A66" s="2" t="s">
        <v>811</v>
      </c>
      <c r="B66" s="2" t="s">
        <v>805</v>
      </c>
      <c r="C66" s="2" t="s">
        <v>426</v>
      </c>
      <c r="D66" s="2" t="s">
        <v>86</v>
      </c>
      <c r="E66" s="43" t="s">
        <v>120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ht="13">
      <c r="A67" s="2" t="s">
        <v>812</v>
      </c>
      <c r="B67" s="2" t="s">
        <v>811</v>
      </c>
      <c r="C67" s="2" t="s">
        <v>427</v>
      </c>
      <c r="D67" s="2" t="s">
        <v>240</v>
      </c>
      <c r="E67" s="43" t="s">
        <v>119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12"/>
    </row>
    <row r="68" spans="1:35" ht="13">
      <c r="A68" s="2" t="s">
        <v>813</v>
      </c>
      <c r="B68" s="2" t="s">
        <v>811</v>
      </c>
      <c r="C68" s="2" t="s">
        <v>428</v>
      </c>
      <c r="D68" s="2" t="s">
        <v>242</v>
      </c>
      <c r="E68" s="43" t="s">
        <v>429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12"/>
    </row>
    <row r="69" spans="1:35" ht="13">
      <c r="A69" s="2" t="s">
        <v>814</v>
      </c>
      <c r="B69" s="2" t="s">
        <v>811</v>
      </c>
      <c r="C69" s="2" t="s">
        <v>430</v>
      </c>
      <c r="D69" s="2" t="s">
        <v>256</v>
      </c>
      <c r="E69" s="43" t="s">
        <v>431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12"/>
    </row>
    <row r="70" spans="1:35" ht="13">
      <c r="A70" s="2" t="s">
        <v>815</v>
      </c>
      <c r="B70" s="2" t="s">
        <v>811</v>
      </c>
      <c r="C70" s="2" t="s">
        <v>432</v>
      </c>
      <c r="D70" s="2" t="s">
        <v>273</v>
      </c>
      <c r="E70" s="44" t="s">
        <v>433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12"/>
    </row>
    <row r="71" spans="1:35" ht="13">
      <c r="A71" s="2" t="s">
        <v>816</v>
      </c>
      <c r="B71" s="2" t="s">
        <v>811</v>
      </c>
      <c r="C71" s="2" t="s">
        <v>434</v>
      </c>
      <c r="D71" s="2" t="s">
        <v>275</v>
      </c>
      <c r="E71" s="43" t="s">
        <v>435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12"/>
    </row>
    <row r="72" spans="1:35" ht="13">
      <c r="A72" s="2" t="s">
        <v>817</v>
      </c>
      <c r="B72" s="2" t="s">
        <v>811</v>
      </c>
      <c r="C72" s="2" t="s">
        <v>436</v>
      </c>
      <c r="D72" s="2" t="s">
        <v>278</v>
      </c>
      <c r="E72" s="43" t="s">
        <v>437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12"/>
    </row>
    <row r="73" spans="1:35" ht="13">
      <c r="A73" s="2" t="s">
        <v>818</v>
      </c>
      <c r="B73" s="2" t="s">
        <v>811</v>
      </c>
      <c r="C73" s="2" t="s">
        <v>438</v>
      </c>
      <c r="D73" s="2" t="s">
        <v>281</v>
      </c>
      <c r="E73" s="43" t="s">
        <v>120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12"/>
    </row>
    <row r="74" spans="1:35" ht="13">
      <c r="A74" s="2" t="s">
        <v>819</v>
      </c>
      <c r="B74" s="2" t="s">
        <v>805</v>
      </c>
      <c r="C74" s="2" t="s">
        <v>439</v>
      </c>
      <c r="D74" s="2" t="s">
        <v>87</v>
      </c>
      <c r="E74" s="43" t="s">
        <v>115</v>
      </c>
      <c r="F74" s="20">
        <f t="shared" ref="F74:AI74" si="11">SUM(F61:F73)</f>
        <v>0</v>
      </c>
      <c r="G74" s="20">
        <f t="shared" si="11"/>
        <v>0</v>
      </c>
      <c r="H74" s="20">
        <f t="shared" si="11"/>
        <v>0</v>
      </c>
      <c r="I74" s="20">
        <f t="shared" si="11"/>
        <v>0</v>
      </c>
      <c r="J74" s="20">
        <f t="shared" si="11"/>
        <v>0</v>
      </c>
      <c r="K74" s="20">
        <f t="shared" si="11"/>
        <v>0</v>
      </c>
      <c r="L74" s="20">
        <f t="shared" si="11"/>
        <v>0</v>
      </c>
      <c r="M74" s="20">
        <f t="shared" si="11"/>
        <v>0</v>
      </c>
      <c r="N74" s="20">
        <f t="shared" si="11"/>
        <v>0</v>
      </c>
      <c r="O74" s="20">
        <f t="shared" si="11"/>
        <v>0</v>
      </c>
      <c r="P74" s="20">
        <f t="shared" si="11"/>
        <v>0</v>
      </c>
      <c r="Q74" s="20">
        <f t="shared" si="11"/>
        <v>0</v>
      </c>
      <c r="R74" s="20">
        <f t="shared" si="11"/>
        <v>0</v>
      </c>
      <c r="S74" s="20">
        <f t="shared" si="11"/>
        <v>0</v>
      </c>
      <c r="T74" s="20">
        <f t="shared" si="11"/>
        <v>0</v>
      </c>
      <c r="U74" s="20">
        <f t="shared" si="11"/>
        <v>0</v>
      </c>
      <c r="V74" s="20">
        <f t="shared" si="11"/>
        <v>0</v>
      </c>
      <c r="W74" s="20">
        <f t="shared" si="11"/>
        <v>0</v>
      </c>
      <c r="X74" s="20">
        <f t="shared" si="11"/>
        <v>0</v>
      </c>
      <c r="Y74" s="20">
        <f t="shared" si="11"/>
        <v>0</v>
      </c>
      <c r="Z74" s="20">
        <f t="shared" si="11"/>
        <v>0</v>
      </c>
      <c r="AA74" s="20">
        <f t="shared" si="11"/>
        <v>0</v>
      </c>
      <c r="AB74" s="20">
        <f t="shared" si="11"/>
        <v>0</v>
      </c>
      <c r="AC74" s="20">
        <f t="shared" si="11"/>
        <v>0</v>
      </c>
      <c r="AD74" s="20">
        <f t="shared" si="11"/>
        <v>0</v>
      </c>
      <c r="AE74" s="20">
        <f t="shared" si="11"/>
        <v>0</v>
      </c>
      <c r="AF74" s="20">
        <f t="shared" si="11"/>
        <v>0</v>
      </c>
      <c r="AG74" s="20">
        <f t="shared" si="11"/>
        <v>0</v>
      </c>
      <c r="AH74" s="20">
        <f t="shared" si="11"/>
        <v>0</v>
      </c>
      <c r="AI74" s="20">
        <f t="shared" si="11"/>
        <v>0</v>
      </c>
    </row>
    <row r="75" spans="1:35" ht="13">
      <c r="A75" s="2" t="s">
        <v>820</v>
      </c>
      <c r="B75" s="2" t="s">
        <v>805</v>
      </c>
      <c r="C75" s="2" t="s">
        <v>441</v>
      </c>
      <c r="D75" s="2" t="s">
        <v>88</v>
      </c>
      <c r="E75" s="43" t="s">
        <v>440</v>
      </c>
      <c r="F75" s="20">
        <f t="shared" ref="F75:AI75" si="12">ROUND(F58+F74,2)</f>
        <v>0</v>
      </c>
      <c r="G75" s="20">
        <f t="shared" si="12"/>
        <v>0</v>
      </c>
      <c r="H75" s="20">
        <f t="shared" si="12"/>
        <v>0</v>
      </c>
      <c r="I75" s="20">
        <f t="shared" si="12"/>
        <v>0</v>
      </c>
      <c r="J75" s="20">
        <f t="shared" si="12"/>
        <v>0</v>
      </c>
      <c r="K75" s="20">
        <f t="shared" si="12"/>
        <v>0</v>
      </c>
      <c r="L75" s="20">
        <f t="shared" si="12"/>
        <v>0</v>
      </c>
      <c r="M75" s="20">
        <f t="shared" si="12"/>
        <v>0</v>
      </c>
      <c r="N75" s="20">
        <f t="shared" si="12"/>
        <v>0</v>
      </c>
      <c r="O75" s="20">
        <f t="shared" si="12"/>
        <v>0</v>
      </c>
      <c r="P75" s="20">
        <f t="shared" si="12"/>
        <v>0</v>
      </c>
      <c r="Q75" s="20">
        <f t="shared" si="12"/>
        <v>0</v>
      </c>
      <c r="R75" s="20">
        <f t="shared" si="12"/>
        <v>0</v>
      </c>
      <c r="S75" s="20">
        <f t="shared" si="12"/>
        <v>0</v>
      </c>
      <c r="T75" s="20">
        <f t="shared" si="12"/>
        <v>0</v>
      </c>
      <c r="U75" s="20">
        <f t="shared" si="12"/>
        <v>0</v>
      </c>
      <c r="V75" s="20">
        <f t="shared" si="12"/>
        <v>0</v>
      </c>
      <c r="W75" s="20">
        <f t="shared" si="12"/>
        <v>0</v>
      </c>
      <c r="X75" s="20">
        <f t="shared" si="12"/>
        <v>0</v>
      </c>
      <c r="Y75" s="20">
        <f t="shared" si="12"/>
        <v>0</v>
      </c>
      <c r="Z75" s="20">
        <f t="shared" si="12"/>
        <v>0</v>
      </c>
      <c r="AA75" s="20">
        <f t="shared" si="12"/>
        <v>0</v>
      </c>
      <c r="AB75" s="20">
        <f t="shared" si="12"/>
        <v>0</v>
      </c>
      <c r="AC75" s="20">
        <f t="shared" si="12"/>
        <v>0</v>
      </c>
      <c r="AD75" s="20">
        <f t="shared" si="12"/>
        <v>0</v>
      </c>
      <c r="AE75" s="20">
        <f t="shared" si="12"/>
        <v>0</v>
      </c>
      <c r="AF75" s="20">
        <f t="shared" si="12"/>
        <v>0</v>
      </c>
      <c r="AG75" s="20">
        <f t="shared" si="12"/>
        <v>0</v>
      </c>
      <c r="AH75" s="20">
        <f t="shared" si="12"/>
        <v>0</v>
      </c>
      <c r="AI75" s="20">
        <f t="shared" si="12"/>
        <v>0</v>
      </c>
    </row>
    <row r="76" spans="1:35" ht="13">
      <c r="A76" s="2" t="s">
        <v>821</v>
      </c>
      <c r="B76" s="2" t="s">
        <v>764</v>
      </c>
      <c r="C76" s="2" t="s">
        <v>121</v>
      </c>
      <c r="D76" s="2" t="s">
        <v>25</v>
      </c>
      <c r="E76" s="43" t="s">
        <v>35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  <row r="77" spans="1:35" ht="13">
      <c r="A77" s="2" t="s">
        <v>822</v>
      </c>
      <c r="B77" s="2" t="s">
        <v>764</v>
      </c>
      <c r="C77" s="2" t="s">
        <v>122</v>
      </c>
      <c r="D77" s="2"/>
      <c r="E77" s="43" t="s">
        <v>123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ht="13">
      <c r="A78" s="2" t="s">
        <v>823</v>
      </c>
      <c r="B78" s="2" t="s">
        <v>822</v>
      </c>
      <c r="C78" s="2" t="s">
        <v>124</v>
      </c>
      <c r="D78" s="2"/>
      <c r="E78" s="43" t="s">
        <v>125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ht="13">
      <c r="A79" s="2" t="s">
        <v>824</v>
      </c>
      <c r="B79" s="2" t="s">
        <v>823</v>
      </c>
      <c r="C79" s="2" t="s">
        <v>126</v>
      </c>
      <c r="D79" s="2" t="s">
        <v>89</v>
      </c>
      <c r="E79" s="43" t="s">
        <v>442</v>
      </c>
      <c r="F79" s="20">
        <f>F80+F81</f>
        <v>0</v>
      </c>
      <c r="G79" s="20">
        <f>G80+G81</f>
        <v>0</v>
      </c>
      <c r="H79" s="20">
        <f t="shared" ref="H79:AI79" si="13">H80+H81</f>
        <v>0</v>
      </c>
      <c r="I79" s="20">
        <f t="shared" si="13"/>
        <v>0</v>
      </c>
      <c r="J79" s="20">
        <f t="shared" si="13"/>
        <v>0</v>
      </c>
      <c r="K79" s="20">
        <f t="shared" si="13"/>
        <v>0</v>
      </c>
      <c r="L79" s="20">
        <f t="shared" si="13"/>
        <v>0</v>
      </c>
      <c r="M79" s="20">
        <f t="shared" si="13"/>
        <v>0</v>
      </c>
      <c r="N79" s="20">
        <f t="shared" si="13"/>
        <v>0</v>
      </c>
      <c r="O79" s="20">
        <f t="shared" si="13"/>
        <v>0</v>
      </c>
      <c r="P79" s="20">
        <f t="shared" si="13"/>
        <v>0</v>
      </c>
      <c r="Q79" s="20">
        <f t="shared" si="13"/>
        <v>0</v>
      </c>
      <c r="R79" s="20">
        <f t="shared" si="13"/>
        <v>0</v>
      </c>
      <c r="S79" s="20">
        <f t="shared" si="13"/>
        <v>0</v>
      </c>
      <c r="T79" s="20">
        <f t="shared" si="13"/>
        <v>0</v>
      </c>
      <c r="U79" s="20">
        <f t="shared" si="13"/>
        <v>0</v>
      </c>
      <c r="V79" s="20">
        <f t="shared" si="13"/>
        <v>0</v>
      </c>
      <c r="W79" s="20">
        <f t="shared" si="13"/>
        <v>0</v>
      </c>
      <c r="X79" s="20">
        <f t="shared" si="13"/>
        <v>0</v>
      </c>
      <c r="Y79" s="20">
        <f t="shared" si="13"/>
        <v>0</v>
      </c>
      <c r="Z79" s="20">
        <f t="shared" si="13"/>
        <v>0</v>
      </c>
      <c r="AA79" s="20">
        <f t="shared" si="13"/>
        <v>0</v>
      </c>
      <c r="AB79" s="20">
        <f t="shared" si="13"/>
        <v>0</v>
      </c>
      <c r="AC79" s="20">
        <f t="shared" si="13"/>
        <v>0</v>
      </c>
      <c r="AD79" s="20">
        <f t="shared" si="13"/>
        <v>0</v>
      </c>
      <c r="AE79" s="20">
        <f t="shared" si="13"/>
        <v>0</v>
      </c>
      <c r="AF79" s="20">
        <f t="shared" si="13"/>
        <v>0</v>
      </c>
      <c r="AG79" s="20">
        <f t="shared" si="13"/>
        <v>0</v>
      </c>
      <c r="AH79" s="20">
        <f t="shared" si="13"/>
        <v>0</v>
      </c>
      <c r="AI79" s="20">
        <f t="shared" si="13"/>
        <v>0</v>
      </c>
    </row>
    <row r="80" spans="1:35" ht="13">
      <c r="A80" s="2" t="s">
        <v>825</v>
      </c>
      <c r="B80" s="2" t="s">
        <v>824</v>
      </c>
      <c r="C80" s="2" t="s">
        <v>443</v>
      </c>
      <c r="D80" s="2" t="s">
        <v>238</v>
      </c>
      <c r="E80" s="43" t="s">
        <v>444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12"/>
    </row>
    <row r="81" spans="1:35" ht="13">
      <c r="A81" s="2" t="s">
        <v>826</v>
      </c>
      <c r="B81" s="2" t="s">
        <v>824</v>
      </c>
      <c r="C81" s="2" t="s">
        <v>445</v>
      </c>
      <c r="D81" s="2" t="s">
        <v>244</v>
      </c>
      <c r="E81" s="43" t="s">
        <v>446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12"/>
    </row>
    <row r="82" spans="1:35" ht="13">
      <c r="A82" s="2" t="s">
        <v>827</v>
      </c>
      <c r="B82" s="2" t="s">
        <v>823</v>
      </c>
      <c r="C82" s="2" t="s">
        <v>127</v>
      </c>
      <c r="D82" s="2" t="s">
        <v>90</v>
      </c>
      <c r="E82" s="44" t="s">
        <v>447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ht="13">
      <c r="A83" s="2" t="s">
        <v>828</v>
      </c>
      <c r="B83" s="2" t="s">
        <v>827</v>
      </c>
      <c r="C83" s="2" t="s">
        <v>448</v>
      </c>
      <c r="D83" s="2" t="s">
        <v>238</v>
      </c>
      <c r="E83" s="44" t="s">
        <v>449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12"/>
    </row>
    <row r="84" spans="1:35" ht="13">
      <c r="A84" s="2" t="s">
        <v>829</v>
      </c>
      <c r="B84" s="2" t="s">
        <v>827</v>
      </c>
      <c r="C84" s="2" t="s">
        <v>450</v>
      </c>
      <c r="D84" s="2" t="s">
        <v>244</v>
      </c>
      <c r="E84" s="43" t="s">
        <v>451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12"/>
    </row>
    <row r="85" spans="1:35" ht="26">
      <c r="A85" s="2" t="s">
        <v>830</v>
      </c>
      <c r="B85" s="2" t="s">
        <v>823</v>
      </c>
      <c r="C85" s="2" t="s">
        <v>128</v>
      </c>
      <c r="D85" s="2" t="s">
        <v>453</v>
      </c>
      <c r="E85" s="44" t="s">
        <v>452</v>
      </c>
      <c r="F85" s="20">
        <f t="shared" ref="F85:AI85" si="14">F86+F87</f>
        <v>0</v>
      </c>
      <c r="G85" s="20">
        <f t="shared" si="14"/>
        <v>0</v>
      </c>
      <c r="H85" s="20">
        <f t="shared" si="14"/>
        <v>0</v>
      </c>
      <c r="I85" s="20">
        <f t="shared" si="14"/>
        <v>0</v>
      </c>
      <c r="J85" s="20">
        <f t="shared" si="14"/>
        <v>0</v>
      </c>
      <c r="K85" s="20">
        <f t="shared" si="14"/>
        <v>0</v>
      </c>
      <c r="L85" s="20">
        <f t="shared" si="14"/>
        <v>0</v>
      </c>
      <c r="M85" s="20">
        <f t="shared" si="14"/>
        <v>0</v>
      </c>
      <c r="N85" s="20">
        <f t="shared" si="14"/>
        <v>0</v>
      </c>
      <c r="O85" s="20">
        <f t="shared" si="14"/>
        <v>0</v>
      </c>
      <c r="P85" s="20">
        <f t="shared" si="14"/>
        <v>0</v>
      </c>
      <c r="Q85" s="20">
        <f t="shared" si="14"/>
        <v>0</v>
      </c>
      <c r="R85" s="20">
        <f t="shared" si="14"/>
        <v>0</v>
      </c>
      <c r="S85" s="20">
        <f t="shared" si="14"/>
        <v>0</v>
      </c>
      <c r="T85" s="20">
        <f t="shared" si="14"/>
        <v>0</v>
      </c>
      <c r="U85" s="20">
        <f t="shared" si="14"/>
        <v>0</v>
      </c>
      <c r="V85" s="20">
        <f t="shared" si="14"/>
        <v>0</v>
      </c>
      <c r="W85" s="20">
        <f t="shared" si="14"/>
        <v>0</v>
      </c>
      <c r="X85" s="20">
        <f t="shared" si="14"/>
        <v>0</v>
      </c>
      <c r="Y85" s="20">
        <f t="shared" si="14"/>
        <v>0</v>
      </c>
      <c r="Z85" s="20">
        <f t="shared" si="14"/>
        <v>0</v>
      </c>
      <c r="AA85" s="20">
        <f t="shared" si="14"/>
        <v>0</v>
      </c>
      <c r="AB85" s="20">
        <f t="shared" si="14"/>
        <v>0</v>
      </c>
      <c r="AC85" s="20">
        <f t="shared" si="14"/>
        <v>0</v>
      </c>
      <c r="AD85" s="20">
        <f t="shared" si="14"/>
        <v>0</v>
      </c>
      <c r="AE85" s="20">
        <f t="shared" si="14"/>
        <v>0</v>
      </c>
      <c r="AF85" s="20">
        <f t="shared" si="14"/>
        <v>0</v>
      </c>
      <c r="AG85" s="20">
        <f t="shared" si="14"/>
        <v>0</v>
      </c>
      <c r="AH85" s="20">
        <f t="shared" si="14"/>
        <v>0</v>
      </c>
      <c r="AI85" s="20">
        <f t="shared" si="14"/>
        <v>0</v>
      </c>
    </row>
    <row r="86" spans="1:35" ht="13">
      <c r="A86" s="2" t="s">
        <v>831</v>
      </c>
      <c r="B86" s="2" t="s">
        <v>830</v>
      </c>
      <c r="C86" s="2" t="s">
        <v>130</v>
      </c>
      <c r="D86" s="2" t="s">
        <v>454</v>
      </c>
      <c r="E86" s="43" t="s">
        <v>137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">
      <c r="A87" s="2" t="s">
        <v>832</v>
      </c>
      <c r="B87" s="2" t="s">
        <v>830</v>
      </c>
      <c r="C87" s="2" t="s">
        <v>132</v>
      </c>
      <c r="D87" s="2" t="s">
        <v>244</v>
      </c>
      <c r="E87" s="43" t="s">
        <v>139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3">
      <c r="A88" s="2" t="s">
        <v>833</v>
      </c>
      <c r="B88" s="2" t="s">
        <v>823</v>
      </c>
      <c r="C88" s="2" t="s">
        <v>135</v>
      </c>
      <c r="D88" s="2" t="s">
        <v>455</v>
      </c>
      <c r="E88" s="44" t="s">
        <v>456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12"/>
    </row>
    <row r="89" spans="1:35" ht="13">
      <c r="A89" s="2" t="s">
        <v>834</v>
      </c>
      <c r="B89" s="2" t="s">
        <v>823</v>
      </c>
      <c r="C89" s="2" t="s">
        <v>143</v>
      </c>
      <c r="D89" s="2" t="s">
        <v>457</v>
      </c>
      <c r="E89" s="43" t="s">
        <v>458</v>
      </c>
      <c r="F89" s="20">
        <f>ROUND(F91+F92+F93+F94+F95,2)</f>
        <v>0</v>
      </c>
      <c r="G89" s="20">
        <f t="shared" ref="G89:AI89" si="15">ROUND(G91+G92+G93+G94+G95,2)</f>
        <v>0</v>
      </c>
      <c r="H89" s="20">
        <f t="shared" si="15"/>
        <v>0</v>
      </c>
      <c r="I89" s="20">
        <f t="shared" si="15"/>
        <v>0</v>
      </c>
      <c r="J89" s="20">
        <f t="shared" si="15"/>
        <v>0</v>
      </c>
      <c r="K89" s="20">
        <f t="shared" si="15"/>
        <v>0</v>
      </c>
      <c r="L89" s="20">
        <f t="shared" si="15"/>
        <v>0</v>
      </c>
      <c r="M89" s="20">
        <f t="shared" si="15"/>
        <v>0</v>
      </c>
      <c r="N89" s="20">
        <f t="shared" si="15"/>
        <v>0</v>
      </c>
      <c r="O89" s="20">
        <f t="shared" si="15"/>
        <v>0</v>
      </c>
      <c r="P89" s="20">
        <f t="shared" si="15"/>
        <v>0</v>
      </c>
      <c r="Q89" s="20">
        <f t="shared" si="15"/>
        <v>0</v>
      </c>
      <c r="R89" s="20">
        <f t="shared" si="15"/>
        <v>0</v>
      </c>
      <c r="S89" s="20">
        <f t="shared" si="15"/>
        <v>0</v>
      </c>
      <c r="T89" s="20">
        <f t="shared" si="15"/>
        <v>0</v>
      </c>
      <c r="U89" s="20">
        <f t="shared" si="15"/>
        <v>0</v>
      </c>
      <c r="V89" s="20">
        <f t="shared" si="15"/>
        <v>0</v>
      </c>
      <c r="W89" s="20">
        <f t="shared" si="15"/>
        <v>0</v>
      </c>
      <c r="X89" s="20">
        <f t="shared" si="15"/>
        <v>0</v>
      </c>
      <c r="Y89" s="20">
        <f t="shared" si="15"/>
        <v>0</v>
      </c>
      <c r="Z89" s="20">
        <f t="shared" si="15"/>
        <v>0</v>
      </c>
      <c r="AA89" s="20">
        <f t="shared" si="15"/>
        <v>0</v>
      </c>
      <c r="AB89" s="20">
        <f t="shared" si="15"/>
        <v>0</v>
      </c>
      <c r="AC89" s="20">
        <f t="shared" si="15"/>
        <v>0</v>
      </c>
      <c r="AD89" s="20">
        <f t="shared" si="15"/>
        <v>0</v>
      </c>
      <c r="AE89" s="20">
        <f t="shared" si="15"/>
        <v>0</v>
      </c>
      <c r="AF89" s="20">
        <f t="shared" si="15"/>
        <v>0</v>
      </c>
      <c r="AG89" s="20">
        <f t="shared" si="15"/>
        <v>0</v>
      </c>
      <c r="AH89" s="20">
        <f t="shared" si="15"/>
        <v>0</v>
      </c>
      <c r="AI89" s="20">
        <f t="shared" si="15"/>
        <v>0</v>
      </c>
    </row>
    <row r="90" spans="1:35" ht="13">
      <c r="A90" s="2" t="s">
        <v>835</v>
      </c>
      <c r="B90" s="2" t="s">
        <v>834</v>
      </c>
      <c r="C90" s="2" t="s">
        <v>144</v>
      </c>
      <c r="D90" s="2" t="s">
        <v>238</v>
      </c>
      <c r="E90" s="43" t="s">
        <v>237</v>
      </c>
      <c r="F90" s="20">
        <f t="shared" ref="F90:AI90" si="16">ROUND(SUM(F91:F92),2)</f>
        <v>0</v>
      </c>
      <c r="G90" s="20">
        <f t="shared" si="16"/>
        <v>0</v>
      </c>
      <c r="H90" s="20">
        <f t="shared" si="16"/>
        <v>0</v>
      </c>
      <c r="I90" s="20">
        <f t="shared" si="16"/>
        <v>0</v>
      </c>
      <c r="J90" s="20">
        <f t="shared" si="16"/>
        <v>0</v>
      </c>
      <c r="K90" s="20">
        <f t="shared" si="16"/>
        <v>0</v>
      </c>
      <c r="L90" s="20">
        <f t="shared" si="16"/>
        <v>0</v>
      </c>
      <c r="M90" s="20">
        <f t="shared" si="16"/>
        <v>0</v>
      </c>
      <c r="N90" s="20">
        <f t="shared" si="16"/>
        <v>0</v>
      </c>
      <c r="O90" s="20">
        <f t="shared" si="16"/>
        <v>0</v>
      </c>
      <c r="P90" s="20">
        <f t="shared" si="16"/>
        <v>0</v>
      </c>
      <c r="Q90" s="20">
        <f t="shared" si="16"/>
        <v>0</v>
      </c>
      <c r="R90" s="20">
        <f t="shared" si="16"/>
        <v>0</v>
      </c>
      <c r="S90" s="20">
        <f t="shared" si="16"/>
        <v>0</v>
      </c>
      <c r="T90" s="20">
        <f t="shared" si="16"/>
        <v>0</v>
      </c>
      <c r="U90" s="20">
        <f t="shared" si="16"/>
        <v>0</v>
      </c>
      <c r="V90" s="20">
        <f t="shared" si="16"/>
        <v>0</v>
      </c>
      <c r="W90" s="20">
        <f t="shared" si="16"/>
        <v>0</v>
      </c>
      <c r="X90" s="20">
        <f t="shared" si="16"/>
        <v>0</v>
      </c>
      <c r="Y90" s="20">
        <f t="shared" si="16"/>
        <v>0</v>
      </c>
      <c r="Z90" s="20">
        <f t="shared" si="16"/>
        <v>0</v>
      </c>
      <c r="AA90" s="20">
        <f t="shared" si="16"/>
        <v>0</v>
      </c>
      <c r="AB90" s="20">
        <f t="shared" si="16"/>
        <v>0</v>
      </c>
      <c r="AC90" s="20">
        <f t="shared" si="16"/>
        <v>0</v>
      </c>
      <c r="AD90" s="20">
        <f t="shared" si="16"/>
        <v>0</v>
      </c>
      <c r="AE90" s="20">
        <f t="shared" si="16"/>
        <v>0</v>
      </c>
      <c r="AF90" s="20">
        <f t="shared" si="16"/>
        <v>0</v>
      </c>
      <c r="AG90" s="20">
        <f t="shared" si="16"/>
        <v>0</v>
      </c>
      <c r="AH90" s="20">
        <f t="shared" si="16"/>
        <v>0</v>
      </c>
      <c r="AI90" s="20">
        <f t="shared" si="16"/>
        <v>0</v>
      </c>
    </row>
    <row r="91" spans="1:35" ht="13">
      <c r="A91" s="2" t="s">
        <v>836</v>
      </c>
      <c r="B91" s="2" t="s">
        <v>835</v>
      </c>
      <c r="C91" s="2" t="s">
        <v>459</v>
      </c>
      <c r="D91" s="2" t="s">
        <v>240</v>
      </c>
      <c r="E91" s="43" t="s">
        <v>460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12"/>
    </row>
    <row r="92" spans="1:35" ht="13">
      <c r="A92" s="2" t="s">
        <v>837</v>
      </c>
      <c r="B92" s="2" t="s">
        <v>835</v>
      </c>
      <c r="C92" s="2" t="s">
        <v>461</v>
      </c>
      <c r="D92" s="2" t="s">
        <v>242</v>
      </c>
      <c r="E92" s="43" t="s">
        <v>462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12"/>
    </row>
    <row r="93" spans="1:35" ht="13">
      <c r="A93" s="2" t="s">
        <v>838</v>
      </c>
      <c r="B93" s="2" t="s">
        <v>834</v>
      </c>
      <c r="C93" s="2" t="s">
        <v>145</v>
      </c>
      <c r="D93" s="2" t="s">
        <v>244</v>
      </c>
      <c r="E93" s="43" t="s">
        <v>463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12"/>
    </row>
    <row r="94" spans="1:35" ht="13">
      <c r="A94" s="2" t="s">
        <v>839</v>
      </c>
      <c r="B94" s="2" t="s">
        <v>834</v>
      </c>
      <c r="C94" s="2" t="s">
        <v>146</v>
      </c>
      <c r="D94" s="2" t="s">
        <v>245</v>
      </c>
      <c r="E94" s="43" t="s">
        <v>464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12"/>
    </row>
    <row r="95" spans="1:35" ht="13">
      <c r="A95" s="2" t="s">
        <v>840</v>
      </c>
      <c r="B95" s="2" t="s">
        <v>834</v>
      </c>
      <c r="C95" s="2" t="s">
        <v>465</v>
      </c>
      <c r="D95" s="2" t="s">
        <v>247</v>
      </c>
      <c r="E95" s="43" t="s">
        <v>466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12"/>
    </row>
    <row r="96" spans="1:35" ht="26">
      <c r="A96" s="2" t="s">
        <v>841</v>
      </c>
      <c r="B96" s="2" t="s">
        <v>823</v>
      </c>
      <c r="C96" s="2" t="s">
        <v>147</v>
      </c>
      <c r="D96" s="2" t="s">
        <v>467</v>
      </c>
      <c r="E96" s="44" t="s">
        <v>468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12"/>
    </row>
    <row r="97" spans="1:54" ht="13">
      <c r="A97" s="2" t="s">
        <v>842</v>
      </c>
      <c r="B97" s="2" t="s">
        <v>823</v>
      </c>
      <c r="C97" s="2" t="s">
        <v>148</v>
      </c>
      <c r="D97" s="2" t="s">
        <v>469</v>
      </c>
      <c r="E97" s="43" t="s">
        <v>470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12"/>
    </row>
    <row r="98" spans="1:54" ht="13">
      <c r="A98" s="2" t="s">
        <v>843</v>
      </c>
      <c r="B98" s="2" t="s">
        <v>823</v>
      </c>
      <c r="C98" s="2" t="s">
        <v>149</v>
      </c>
      <c r="D98" s="2" t="s">
        <v>471</v>
      </c>
      <c r="E98" s="44" t="s">
        <v>472</v>
      </c>
      <c r="F98" s="20">
        <f>ROUND(SUM(F$99:F$103),2)</f>
        <v>0</v>
      </c>
      <c r="G98" s="20">
        <f t="shared" ref="G98:AI98" si="17">ROUND(SUM(G$99:G$103),2)</f>
        <v>0</v>
      </c>
      <c r="H98" s="20">
        <f t="shared" si="17"/>
        <v>0</v>
      </c>
      <c r="I98" s="20">
        <f t="shared" si="17"/>
        <v>0</v>
      </c>
      <c r="J98" s="20">
        <f t="shared" si="17"/>
        <v>0</v>
      </c>
      <c r="K98" s="20">
        <f t="shared" si="17"/>
        <v>0</v>
      </c>
      <c r="L98" s="20">
        <f t="shared" si="17"/>
        <v>0</v>
      </c>
      <c r="M98" s="20">
        <f t="shared" si="17"/>
        <v>0</v>
      </c>
      <c r="N98" s="20">
        <f t="shared" si="17"/>
        <v>0</v>
      </c>
      <c r="O98" s="20">
        <f t="shared" si="17"/>
        <v>0</v>
      </c>
      <c r="P98" s="20">
        <f t="shared" si="17"/>
        <v>0</v>
      </c>
      <c r="Q98" s="20">
        <f t="shared" si="17"/>
        <v>0</v>
      </c>
      <c r="R98" s="20">
        <f t="shared" si="17"/>
        <v>0</v>
      </c>
      <c r="S98" s="20">
        <f t="shared" si="17"/>
        <v>0</v>
      </c>
      <c r="T98" s="20">
        <f t="shared" si="17"/>
        <v>0</v>
      </c>
      <c r="U98" s="20">
        <f t="shared" si="17"/>
        <v>0</v>
      </c>
      <c r="V98" s="20">
        <f t="shared" si="17"/>
        <v>0</v>
      </c>
      <c r="W98" s="20">
        <f t="shared" si="17"/>
        <v>0</v>
      </c>
      <c r="X98" s="20">
        <f t="shared" si="17"/>
        <v>0</v>
      </c>
      <c r="Y98" s="20">
        <f t="shared" si="17"/>
        <v>0</v>
      </c>
      <c r="Z98" s="20">
        <f t="shared" si="17"/>
        <v>0</v>
      </c>
      <c r="AA98" s="20">
        <f t="shared" si="17"/>
        <v>0</v>
      </c>
      <c r="AB98" s="20">
        <f t="shared" si="17"/>
        <v>0</v>
      </c>
      <c r="AC98" s="20">
        <f t="shared" si="17"/>
        <v>0</v>
      </c>
      <c r="AD98" s="20">
        <f t="shared" si="17"/>
        <v>0</v>
      </c>
      <c r="AE98" s="20">
        <f t="shared" si="17"/>
        <v>0</v>
      </c>
      <c r="AF98" s="20">
        <f t="shared" si="17"/>
        <v>0</v>
      </c>
      <c r="AG98" s="20">
        <f t="shared" si="17"/>
        <v>0</v>
      </c>
      <c r="AH98" s="20">
        <f t="shared" si="17"/>
        <v>0</v>
      </c>
      <c r="AI98" s="20">
        <f t="shared" si="17"/>
        <v>0</v>
      </c>
    </row>
    <row r="99" spans="1:54" ht="13">
      <c r="A99" s="2" t="s">
        <v>844</v>
      </c>
      <c r="B99" s="2" t="s">
        <v>843</v>
      </c>
      <c r="C99" s="2" t="s">
        <v>150</v>
      </c>
      <c r="D99" s="2" t="s">
        <v>240</v>
      </c>
      <c r="E99" s="43" t="s">
        <v>473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12"/>
    </row>
    <row r="100" spans="1:54" ht="13">
      <c r="A100" s="2" t="s">
        <v>845</v>
      </c>
      <c r="B100" s="2" t="s">
        <v>843</v>
      </c>
      <c r="C100" s="2" t="s">
        <v>151</v>
      </c>
      <c r="D100" s="2" t="s">
        <v>242</v>
      </c>
      <c r="E100" s="43" t="s">
        <v>474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12"/>
    </row>
    <row r="101" spans="1:54" ht="13">
      <c r="A101" s="2" t="s">
        <v>846</v>
      </c>
      <c r="B101" s="2" t="s">
        <v>843</v>
      </c>
      <c r="C101" s="2" t="s">
        <v>152</v>
      </c>
      <c r="D101" s="2" t="s">
        <v>256</v>
      </c>
      <c r="E101" s="44" t="s">
        <v>475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12"/>
    </row>
    <row r="102" spans="1:54" ht="13">
      <c r="A102" s="2" t="s">
        <v>847</v>
      </c>
      <c r="B102" s="2" t="s">
        <v>843</v>
      </c>
      <c r="C102" s="2" t="s">
        <v>153</v>
      </c>
      <c r="D102" s="2" t="s">
        <v>273</v>
      </c>
      <c r="E102" s="44" t="s">
        <v>476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12"/>
    </row>
    <row r="103" spans="1:54" ht="13">
      <c r="A103" s="2" t="s">
        <v>848</v>
      </c>
      <c r="B103" s="2" t="s">
        <v>843</v>
      </c>
      <c r="C103" s="2" t="s">
        <v>154</v>
      </c>
      <c r="D103" s="2" t="s">
        <v>275</v>
      </c>
      <c r="E103" s="43" t="s">
        <v>313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12"/>
    </row>
    <row r="104" spans="1:54" ht="13">
      <c r="A104" s="2" t="s">
        <v>849</v>
      </c>
      <c r="B104" s="2" t="s">
        <v>823</v>
      </c>
      <c r="C104" s="2" t="s">
        <v>155</v>
      </c>
      <c r="D104" s="2" t="s">
        <v>477</v>
      </c>
      <c r="E104" s="43" t="s">
        <v>478</v>
      </c>
      <c r="F104" s="20">
        <f t="shared" ref="F104:AI104" si="18">ROUND(F79+F83+F84+F86+F87+F88+F89+F96+F97+F98,2)</f>
        <v>0</v>
      </c>
      <c r="G104" s="20">
        <f t="shared" si="18"/>
        <v>0</v>
      </c>
      <c r="H104" s="20">
        <f t="shared" si="18"/>
        <v>0</v>
      </c>
      <c r="I104" s="20">
        <f t="shared" si="18"/>
        <v>0</v>
      </c>
      <c r="J104" s="20">
        <f t="shared" si="18"/>
        <v>0</v>
      </c>
      <c r="K104" s="20">
        <f t="shared" si="18"/>
        <v>0</v>
      </c>
      <c r="L104" s="20">
        <f t="shared" si="18"/>
        <v>0</v>
      </c>
      <c r="M104" s="20">
        <f t="shared" si="18"/>
        <v>0</v>
      </c>
      <c r="N104" s="20">
        <f t="shared" si="18"/>
        <v>0</v>
      </c>
      <c r="O104" s="20">
        <f t="shared" si="18"/>
        <v>0</v>
      </c>
      <c r="P104" s="20">
        <f t="shared" si="18"/>
        <v>0</v>
      </c>
      <c r="Q104" s="20">
        <f t="shared" si="18"/>
        <v>0</v>
      </c>
      <c r="R104" s="20">
        <f t="shared" si="18"/>
        <v>0</v>
      </c>
      <c r="S104" s="20">
        <f t="shared" si="18"/>
        <v>0</v>
      </c>
      <c r="T104" s="20">
        <f t="shared" si="18"/>
        <v>0</v>
      </c>
      <c r="U104" s="20">
        <f t="shared" si="18"/>
        <v>0</v>
      </c>
      <c r="V104" s="20">
        <f t="shared" si="18"/>
        <v>0</v>
      </c>
      <c r="W104" s="20">
        <f t="shared" si="18"/>
        <v>0</v>
      </c>
      <c r="X104" s="20">
        <f t="shared" si="18"/>
        <v>0</v>
      </c>
      <c r="Y104" s="20">
        <f t="shared" si="18"/>
        <v>0</v>
      </c>
      <c r="Z104" s="20">
        <f t="shared" si="18"/>
        <v>0</v>
      </c>
      <c r="AA104" s="20">
        <f t="shared" si="18"/>
        <v>0</v>
      </c>
      <c r="AB104" s="20">
        <f t="shared" si="18"/>
        <v>0</v>
      </c>
      <c r="AC104" s="20">
        <f t="shared" si="18"/>
        <v>0</v>
      </c>
      <c r="AD104" s="20">
        <f t="shared" si="18"/>
        <v>0</v>
      </c>
      <c r="AE104" s="20">
        <f t="shared" si="18"/>
        <v>0</v>
      </c>
      <c r="AF104" s="20">
        <f t="shared" si="18"/>
        <v>0</v>
      </c>
      <c r="AG104" s="20">
        <f t="shared" si="18"/>
        <v>0</v>
      </c>
      <c r="AH104" s="20">
        <f t="shared" si="18"/>
        <v>0</v>
      </c>
      <c r="AI104" s="20">
        <f t="shared" si="18"/>
        <v>0</v>
      </c>
    </row>
    <row r="105" spans="1:54" ht="13">
      <c r="A105" s="2" t="s">
        <v>850</v>
      </c>
      <c r="B105" s="2" t="s">
        <v>823</v>
      </c>
      <c r="C105" s="2" t="s">
        <v>156</v>
      </c>
      <c r="D105" s="2" t="s">
        <v>25</v>
      </c>
      <c r="E105" s="43" t="s">
        <v>35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31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</row>
    <row r="106" spans="1:54" ht="13">
      <c r="A106" s="2" t="s">
        <v>851</v>
      </c>
      <c r="B106" s="2" t="s">
        <v>823</v>
      </c>
      <c r="C106" s="2" t="s">
        <v>157</v>
      </c>
      <c r="D106" s="2" t="s">
        <v>25</v>
      </c>
      <c r="E106" s="43" t="s">
        <v>479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</row>
    <row r="107" spans="1:54" ht="13">
      <c r="A107" s="2" t="s">
        <v>852</v>
      </c>
      <c r="B107" s="2" t="s">
        <v>823</v>
      </c>
      <c r="C107" s="2" t="s">
        <v>158</v>
      </c>
      <c r="D107" s="2" t="s">
        <v>481</v>
      </c>
      <c r="E107" s="43" t="s">
        <v>480</v>
      </c>
      <c r="F107" s="20">
        <f>ROUND(SUM(F$108:F$109),2)</f>
        <v>0</v>
      </c>
      <c r="G107" s="20">
        <f t="shared" ref="G107:AI107" si="19">ROUND(SUM(G$108:G$109),2)</f>
        <v>0</v>
      </c>
      <c r="H107" s="20">
        <f t="shared" si="19"/>
        <v>0</v>
      </c>
      <c r="I107" s="20">
        <f t="shared" si="19"/>
        <v>0</v>
      </c>
      <c r="J107" s="20">
        <f t="shared" si="19"/>
        <v>0</v>
      </c>
      <c r="K107" s="20">
        <f t="shared" si="19"/>
        <v>0</v>
      </c>
      <c r="L107" s="20">
        <f t="shared" si="19"/>
        <v>0</v>
      </c>
      <c r="M107" s="20">
        <f t="shared" si="19"/>
        <v>0</v>
      </c>
      <c r="N107" s="20">
        <f t="shared" si="19"/>
        <v>0</v>
      </c>
      <c r="O107" s="20">
        <f t="shared" si="19"/>
        <v>0</v>
      </c>
      <c r="P107" s="20">
        <f t="shared" si="19"/>
        <v>0</v>
      </c>
      <c r="Q107" s="20">
        <f t="shared" si="19"/>
        <v>0</v>
      </c>
      <c r="R107" s="20">
        <f t="shared" si="19"/>
        <v>0</v>
      </c>
      <c r="S107" s="20">
        <f t="shared" si="19"/>
        <v>0</v>
      </c>
      <c r="T107" s="20">
        <f t="shared" si="19"/>
        <v>0</v>
      </c>
      <c r="U107" s="20">
        <f t="shared" si="19"/>
        <v>0</v>
      </c>
      <c r="V107" s="20">
        <f t="shared" si="19"/>
        <v>0</v>
      </c>
      <c r="W107" s="20">
        <f t="shared" si="19"/>
        <v>0</v>
      </c>
      <c r="X107" s="20">
        <f t="shared" si="19"/>
        <v>0</v>
      </c>
      <c r="Y107" s="20">
        <f t="shared" si="19"/>
        <v>0</v>
      </c>
      <c r="Z107" s="20">
        <f t="shared" si="19"/>
        <v>0</v>
      </c>
      <c r="AA107" s="20">
        <f t="shared" si="19"/>
        <v>0</v>
      </c>
      <c r="AB107" s="20">
        <f t="shared" si="19"/>
        <v>0</v>
      </c>
      <c r="AC107" s="20">
        <f t="shared" si="19"/>
        <v>0</v>
      </c>
      <c r="AD107" s="20">
        <f t="shared" si="19"/>
        <v>0</v>
      </c>
      <c r="AE107" s="20">
        <f t="shared" si="19"/>
        <v>0</v>
      </c>
      <c r="AF107" s="20">
        <f t="shared" si="19"/>
        <v>0</v>
      </c>
      <c r="AG107" s="20">
        <f t="shared" si="19"/>
        <v>0</v>
      </c>
      <c r="AH107" s="20">
        <f t="shared" si="19"/>
        <v>0</v>
      </c>
      <c r="AI107" s="20">
        <f t="shared" si="19"/>
        <v>0</v>
      </c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</row>
    <row r="108" spans="1:54" ht="26">
      <c r="A108" s="2" t="s">
        <v>853</v>
      </c>
      <c r="B108" s="2" t="s">
        <v>852</v>
      </c>
      <c r="C108" s="2" t="s">
        <v>482</v>
      </c>
      <c r="D108" s="2" t="s">
        <v>240</v>
      </c>
      <c r="E108" s="44" t="s">
        <v>483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12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</row>
    <row r="109" spans="1:54" ht="13">
      <c r="A109" s="2" t="s">
        <v>854</v>
      </c>
      <c r="B109" s="2" t="s">
        <v>852</v>
      </c>
      <c r="C109" s="2" t="s">
        <v>484</v>
      </c>
      <c r="D109" s="2" t="s">
        <v>242</v>
      </c>
      <c r="E109" s="43" t="s">
        <v>164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12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</row>
    <row r="110" spans="1:54" ht="13">
      <c r="A110" s="2" t="s">
        <v>855</v>
      </c>
      <c r="B110" s="2" t="s">
        <v>823</v>
      </c>
      <c r="C110" s="2" t="s">
        <v>159</v>
      </c>
      <c r="D110" s="2" t="s">
        <v>485</v>
      </c>
      <c r="E110" s="43" t="s">
        <v>486</v>
      </c>
      <c r="F110" s="28"/>
      <c r="G110" s="19">
        <f>F110+'Profit and Loss Statement'!G40-'Additional Information'!G32</f>
        <v>0</v>
      </c>
      <c r="H110" s="19">
        <f>G110+'Profit and Loss Statement'!H40-'Additional Information'!H32</f>
        <v>0</v>
      </c>
      <c r="I110" s="19">
        <f>H110+'Profit and Loss Statement'!I40-'Additional Information'!I32</f>
        <v>0</v>
      </c>
      <c r="J110" s="19">
        <f>I110+'Profit and Loss Statement'!J40-'Additional Information'!J32</f>
        <v>0</v>
      </c>
      <c r="K110" s="19">
        <f>J110+'Profit and Loss Statement'!K40-'Additional Information'!K32</f>
        <v>0</v>
      </c>
      <c r="L110" s="19">
        <f>K110+'Profit and Loss Statement'!L40-'Additional Information'!L32</f>
        <v>0</v>
      </c>
      <c r="M110" s="19">
        <f>L110+'Profit and Loss Statement'!M40-'Additional Information'!M32</f>
        <v>0</v>
      </c>
      <c r="N110" s="19">
        <f>M110+'Profit and Loss Statement'!N40-'Additional Information'!N32</f>
        <v>0</v>
      </c>
      <c r="O110" s="19">
        <f>N110+'Profit and Loss Statement'!O40-'Additional Information'!O32</f>
        <v>0</v>
      </c>
      <c r="P110" s="19">
        <f>O110+'Profit and Loss Statement'!P40-'Additional Information'!P32</f>
        <v>0</v>
      </c>
      <c r="Q110" s="19">
        <f>P110+'Profit and Loss Statement'!Q40-'Additional Information'!Q32</f>
        <v>0</v>
      </c>
      <c r="R110" s="19">
        <f>Q110+'Profit and Loss Statement'!R40-'Additional Information'!R32</f>
        <v>0</v>
      </c>
      <c r="S110" s="19">
        <f>R110+'Profit and Loss Statement'!S40-'Additional Information'!S32</f>
        <v>0</v>
      </c>
      <c r="T110" s="19">
        <f>S110+'Profit and Loss Statement'!T40-'Additional Information'!T32</f>
        <v>0</v>
      </c>
      <c r="U110" s="19">
        <f>T110+'Profit and Loss Statement'!U40-'Additional Information'!U32</f>
        <v>0</v>
      </c>
      <c r="V110" s="19">
        <f>U110+'Profit and Loss Statement'!V40-'Additional Information'!V32</f>
        <v>0</v>
      </c>
      <c r="W110" s="19">
        <f>V110+'Profit and Loss Statement'!W40-'Additional Information'!W32</f>
        <v>0</v>
      </c>
      <c r="X110" s="19">
        <f>W110+'Profit and Loss Statement'!X40-'Additional Information'!X32</f>
        <v>0</v>
      </c>
      <c r="Y110" s="19">
        <f>X110+'Profit and Loss Statement'!Y40-'Additional Information'!Y32</f>
        <v>0</v>
      </c>
      <c r="Z110" s="19">
        <f>Y110+'Profit and Loss Statement'!Z40-'Additional Information'!Z32</f>
        <v>0</v>
      </c>
      <c r="AA110" s="19">
        <f>Z110+'Profit and Loss Statement'!AA40-'Additional Information'!AA32</f>
        <v>0</v>
      </c>
      <c r="AB110" s="19">
        <f>AA110+'Profit and Loss Statement'!AB40-'Additional Information'!AB32</f>
        <v>0</v>
      </c>
      <c r="AC110" s="19">
        <f>AB110+'Profit and Loss Statement'!AC40-'Additional Information'!AC32</f>
        <v>0</v>
      </c>
      <c r="AD110" s="19">
        <f>AC110+'Profit and Loss Statement'!AD40-'Additional Information'!AD32</f>
        <v>0</v>
      </c>
      <c r="AE110" s="19">
        <f>AD110+'Profit and Loss Statement'!AE40-'Additional Information'!AE32</f>
        <v>0</v>
      </c>
      <c r="AF110" s="19">
        <f>AE110+'Profit and Loss Statement'!AF40-'Additional Information'!AF32</f>
        <v>0</v>
      </c>
      <c r="AG110" s="19">
        <f>AF110+'Profit and Loss Statement'!AG40-'Additional Information'!AG32</f>
        <v>0</v>
      </c>
      <c r="AH110" s="19">
        <f>AG110+'Profit and Loss Statement'!AH40-'Additional Information'!AH32</f>
        <v>0</v>
      </c>
      <c r="AI110" s="19">
        <f>AH110+'Profit and Loss Statement'!AI40-'Additional Information'!AI32</f>
        <v>0</v>
      </c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</row>
    <row r="111" spans="1:54" ht="13">
      <c r="A111" s="2" t="s">
        <v>856</v>
      </c>
      <c r="B111" s="2" t="s">
        <v>823</v>
      </c>
      <c r="C111" s="2" t="s">
        <v>160</v>
      </c>
      <c r="D111" s="2" t="s">
        <v>487</v>
      </c>
      <c r="E111" s="43" t="s">
        <v>488</v>
      </c>
      <c r="F111" s="20">
        <f t="shared" ref="F111:AI111" si="20">ROUND(F107-F110,2)</f>
        <v>0</v>
      </c>
      <c r="G111" s="20">
        <f t="shared" si="20"/>
        <v>0</v>
      </c>
      <c r="H111" s="20">
        <f t="shared" si="20"/>
        <v>0</v>
      </c>
      <c r="I111" s="20">
        <f t="shared" si="20"/>
        <v>0</v>
      </c>
      <c r="J111" s="20">
        <f t="shared" si="20"/>
        <v>0</v>
      </c>
      <c r="K111" s="20">
        <f t="shared" si="20"/>
        <v>0</v>
      </c>
      <c r="L111" s="20">
        <f t="shared" si="20"/>
        <v>0</v>
      </c>
      <c r="M111" s="20">
        <f t="shared" si="20"/>
        <v>0</v>
      </c>
      <c r="N111" s="20">
        <f t="shared" si="20"/>
        <v>0</v>
      </c>
      <c r="O111" s="20">
        <f t="shared" si="20"/>
        <v>0</v>
      </c>
      <c r="P111" s="20">
        <f t="shared" si="20"/>
        <v>0</v>
      </c>
      <c r="Q111" s="20">
        <f t="shared" si="20"/>
        <v>0</v>
      </c>
      <c r="R111" s="20">
        <f t="shared" si="20"/>
        <v>0</v>
      </c>
      <c r="S111" s="20">
        <f t="shared" si="20"/>
        <v>0</v>
      </c>
      <c r="T111" s="20">
        <f t="shared" si="20"/>
        <v>0</v>
      </c>
      <c r="U111" s="20">
        <f t="shared" si="20"/>
        <v>0</v>
      </c>
      <c r="V111" s="20">
        <f t="shared" si="20"/>
        <v>0</v>
      </c>
      <c r="W111" s="20">
        <f t="shared" si="20"/>
        <v>0</v>
      </c>
      <c r="X111" s="20">
        <f t="shared" si="20"/>
        <v>0</v>
      </c>
      <c r="Y111" s="20">
        <f t="shared" si="20"/>
        <v>0</v>
      </c>
      <c r="Z111" s="20">
        <f t="shared" si="20"/>
        <v>0</v>
      </c>
      <c r="AA111" s="20">
        <f t="shared" si="20"/>
        <v>0</v>
      </c>
      <c r="AB111" s="20">
        <f t="shared" si="20"/>
        <v>0</v>
      </c>
      <c r="AC111" s="20">
        <f t="shared" si="20"/>
        <v>0</v>
      </c>
      <c r="AD111" s="20">
        <f t="shared" si="20"/>
        <v>0</v>
      </c>
      <c r="AE111" s="20">
        <f t="shared" si="20"/>
        <v>0</v>
      </c>
      <c r="AF111" s="20">
        <f t="shared" si="20"/>
        <v>0</v>
      </c>
      <c r="AG111" s="20">
        <f t="shared" si="20"/>
        <v>0</v>
      </c>
      <c r="AH111" s="20">
        <f t="shared" si="20"/>
        <v>0</v>
      </c>
      <c r="AI111" s="20">
        <f t="shared" si="20"/>
        <v>0</v>
      </c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</row>
    <row r="112" spans="1:54" ht="13">
      <c r="A112" s="2" t="s">
        <v>857</v>
      </c>
      <c r="B112" s="2" t="s">
        <v>823</v>
      </c>
      <c r="C112" s="2" t="s">
        <v>161</v>
      </c>
      <c r="D112" s="2" t="s">
        <v>25</v>
      </c>
      <c r="E112" s="43" t="s">
        <v>35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31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</row>
    <row r="113" spans="1:54" ht="13">
      <c r="A113" s="2" t="s">
        <v>858</v>
      </c>
      <c r="B113" s="2" t="s">
        <v>823</v>
      </c>
      <c r="C113" s="2" t="s">
        <v>489</v>
      </c>
      <c r="D113" s="2" t="s">
        <v>25</v>
      </c>
      <c r="E113" s="43" t="s">
        <v>490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</row>
    <row r="114" spans="1:54" ht="13">
      <c r="A114" s="2" t="s">
        <v>859</v>
      </c>
      <c r="B114" s="2" t="s">
        <v>823</v>
      </c>
      <c r="C114" s="2" t="s">
        <v>491</v>
      </c>
      <c r="D114" s="2" t="s">
        <v>492</v>
      </c>
      <c r="E114" s="43" t="s">
        <v>493</v>
      </c>
      <c r="F114" s="20">
        <f t="shared" ref="F114:AI114" si="21">F115+F116</f>
        <v>0</v>
      </c>
      <c r="G114" s="20">
        <f t="shared" si="21"/>
        <v>0</v>
      </c>
      <c r="H114" s="20">
        <f t="shared" si="21"/>
        <v>0</v>
      </c>
      <c r="I114" s="20">
        <f t="shared" si="21"/>
        <v>0</v>
      </c>
      <c r="J114" s="20">
        <f t="shared" si="21"/>
        <v>0</v>
      </c>
      <c r="K114" s="20">
        <f t="shared" si="21"/>
        <v>0</v>
      </c>
      <c r="L114" s="20">
        <f t="shared" si="21"/>
        <v>0</v>
      </c>
      <c r="M114" s="20">
        <f t="shared" si="21"/>
        <v>0</v>
      </c>
      <c r="N114" s="20">
        <f t="shared" si="21"/>
        <v>0</v>
      </c>
      <c r="O114" s="20">
        <f t="shared" si="21"/>
        <v>0</v>
      </c>
      <c r="P114" s="20">
        <f t="shared" si="21"/>
        <v>0</v>
      </c>
      <c r="Q114" s="20">
        <f t="shared" si="21"/>
        <v>0</v>
      </c>
      <c r="R114" s="20">
        <f t="shared" si="21"/>
        <v>0</v>
      </c>
      <c r="S114" s="20">
        <f t="shared" si="21"/>
        <v>0</v>
      </c>
      <c r="T114" s="20">
        <f t="shared" si="21"/>
        <v>0</v>
      </c>
      <c r="U114" s="20">
        <f t="shared" si="21"/>
        <v>0</v>
      </c>
      <c r="V114" s="20">
        <f t="shared" si="21"/>
        <v>0</v>
      </c>
      <c r="W114" s="20">
        <f t="shared" si="21"/>
        <v>0</v>
      </c>
      <c r="X114" s="20">
        <f t="shared" si="21"/>
        <v>0</v>
      </c>
      <c r="Y114" s="20">
        <f t="shared" si="21"/>
        <v>0</v>
      </c>
      <c r="Z114" s="20">
        <f t="shared" si="21"/>
        <v>0</v>
      </c>
      <c r="AA114" s="20">
        <f t="shared" si="21"/>
        <v>0</v>
      </c>
      <c r="AB114" s="20">
        <f t="shared" si="21"/>
        <v>0</v>
      </c>
      <c r="AC114" s="20">
        <f t="shared" si="21"/>
        <v>0</v>
      </c>
      <c r="AD114" s="20">
        <f t="shared" si="21"/>
        <v>0</v>
      </c>
      <c r="AE114" s="20">
        <f t="shared" si="21"/>
        <v>0</v>
      </c>
      <c r="AF114" s="20">
        <f t="shared" si="21"/>
        <v>0</v>
      </c>
      <c r="AG114" s="20">
        <f t="shared" si="21"/>
        <v>0</v>
      </c>
      <c r="AH114" s="20">
        <f t="shared" si="21"/>
        <v>0</v>
      </c>
      <c r="AI114" s="20">
        <f t="shared" si="21"/>
        <v>0</v>
      </c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</row>
    <row r="115" spans="1:54" ht="13">
      <c r="A115" s="2" t="s">
        <v>860</v>
      </c>
      <c r="B115" s="2" t="s">
        <v>859</v>
      </c>
      <c r="C115" s="2" t="s">
        <v>494</v>
      </c>
      <c r="D115" s="2" t="s">
        <v>238</v>
      </c>
      <c r="E115" s="43" t="s">
        <v>129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12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</row>
    <row r="116" spans="1:54" ht="13">
      <c r="A116" s="2" t="s">
        <v>861</v>
      </c>
      <c r="B116" s="2" t="s">
        <v>859</v>
      </c>
      <c r="C116" s="2" t="s">
        <v>495</v>
      </c>
      <c r="D116" s="2" t="s">
        <v>244</v>
      </c>
      <c r="E116" s="43" t="s">
        <v>496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12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</row>
    <row r="117" spans="1:54" ht="13">
      <c r="A117" s="2" t="s">
        <v>862</v>
      </c>
      <c r="B117" s="2" t="s">
        <v>823</v>
      </c>
      <c r="C117" s="2" t="s">
        <v>497</v>
      </c>
      <c r="D117" s="2" t="s">
        <v>498</v>
      </c>
      <c r="E117" s="44" t="s">
        <v>499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12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</row>
    <row r="118" spans="1:54" ht="13">
      <c r="A118" s="2" t="s">
        <v>863</v>
      </c>
      <c r="B118" s="2" t="s">
        <v>823</v>
      </c>
      <c r="C118" s="2" t="s">
        <v>500</v>
      </c>
      <c r="D118" s="2" t="s">
        <v>501</v>
      </c>
      <c r="E118" s="44" t="s">
        <v>502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12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</row>
    <row r="119" spans="1:54" ht="13">
      <c r="A119" s="2" t="s">
        <v>864</v>
      </c>
      <c r="B119" s="2" t="s">
        <v>823</v>
      </c>
      <c r="C119" s="2" t="s">
        <v>503</v>
      </c>
      <c r="D119" s="2" t="s">
        <v>504</v>
      </c>
      <c r="E119" s="43" t="s">
        <v>120</v>
      </c>
      <c r="F119" s="20">
        <f>ROUND(SUM(F$120:F$125),2)</f>
        <v>0</v>
      </c>
      <c r="G119" s="20">
        <f t="shared" ref="G119:AI119" si="22">ROUND(SUM(G$120:G$125),2)</f>
        <v>0</v>
      </c>
      <c r="H119" s="20">
        <f t="shared" si="22"/>
        <v>0</v>
      </c>
      <c r="I119" s="20">
        <f t="shared" si="22"/>
        <v>0</v>
      </c>
      <c r="J119" s="20">
        <f t="shared" si="22"/>
        <v>0</v>
      </c>
      <c r="K119" s="20">
        <f t="shared" si="22"/>
        <v>0</v>
      </c>
      <c r="L119" s="20">
        <f t="shared" si="22"/>
        <v>0</v>
      </c>
      <c r="M119" s="20">
        <f t="shared" si="22"/>
        <v>0</v>
      </c>
      <c r="N119" s="20">
        <f t="shared" si="22"/>
        <v>0</v>
      </c>
      <c r="O119" s="20">
        <f t="shared" si="22"/>
        <v>0</v>
      </c>
      <c r="P119" s="20">
        <f t="shared" si="22"/>
        <v>0</v>
      </c>
      <c r="Q119" s="20">
        <f t="shared" si="22"/>
        <v>0</v>
      </c>
      <c r="R119" s="20">
        <f t="shared" si="22"/>
        <v>0</v>
      </c>
      <c r="S119" s="20">
        <f t="shared" si="22"/>
        <v>0</v>
      </c>
      <c r="T119" s="20">
        <f t="shared" si="22"/>
        <v>0</v>
      </c>
      <c r="U119" s="20">
        <f t="shared" si="22"/>
        <v>0</v>
      </c>
      <c r="V119" s="20">
        <f t="shared" si="22"/>
        <v>0</v>
      </c>
      <c r="W119" s="20">
        <f t="shared" si="22"/>
        <v>0</v>
      </c>
      <c r="X119" s="20">
        <f t="shared" si="22"/>
        <v>0</v>
      </c>
      <c r="Y119" s="20">
        <f t="shared" si="22"/>
        <v>0</v>
      </c>
      <c r="Z119" s="20">
        <f t="shared" si="22"/>
        <v>0</v>
      </c>
      <c r="AA119" s="20">
        <f t="shared" si="22"/>
        <v>0</v>
      </c>
      <c r="AB119" s="20">
        <f t="shared" si="22"/>
        <v>0</v>
      </c>
      <c r="AC119" s="20">
        <f t="shared" si="22"/>
        <v>0</v>
      </c>
      <c r="AD119" s="20">
        <f t="shared" si="22"/>
        <v>0</v>
      </c>
      <c r="AE119" s="20">
        <f t="shared" si="22"/>
        <v>0</v>
      </c>
      <c r="AF119" s="20">
        <f t="shared" si="22"/>
        <v>0</v>
      </c>
      <c r="AG119" s="20">
        <f t="shared" si="22"/>
        <v>0</v>
      </c>
      <c r="AH119" s="20">
        <f t="shared" si="22"/>
        <v>0</v>
      </c>
      <c r="AI119" s="20">
        <f t="shared" si="22"/>
        <v>0</v>
      </c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</row>
    <row r="120" spans="1:54" ht="13">
      <c r="A120" s="2" t="s">
        <v>865</v>
      </c>
      <c r="B120" s="2" t="s">
        <v>864</v>
      </c>
      <c r="C120" s="2" t="s">
        <v>505</v>
      </c>
      <c r="D120" s="2" t="s">
        <v>238</v>
      </c>
      <c r="E120" s="43" t="s">
        <v>165</v>
      </c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12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</row>
    <row r="121" spans="1:54" ht="13">
      <c r="A121" s="2" t="s">
        <v>866</v>
      </c>
      <c r="B121" s="2" t="s">
        <v>864</v>
      </c>
      <c r="C121" s="2" t="s">
        <v>506</v>
      </c>
      <c r="D121" s="2" t="s">
        <v>244</v>
      </c>
      <c r="E121" s="44" t="s">
        <v>507</v>
      </c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12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</row>
    <row r="122" spans="1:54" ht="13">
      <c r="A122" s="2" t="s">
        <v>867</v>
      </c>
      <c r="B122" s="2" t="s">
        <v>864</v>
      </c>
      <c r="C122" s="2" t="s">
        <v>508</v>
      </c>
      <c r="D122" s="2" t="s">
        <v>245</v>
      </c>
      <c r="E122" s="43" t="s">
        <v>509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12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</row>
    <row r="123" spans="1:54" ht="13">
      <c r="A123" s="2" t="s">
        <v>868</v>
      </c>
      <c r="B123" s="2" t="s">
        <v>864</v>
      </c>
      <c r="C123" s="2" t="s">
        <v>510</v>
      </c>
      <c r="D123" s="2" t="s">
        <v>247</v>
      </c>
      <c r="E123" s="43" t="s">
        <v>511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12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</row>
    <row r="124" spans="1:54" ht="13">
      <c r="A124" s="2" t="s">
        <v>869</v>
      </c>
      <c r="B124" s="2" t="s">
        <v>864</v>
      </c>
      <c r="C124" s="2" t="s">
        <v>512</v>
      </c>
      <c r="D124" s="2" t="s">
        <v>250</v>
      </c>
      <c r="E124" s="44" t="s">
        <v>513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12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</row>
    <row r="125" spans="1:54" ht="13">
      <c r="A125" s="2" t="s">
        <v>870</v>
      </c>
      <c r="B125" s="2" t="s">
        <v>864</v>
      </c>
      <c r="C125" s="2" t="s">
        <v>514</v>
      </c>
      <c r="D125" s="2" t="s">
        <v>515</v>
      </c>
      <c r="E125" s="43" t="s">
        <v>313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12"/>
    </row>
    <row r="126" spans="1:54" ht="13">
      <c r="A126" s="2" t="s">
        <v>871</v>
      </c>
      <c r="B126" s="2" t="s">
        <v>823</v>
      </c>
      <c r="C126" s="2" t="s">
        <v>516</v>
      </c>
      <c r="D126" s="2" t="s">
        <v>517</v>
      </c>
      <c r="E126" s="44" t="s">
        <v>518</v>
      </c>
      <c r="F126" s="20">
        <f>SUM(F$115:F$119)</f>
        <v>0</v>
      </c>
      <c r="G126" s="20">
        <f>SUM(G$115:G$119)</f>
        <v>0</v>
      </c>
      <c r="H126" s="20">
        <f t="shared" ref="H126:AI126" si="23">SUM(H$115:H$119)</f>
        <v>0</v>
      </c>
      <c r="I126" s="20">
        <f t="shared" si="23"/>
        <v>0</v>
      </c>
      <c r="J126" s="20">
        <f t="shared" si="23"/>
        <v>0</v>
      </c>
      <c r="K126" s="20">
        <f t="shared" si="23"/>
        <v>0</v>
      </c>
      <c r="L126" s="20">
        <f t="shared" si="23"/>
        <v>0</v>
      </c>
      <c r="M126" s="20">
        <f t="shared" si="23"/>
        <v>0</v>
      </c>
      <c r="N126" s="20">
        <f t="shared" si="23"/>
        <v>0</v>
      </c>
      <c r="O126" s="20">
        <f t="shared" si="23"/>
        <v>0</v>
      </c>
      <c r="P126" s="20">
        <f t="shared" si="23"/>
        <v>0</v>
      </c>
      <c r="Q126" s="20">
        <f t="shared" si="23"/>
        <v>0</v>
      </c>
      <c r="R126" s="20">
        <f t="shared" si="23"/>
        <v>0</v>
      </c>
      <c r="S126" s="20">
        <f t="shared" si="23"/>
        <v>0</v>
      </c>
      <c r="T126" s="20">
        <f t="shared" si="23"/>
        <v>0</v>
      </c>
      <c r="U126" s="20">
        <f t="shared" si="23"/>
        <v>0</v>
      </c>
      <c r="V126" s="20">
        <f t="shared" si="23"/>
        <v>0</v>
      </c>
      <c r="W126" s="20">
        <f t="shared" si="23"/>
        <v>0</v>
      </c>
      <c r="X126" s="20">
        <f t="shared" si="23"/>
        <v>0</v>
      </c>
      <c r="Y126" s="20">
        <f t="shared" si="23"/>
        <v>0</v>
      </c>
      <c r="Z126" s="20">
        <f t="shared" si="23"/>
        <v>0</v>
      </c>
      <c r="AA126" s="20">
        <f t="shared" si="23"/>
        <v>0</v>
      </c>
      <c r="AB126" s="20">
        <f t="shared" si="23"/>
        <v>0</v>
      </c>
      <c r="AC126" s="20">
        <f t="shared" si="23"/>
        <v>0</v>
      </c>
      <c r="AD126" s="20">
        <f t="shared" si="23"/>
        <v>0</v>
      </c>
      <c r="AE126" s="20">
        <f t="shared" si="23"/>
        <v>0</v>
      </c>
      <c r="AF126" s="20">
        <f t="shared" si="23"/>
        <v>0</v>
      </c>
      <c r="AG126" s="20">
        <f t="shared" si="23"/>
        <v>0</v>
      </c>
      <c r="AH126" s="20">
        <f t="shared" si="23"/>
        <v>0</v>
      </c>
      <c r="AI126" s="20">
        <f t="shared" si="23"/>
        <v>0</v>
      </c>
    </row>
    <row r="127" spans="1:54" ht="13">
      <c r="A127" s="2" t="s">
        <v>872</v>
      </c>
      <c r="B127" s="2" t="s">
        <v>823</v>
      </c>
      <c r="C127" s="2" t="s">
        <v>519</v>
      </c>
      <c r="D127" s="2" t="s">
        <v>25</v>
      </c>
      <c r="E127" s="44" t="s">
        <v>35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31"/>
    </row>
    <row r="128" spans="1:54" ht="13">
      <c r="A128" s="2" t="s">
        <v>873</v>
      </c>
      <c r="B128" s="2" t="s">
        <v>823</v>
      </c>
      <c r="C128" s="2" t="s">
        <v>520</v>
      </c>
      <c r="D128" s="2" t="s">
        <v>521</v>
      </c>
      <c r="E128" s="44" t="s">
        <v>522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12"/>
    </row>
    <row r="129" spans="1:35" ht="13">
      <c r="A129" s="2" t="s">
        <v>874</v>
      </c>
      <c r="B129" s="2" t="s">
        <v>823</v>
      </c>
      <c r="C129" s="2" t="s">
        <v>523</v>
      </c>
      <c r="D129" s="2" t="s">
        <v>524</v>
      </c>
      <c r="E129" s="43" t="s">
        <v>525</v>
      </c>
      <c r="F129" s="28"/>
      <c r="G129" s="19">
        <f>F129+'Profit and Loss Statement'!G41-'Additional Information'!G33</f>
        <v>0</v>
      </c>
      <c r="H129" s="19">
        <f>G129+'Profit and Loss Statement'!H41-'Additional Information'!H33</f>
        <v>0</v>
      </c>
      <c r="I129" s="19">
        <f>H129+'Profit and Loss Statement'!I41-'Additional Information'!I33</f>
        <v>0</v>
      </c>
      <c r="J129" s="19">
        <f>I129+'Profit and Loss Statement'!J41-'Additional Information'!J33</f>
        <v>0</v>
      </c>
      <c r="K129" s="19">
        <f>J129+'Profit and Loss Statement'!K41-'Additional Information'!K33</f>
        <v>0</v>
      </c>
      <c r="L129" s="19">
        <f>K129+'Profit and Loss Statement'!L41-'Additional Information'!L33</f>
        <v>0</v>
      </c>
      <c r="M129" s="19">
        <f>L129+'Profit and Loss Statement'!M41-'Additional Information'!M33</f>
        <v>0</v>
      </c>
      <c r="N129" s="19">
        <f>M129+'Profit and Loss Statement'!N41-'Additional Information'!N33</f>
        <v>0</v>
      </c>
      <c r="O129" s="19">
        <f>N129+'Profit and Loss Statement'!O41-'Additional Information'!O33</f>
        <v>0</v>
      </c>
      <c r="P129" s="19">
        <f>O129+'Profit and Loss Statement'!P41-'Additional Information'!P33</f>
        <v>0</v>
      </c>
      <c r="Q129" s="19">
        <f>P129+'Profit and Loss Statement'!Q41-'Additional Information'!Q33</f>
        <v>0</v>
      </c>
      <c r="R129" s="19">
        <f>Q129+'Profit and Loss Statement'!R41-'Additional Information'!R33</f>
        <v>0</v>
      </c>
      <c r="S129" s="19">
        <f>R129+'Profit and Loss Statement'!S41-'Additional Information'!S33</f>
        <v>0</v>
      </c>
      <c r="T129" s="19">
        <f>S129+'Profit and Loss Statement'!T41-'Additional Information'!T33</f>
        <v>0</v>
      </c>
      <c r="U129" s="19">
        <f>T129+'Profit and Loss Statement'!U41-'Additional Information'!U33</f>
        <v>0</v>
      </c>
      <c r="V129" s="19">
        <f>U129+'Profit and Loss Statement'!V41-'Additional Information'!V33</f>
        <v>0</v>
      </c>
      <c r="W129" s="19">
        <f>V129+'Profit and Loss Statement'!W41-'Additional Information'!W33</f>
        <v>0</v>
      </c>
      <c r="X129" s="19">
        <f>W129+'Profit and Loss Statement'!X41-'Additional Information'!X33</f>
        <v>0</v>
      </c>
      <c r="Y129" s="19">
        <f>X129+'Profit and Loss Statement'!Y41-'Additional Information'!Y33</f>
        <v>0</v>
      </c>
      <c r="Z129" s="19">
        <f>Y129+'Profit and Loss Statement'!Z41-'Additional Information'!Z33</f>
        <v>0</v>
      </c>
      <c r="AA129" s="19">
        <f>Z129+'Profit and Loss Statement'!AA41-'Additional Information'!AA33</f>
        <v>0</v>
      </c>
      <c r="AB129" s="19">
        <f>AA129+'Profit and Loss Statement'!AB41-'Additional Information'!AB33</f>
        <v>0</v>
      </c>
      <c r="AC129" s="19">
        <f>AB129+'Profit and Loss Statement'!AC41-'Additional Information'!AC33</f>
        <v>0</v>
      </c>
      <c r="AD129" s="19">
        <f>AC129+'Profit and Loss Statement'!AD41-'Additional Information'!AD33</f>
        <v>0</v>
      </c>
      <c r="AE129" s="19">
        <f>AD129+'Profit and Loss Statement'!AE41-'Additional Information'!AE33</f>
        <v>0</v>
      </c>
      <c r="AF129" s="19">
        <f>AE129+'Profit and Loss Statement'!AF41-'Additional Information'!AF33</f>
        <v>0</v>
      </c>
      <c r="AG129" s="19">
        <f>AF129+'Profit and Loss Statement'!AG41-'Additional Information'!AG33</f>
        <v>0</v>
      </c>
      <c r="AH129" s="19">
        <f>AG129+'Profit and Loss Statement'!AH41-'Additional Information'!AH33</f>
        <v>0</v>
      </c>
      <c r="AI129" s="19">
        <f>AH129+'Profit and Loss Statement'!AI41-'Additional Information'!AI33</f>
        <v>0</v>
      </c>
    </row>
    <row r="130" spans="1:35" ht="13">
      <c r="A130" s="2" t="s">
        <v>875</v>
      </c>
      <c r="B130" s="2" t="s">
        <v>823</v>
      </c>
      <c r="C130" s="2" t="s">
        <v>526</v>
      </c>
      <c r="D130" s="2" t="s">
        <v>527</v>
      </c>
      <c r="E130" s="43" t="s">
        <v>528</v>
      </c>
      <c r="F130" s="20">
        <f t="shared" ref="F130:AI130" si="24">F128-F129</f>
        <v>0</v>
      </c>
      <c r="G130" s="20">
        <f t="shared" si="24"/>
        <v>0</v>
      </c>
      <c r="H130" s="20">
        <f t="shared" si="24"/>
        <v>0</v>
      </c>
      <c r="I130" s="20">
        <f t="shared" si="24"/>
        <v>0</v>
      </c>
      <c r="J130" s="20">
        <f t="shared" si="24"/>
        <v>0</v>
      </c>
      <c r="K130" s="20">
        <f t="shared" si="24"/>
        <v>0</v>
      </c>
      <c r="L130" s="20">
        <f t="shared" si="24"/>
        <v>0</v>
      </c>
      <c r="M130" s="20">
        <f t="shared" si="24"/>
        <v>0</v>
      </c>
      <c r="N130" s="20">
        <f t="shared" si="24"/>
        <v>0</v>
      </c>
      <c r="O130" s="20">
        <f t="shared" si="24"/>
        <v>0</v>
      </c>
      <c r="P130" s="20">
        <f t="shared" si="24"/>
        <v>0</v>
      </c>
      <c r="Q130" s="20">
        <f t="shared" si="24"/>
        <v>0</v>
      </c>
      <c r="R130" s="20">
        <f t="shared" si="24"/>
        <v>0</v>
      </c>
      <c r="S130" s="20">
        <f t="shared" si="24"/>
        <v>0</v>
      </c>
      <c r="T130" s="20">
        <f t="shared" si="24"/>
        <v>0</v>
      </c>
      <c r="U130" s="20">
        <f t="shared" si="24"/>
        <v>0</v>
      </c>
      <c r="V130" s="20">
        <f t="shared" si="24"/>
        <v>0</v>
      </c>
      <c r="W130" s="20">
        <f t="shared" si="24"/>
        <v>0</v>
      </c>
      <c r="X130" s="20">
        <f t="shared" si="24"/>
        <v>0</v>
      </c>
      <c r="Y130" s="20">
        <f t="shared" si="24"/>
        <v>0</v>
      </c>
      <c r="Z130" s="20">
        <f t="shared" si="24"/>
        <v>0</v>
      </c>
      <c r="AA130" s="20">
        <f t="shared" si="24"/>
        <v>0</v>
      </c>
      <c r="AB130" s="20">
        <f t="shared" si="24"/>
        <v>0</v>
      </c>
      <c r="AC130" s="20">
        <f t="shared" si="24"/>
        <v>0</v>
      </c>
      <c r="AD130" s="20">
        <f t="shared" si="24"/>
        <v>0</v>
      </c>
      <c r="AE130" s="20">
        <f t="shared" si="24"/>
        <v>0</v>
      </c>
      <c r="AF130" s="20">
        <f t="shared" si="24"/>
        <v>0</v>
      </c>
      <c r="AG130" s="20">
        <f t="shared" si="24"/>
        <v>0</v>
      </c>
      <c r="AH130" s="20">
        <f t="shared" si="24"/>
        <v>0</v>
      </c>
      <c r="AI130" s="20">
        <f t="shared" si="24"/>
        <v>0</v>
      </c>
    </row>
    <row r="131" spans="1:35" ht="13">
      <c r="A131" s="2" t="s">
        <v>876</v>
      </c>
      <c r="B131" s="2" t="s">
        <v>822</v>
      </c>
      <c r="C131" s="2" t="s">
        <v>162</v>
      </c>
      <c r="D131" s="2" t="s">
        <v>530</v>
      </c>
      <c r="E131" s="43" t="s">
        <v>529</v>
      </c>
      <c r="F131" s="20">
        <f t="shared" ref="F131:AI131" si="25">ROUND(F104+F111+F126+F130,2)</f>
        <v>0</v>
      </c>
      <c r="G131" s="20">
        <f t="shared" si="25"/>
        <v>0</v>
      </c>
      <c r="H131" s="20">
        <f t="shared" si="25"/>
        <v>0</v>
      </c>
      <c r="I131" s="20">
        <f t="shared" si="25"/>
        <v>0</v>
      </c>
      <c r="J131" s="20">
        <f t="shared" si="25"/>
        <v>0</v>
      </c>
      <c r="K131" s="20">
        <f t="shared" si="25"/>
        <v>0</v>
      </c>
      <c r="L131" s="20">
        <f t="shared" si="25"/>
        <v>0</v>
      </c>
      <c r="M131" s="20">
        <f t="shared" si="25"/>
        <v>0</v>
      </c>
      <c r="N131" s="20">
        <f t="shared" si="25"/>
        <v>0</v>
      </c>
      <c r="O131" s="20">
        <f t="shared" si="25"/>
        <v>0</v>
      </c>
      <c r="P131" s="20">
        <f t="shared" si="25"/>
        <v>0</v>
      </c>
      <c r="Q131" s="20">
        <f t="shared" si="25"/>
        <v>0</v>
      </c>
      <c r="R131" s="20">
        <f t="shared" si="25"/>
        <v>0</v>
      </c>
      <c r="S131" s="20">
        <f t="shared" si="25"/>
        <v>0</v>
      </c>
      <c r="T131" s="20">
        <f t="shared" si="25"/>
        <v>0</v>
      </c>
      <c r="U131" s="20">
        <f t="shared" si="25"/>
        <v>0</v>
      </c>
      <c r="V131" s="20">
        <f t="shared" si="25"/>
        <v>0</v>
      </c>
      <c r="W131" s="20">
        <f t="shared" si="25"/>
        <v>0</v>
      </c>
      <c r="X131" s="20">
        <f t="shared" si="25"/>
        <v>0</v>
      </c>
      <c r="Y131" s="20">
        <f t="shared" si="25"/>
        <v>0</v>
      </c>
      <c r="Z131" s="20">
        <f t="shared" si="25"/>
        <v>0</v>
      </c>
      <c r="AA131" s="20">
        <f t="shared" si="25"/>
        <v>0</v>
      </c>
      <c r="AB131" s="20">
        <f t="shared" si="25"/>
        <v>0</v>
      </c>
      <c r="AC131" s="20">
        <f t="shared" si="25"/>
        <v>0</v>
      </c>
      <c r="AD131" s="20">
        <f t="shared" si="25"/>
        <v>0</v>
      </c>
      <c r="AE131" s="20">
        <f t="shared" si="25"/>
        <v>0</v>
      </c>
      <c r="AF131" s="20">
        <f t="shared" si="25"/>
        <v>0</v>
      </c>
      <c r="AG131" s="20">
        <f t="shared" si="25"/>
        <v>0</v>
      </c>
      <c r="AH131" s="20">
        <f t="shared" si="25"/>
        <v>0</v>
      </c>
      <c r="AI131" s="20">
        <f t="shared" si="25"/>
        <v>0</v>
      </c>
    </row>
    <row r="132" spans="1:35" ht="13">
      <c r="A132" s="2" t="s">
        <v>877</v>
      </c>
      <c r="B132" s="2" t="s">
        <v>822</v>
      </c>
      <c r="C132" s="2" t="s">
        <v>163</v>
      </c>
      <c r="D132" s="2" t="s">
        <v>25</v>
      </c>
      <c r="E132" s="43" t="s">
        <v>35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</row>
    <row r="133" spans="1:35" ht="20.5">
      <c r="A133" s="2" t="s">
        <v>878</v>
      </c>
      <c r="B133" s="2" t="s">
        <v>822</v>
      </c>
      <c r="C133" s="2" t="s">
        <v>166</v>
      </c>
      <c r="D133" s="2"/>
      <c r="E133" s="45" t="s">
        <v>171</v>
      </c>
      <c r="F133" s="33" t="b">
        <f>IF(F134=0,TRUE,FALSE)</f>
        <v>1</v>
      </c>
      <c r="G133" s="33" t="b">
        <f t="shared" ref="G133:AI133" si="26">IF(G134=0,TRUE,FALSE)</f>
        <v>1</v>
      </c>
      <c r="H133" s="33" t="b">
        <f t="shared" si="26"/>
        <v>1</v>
      </c>
      <c r="I133" s="33" t="b">
        <f t="shared" si="26"/>
        <v>1</v>
      </c>
      <c r="J133" s="33" t="b">
        <f t="shared" si="26"/>
        <v>1</v>
      </c>
      <c r="K133" s="33" t="b">
        <f t="shared" si="26"/>
        <v>1</v>
      </c>
      <c r="L133" s="33" t="b">
        <f t="shared" si="26"/>
        <v>1</v>
      </c>
      <c r="M133" s="33" t="b">
        <f t="shared" si="26"/>
        <v>1</v>
      </c>
      <c r="N133" s="33" t="b">
        <f t="shared" si="26"/>
        <v>1</v>
      </c>
      <c r="O133" s="33" t="b">
        <f t="shared" si="26"/>
        <v>1</v>
      </c>
      <c r="P133" s="33" t="b">
        <f t="shared" si="26"/>
        <v>1</v>
      </c>
      <c r="Q133" s="33" t="b">
        <f t="shared" si="26"/>
        <v>1</v>
      </c>
      <c r="R133" s="33" t="b">
        <f t="shared" si="26"/>
        <v>1</v>
      </c>
      <c r="S133" s="33" t="b">
        <f t="shared" si="26"/>
        <v>1</v>
      </c>
      <c r="T133" s="33" t="b">
        <f t="shared" si="26"/>
        <v>1</v>
      </c>
      <c r="U133" s="33" t="b">
        <f t="shared" si="26"/>
        <v>1</v>
      </c>
      <c r="V133" s="33" t="b">
        <f t="shared" si="26"/>
        <v>1</v>
      </c>
      <c r="W133" s="33" t="b">
        <f t="shared" si="26"/>
        <v>1</v>
      </c>
      <c r="X133" s="33" t="b">
        <f t="shared" si="26"/>
        <v>1</v>
      </c>
      <c r="Y133" s="33" t="b">
        <f t="shared" si="26"/>
        <v>1</v>
      </c>
      <c r="Z133" s="33" t="b">
        <f t="shared" si="26"/>
        <v>1</v>
      </c>
      <c r="AA133" s="33" t="b">
        <f t="shared" si="26"/>
        <v>1</v>
      </c>
      <c r="AB133" s="33" t="b">
        <f t="shared" si="26"/>
        <v>1</v>
      </c>
      <c r="AC133" s="33" t="b">
        <f t="shared" si="26"/>
        <v>1</v>
      </c>
      <c r="AD133" s="33" t="b">
        <f t="shared" si="26"/>
        <v>1</v>
      </c>
      <c r="AE133" s="33" t="b">
        <f t="shared" si="26"/>
        <v>1</v>
      </c>
      <c r="AF133" s="33" t="b">
        <f t="shared" si="26"/>
        <v>1</v>
      </c>
      <c r="AG133" s="33" t="b">
        <f t="shared" si="26"/>
        <v>1</v>
      </c>
      <c r="AH133" s="33" t="b">
        <f t="shared" si="26"/>
        <v>1</v>
      </c>
      <c r="AI133" s="33" t="b">
        <f t="shared" si="26"/>
        <v>1</v>
      </c>
    </row>
    <row r="134" spans="1:35" ht="13">
      <c r="A134" s="2" t="s">
        <v>879</v>
      </c>
      <c r="B134" s="2" t="s">
        <v>822</v>
      </c>
      <c r="C134" s="2" t="s">
        <v>167</v>
      </c>
      <c r="D134" s="2"/>
      <c r="E134" s="43" t="s">
        <v>171</v>
      </c>
      <c r="F134" s="20">
        <f>IF(F9="",0,F131-F75)</f>
        <v>0</v>
      </c>
      <c r="G134" s="20">
        <f t="shared" ref="G134:AI134" si="27">IF(G9="",0,G131-G75)</f>
        <v>0</v>
      </c>
      <c r="H134" s="20">
        <f t="shared" si="27"/>
        <v>0</v>
      </c>
      <c r="I134" s="20">
        <f t="shared" si="27"/>
        <v>0</v>
      </c>
      <c r="J134" s="20">
        <f t="shared" si="27"/>
        <v>0</v>
      </c>
      <c r="K134" s="20">
        <f t="shared" si="27"/>
        <v>0</v>
      </c>
      <c r="L134" s="20">
        <f t="shared" si="27"/>
        <v>0</v>
      </c>
      <c r="M134" s="20">
        <f t="shared" si="27"/>
        <v>0</v>
      </c>
      <c r="N134" s="20">
        <f t="shared" si="27"/>
        <v>0</v>
      </c>
      <c r="O134" s="20">
        <f t="shared" si="27"/>
        <v>0</v>
      </c>
      <c r="P134" s="20">
        <f t="shared" si="27"/>
        <v>0</v>
      </c>
      <c r="Q134" s="20">
        <f t="shared" si="27"/>
        <v>0</v>
      </c>
      <c r="R134" s="20">
        <f t="shared" si="27"/>
        <v>0</v>
      </c>
      <c r="S134" s="20">
        <f t="shared" si="27"/>
        <v>0</v>
      </c>
      <c r="T134" s="20">
        <f t="shared" si="27"/>
        <v>0</v>
      </c>
      <c r="U134" s="20">
        <f t="shared" si="27"/>
        <v>0</v>
      </c>
      <c r="V134" s="20">
        <f t="shared" si="27"/>
        <v>0</v>
      </c>
      <c r="W134" s="20">
        <f t="shared" si="27"/>
        <v>0</v>
      </c>
      <c r="X134" s="20">
        <f t="shared" si="27"/>
        <v>0</v>
      </c>
      <c r="Y134" s="20">
        <f t="shared" si="27"/>
        <v>0</v>
      </c>
      <c r="Z134" s="20">
        <f t="shared" si="27"/>
        <v>0</v>
      </c>
      <c r="AA134" s="20">
        <f t="shared" si="27"/>
        <v>0</v>
      </c>
      <c r="AB134" s="20">
        <f t="shared" si="27"/>
        <v>0</v>
      </c>
      <c r="AC134" s="20">
        <f t="shared" si="27"/>
        <v>0</v>
      </c>
      <c r="AD134" s="20">
        <f t="shared" si="27"/>
        <v>0</v>
      </c>
      <c r="AE134" s="20">
        <f t="shared" si="27"/>
        <v>0</v>
      </c>
      <c r="AF134" s="20">
        <f t="shared" si="27"/>
        <v>0</v>
      </c>
      <c r="AG134" s="20">
        <f t="shared" si="27"/>
        <v>0</v>
      </c>
      <c r="AH134" s="20">
        <f t="shared" si="27"/>
        <v>0</v>
      </c>
      <c r="AI134" s="20">
        <f t="shared" si="27"/>
        <v>0</v>
      </c>
    </row>
    <row r="135" spans="1:35" ht="13">
      <c r="A135" s="2" t="s">
        <v>880</v>
      </c>
      <c r="B135" s="2" t="s">
        <v>822</v>
      </c>
      <c r="C135" s="2" t="s">
        <v>168</v>
      </c>
      <c r="D135" s="2" t="s">
        <v>25</v>
      </c>
      <c r="E135" s="43" t="s">
        <v>35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</row>
    <row r="136" spans="1:35" ht="13">
      <c r="A136" s="2" t="s">
        <v>881</v>
      </c>
      <c r="B136" s="2" t="s">
        <v>822</v>
      </c>
      <c r="C136" s="2" t="s">
        <v>169</v>
      </c>
      <c r="D136" s="2" t="s">
        <v>531</v>
      </c>
      <c r="E136" s="44" t="s">
        <v>532</v>
      </c>
      <c r="F136" s="20">
        <f>ROUND(F74-F130-F63-F72,2)</f>
        <v>0</v>
      </c>
      <c r="G136" s="20">
        <f>ROUND(G74-G130-G63-G72,2)</f>
        <v>0</v>
      </c>
      <c r="H136" s="20">
        <f t="shared" ref="H136:AI136" si="28">ROUND(H74-H130-H63-H72,2)</f>
        <v>0</v>
      </c>
      <c r="I136" s="20">
        <f t="shared" si="28"/>
        <v>0</v>
      </c>
      <c r="J136" s="20">
        <f t="shared" si="28"/>
        <v>0</v>
      </c>
      <c r="K136" s="20">
        <f t="shared" si="28"/>
        <v>0</v>
      </c>
      <c r="L136" s="20">
        <f t="shared" si="28"/>
        <v>0</v>
      </c>
      <c r="M136" s="20">
        <f t="shared" si="28"/>
        <v>0</v>
      </c>
      <c r="N136" s="20">
        <f t="shared" si="28"/>
        <v>0</v>
      </c>
      <c r="O136" s="20">
        <f t="shared" si="28"/>
        <v>0</v>
      </c>
      <c r="P136" s="20">
        <f t="shared" si="28"/>
        <v>0</v>
      </c>
      <c r="Q136" s="20">
        <f t="shared" si="28"/>
        <v>0</v>
      </c>
      <c r="R136" s="20">
        <f t="shared" si="28"/>
        <v>0</v>
      </c>
      <c r="S136" s="20">
        <f t="shared" si="28"/>
        <v>0</v>
      </c>
      <c r="T136" s="20">
        <f t="shared" si="28"/>
        <v>0</v>
      </c>
      <c r="U136" s="20">
        <f t="shared" si="28"/>
        <v>0</v>
      </c>
      <c r="V136" s="20">
        <f t="shared" si="28"/>
        <v>0</v>
      </c>
      <c r="W136" s="20">
        <f t="shared" si="28"/>
        <v>0</v>
      </c>
      <c r="X136" s="20">
        <f t="shared" si="28"/>
        <v>0</v>
      </c>
      <c r="Y136" s="20">
        <f t="shared" si="28"/>
        <v>0</v>
      </c>
      <c r="Z136" s="20">
        <f t="shared" si="28"/>
        <v>0</v>
      </c>
      <c r="AA136" s="20">
        <f t="shared" si="28"/>
        <v>0</v>
      </c>
      <c r="AB136" s="20">
        <f t="shared" si="28"/>
        <v>0</v>
      </c>
      <c r="AC136" s="20">
        <f t="shared" si="28"/>
        <v>0</v>
      </c>
      <c r="AD136" s="20">
        <f t="shared" si="28"/>
        <v>0</v>
      </c>
      <c r="AE136" s="20">
        <f t="shared" si="28"/>
        <v>0</v>
      </c>
      <c r="AF136" s="20">
        <f t="shared" si="28"/>
        <v>0</v>
      </c>
      <c r="AG136" s="20">
        <f t="shared" si="28"/>
        <v>0</v>
      </c>
      <c r="AH136" s="20">
        <f t="shared" si="28"/>
        <v>0</v>
      </c>
      <c r="AI136" s="20">
        <f t="shared" si="28"/>
        <v>0</v>
      </c>
    </row>
    <row r="137" spans="1:35" ht="13">
      <c r="A137" s="2" t="s">
        <v>882</v>
      </c>
      <c r="B137" s="2" t="s">
        <v>822</v>
      </c>
      <c r="C137" s="2" t="s">
        <v>170</v>
      </c>
      <c r="D137" s="2" t="s">
        <v>533</v>
      </c>
      <c r="E137" s="43" t="s">
        <v>175</v>
      </c>
      <c r="F137" s="20">
        <f>ROUND(F104-F47,2)</f>
        <v>0</v>
      </c>
      <c r="G137" s="20">
        <f>ROUND(G104-G47,2)</f>
        <v>0</v>
      </c>
      <c r="H137" s="20">
        <f t="shared" ref="H137:AI137" si="29">ROUND(H104-H47,2)</f>
        <v>0</v>
      </c>
      <c r="I137" s="20">
        <f t="shared" si="29"/>
        <v>0</v>
      </c>
      <c r="J137" s="20">
        <f t="shared" si="29"/>
        <v>0</v>
      </c>
      <c r="K137" s="20">
        <f t="shared" si="29"/>
        <v>0</v>
      </c>
      <c r="L137" s="20">
        <f t="shared" si="29"/>
        <v>0</v>
      </c>
      <c r="M137" s="20">
        <f t="shared" si="29"/>
        <v>0</v>
      </c>
      <c r="N137" s="20">
        <f t="shared" si="29"/>
        <v>0</v>
      </c>
      <c r="O137" s="20">
        <f t="shared" si="29"/>
        <v>0</v>
      </c>
      <c r="P137" s="20">
        <f t="shared" si="29"/>
        <v>0</v>
      </c>
      <c r="Q137" s="20">
        <f t="shared" si="29"/>
        <v>0</v>
      </c>
      <c r="R137" s="20">
        <f t="shared" si="29"/>
        <v>0</v>
      </c>
      <c r="S137" s="20">
        <f t="shared" si="29"/>
        <v>0</v>
      </c>
      <c r="T137" s="20">
        <f t="shared" si="29"/>
        <v>0</v>
      </c>
      <c r="U137" s="20">
        <f t="shared" si="29"/>
        <v>0</v>
      </c>
      <c r="V137" s="20">
        <f t="shared" si="29"/>
        <v>0</v>
      </c>
      <c r="W137" s="20">
        <f t="shared" si="29"/>
        <v>0</v>
      </c>
      <c r="X137" s="20">
        <f t="shared" si="29"/>
        <v>0</v>
      </c>
      <c r="Y137" s="20">
        <f t="shared" si="29"/>
        <v>0</v>
      </c>
      <c r="Z137" s="20">
        <f t="shared" si="29"/>
        <v>0</v>
      </c>
      <c r="AA137" s="20">
        <f t="shared" si="29"/>
        <v>0</v>
      </c>
      <c r="AB137" s="20">
        <f t="shared" si="29"/>
        <v>0</v>
      </c>
      <c r="AC137" s="20">
        <f t="shared" si="29"/>
        <v>0</v>
      </c>
      <c r="AD137" s="20">
        <f t="shared" si="29"/>
        <v>0</v>
      </c>
      <c r="AE137" s="20">
        <f t="shared" si="29"/>
        <v>0</v>
      </c>
      <c r="AF137" s="20">
        <f t="shared" si="29"/>
        <v>0</v>
      </c>
      <c r="AG137" s="20">
        <f t="shared" si="29"/>
        <v>0</v>
      </c>
      <c r="AH137" s="20">
        <f t="shared" si="29"/>
        <v>0</v>
      </c>
      <c r="AI137" s="20">
        <f t="shared" si="29"/>
        <v>0</v>
      </c>
    </row>
    <row r="138" spans="1:35" ht="13">
      <c r="A138" s="2" t="s">
        <v>883</v>
      </c>
      <c r="B138" s="2" t="s">
        <v>822</v>
      </c>
      <c r="C138" s="2" t="s">
        <v>172</v>
      </c>
      <c r="D138" s="2" t="s">
        <v>534</v>
      </c>
      <c r="E138" s="43" t="s">
        <v>176</v>
      </c>
      <c r="F138" s="20" t="str">
        <f>IF(F104&lt;&gt;0,F104/F47,"")</f>
        <v/>
      </c>
      <c r="G138" s="20" t="str">
        <f>IF(G104&lt;&gt;0,G104/G47,"")</f>
        <v/>
      </c>
      <c r="H138" s="20" t="str">
        <f t="shared" ref="H138:AI138" si="30">IF(H104&lt;&gt;0,H104/H47,"")</f>
        <v/>
      </c>
      <c r="I138" s="20" t="str">
        <f t="shared" si="30"/>
        <v/>
      </c>
      <c r="J138" s="20" t="str">
        <f t="shared" si="30"/>
        <v/>
      </c>
      <c r="K138" s="20" t="str">
        <f t="shared" si="30"/>
        <v/>
      </c>
      <c r="L138" s="20" t="str">
        <f t="shared" si="30"/>
        <v/>
      </c>
      <c r="M138" s="20" t="str">
        <f t="shared" si="30"/>
        <v/>
      </c>
      <c r="N138" s="20" t="str">
        <f t="shared" si="30"/>
        <v/>
      </c>
      <c r="O138" s="20" t="str">
        <f t="shared" si="30"/>
        <v/>
      </c>
      <c r="P138" s="20" t="str">
        <f t="shared" si="30"/>
        <v/>
      </c>
      <c r="Q138" s="20" t="str">
        <f t="shared" si="30"/>
        <v/>
      </c>
      <c r="R138" s="20" t="str">
        <f t="shared" si="30"/>
        <v/>
      </c>
      <c r="S138" s="20" t="str">
        <f t="shared" si="30"/>
        <v/>
      </c>
      <c r="T138" s="20" t="str">
        <f t="shared" si="30"/>
        <v/>
      </c>
      <c r="U138" s="20" t="str">
        <f t="shared" si="30"/>
        <v/>
      </c>
      <c r="V138" s="20" t="str">
        <f t="shared" si="30"/>
        <v/>
      </c>
      <c r="W138" s="20" t="str">
        <f t="shared" si="30"/>
        <v/>
      </c>
      <c r="X138" s="20" t="str">
        <f t="shared" si="30"/>
        <v/>
      </c>
      <c r="Y138" s="20" t="str">
        <f t="shared" si="30"/>
        <v/>
      </c>
      <c r="Z138" s="20" t="str">
        <f t="shared" si="30"/>
        <v/>
      </c>
      <c r="AA138" s="20" t="str">
        <f t="shared" si="30"/>
        <v/>
      </c>
      <c r="AB138" s="20" t="str">
        <f t="shared" si="30"/>
        <v/>
      </c>
      <c r="AC138" s="20" t="str">
        <f t="shared" si="30"/>
        <v/>
      </c>
      <c r="AD138" s="20" t="str">
        <f t="shared" si="30"/>
        <v/>
      </c>
      <c r="AE138" s="20" t="str">
        <f t="shared" si="30"/>
        <v/>
      </c>
      <c r="AF138" s="20" t="str">
        <f t="shared" si="30"/>
        <v/>
      </c>
      <c r="AG138" s="20" t="str">
        <f t="shared" si="30"/>
        <v/>
      </c>
      <c r="AH138" s="20" t="str">
        <f t="shared" si="30"/>
        <v/>
      </c>
      <c r="AI138" s="20" t="str">
        <f t="shared" si="30"/>
        <v/>
      </c>
    </row>
    <row r="139" spans="1:35" ht="13">
      <c r="A139" s="2" t="s">
        <v>884</v>
      </c>
      <c r="B139" s="2" t="s">
        <v>822</v>
      </c>
      <c r="C139" s="2" t="s">
        <v>173</v>
      </c>
      <c r="D139" s="2" t="s">
        <v>536</v>
      </c>
      <c r="E139" s="44" t="s">
        <v>535</v>
      </c>
      <c r="F139" s="20" t="str">
        <f>IFERROR(IF(F58&lt;&gt;0,F58/F136,""),0)</f>
        <v/>
      </c>
      <c r="G139" s="20" t="str">
        <f t="shared" ref="G139:AI139" si="31">IFERROR(IF(G58&lt;&gt;0,G58/G136,""),0)</f>
        <v/>
      </c>
      <c r="H139" s="20" t="str">
        <f t="shared" si="31"/>
        <v/>
      </c>
      <c r="I139" s="20" t="str">
        <f t="shared" si="31"/>
        <v/>
      </c>
      <c r="J139" s="20" t="str">
        <f t="shared" si="31"/>
        <v/>
      </c>
      <c r="K139" s="20" t="str">
        <f t="shared" si="31"/>
        <v/>
      </c>
      <c r="L139" s="20" t="str">
        <f t="shared" si="31"/>
        <v/>
      </c>
      <c r="M139" s="20" t="str">
        <f t="shared" si="31"/>
        <v/>
      </c>
      <c r="N139" s="20" t="str">
        <f t="shared" si="31"/>
        <v/>
      </c>
      <c r="O139" s="20" t="str">
        <f t="shared" si="31"/>
        <v/>
      </c>
      <c r="P139" s="20" t="str">
        <f t="shared" si="31"/>
        <v/>
      </c>
      <c r="Q139" s="20" t="str">
        <f t="shared" si="31"/>
        <v/>
      </c>
      <c r="R139" s="20" t="str">
        <f t="shared" si="31"/>
        <v/>
      </c>
      <c r="S139" s="20" t="str">
        <f t="shared" si="31"/>
        <v/>
      </c>
      <c r="T139" s="20" t="str">
        <f t="shared" si="31"/>
        <v/>
      </c>
      <c r="U139" s="20" t="str">
        <f t="shared" si="31"/>
        <v/>
      </c>
      <c r="V139" s="20" t="str">
        <f t="shared" si="31"/>
        <v/>
      </c>
      <c r="W139" s="20" t="str">
        <f t="shared" si="31"/>
        <v/>
      </c>
      <c r="X139" s="20" t="str">
        <f t="shared" si="31"/>
        <v/>
      </c>
      <c r="Y139" s="20" t="str">
        <f t="shared" si="31"/>
        <v/>
      </c>
      <c r="Z139" s="20" t="str">
        <f t="shared" si="31"/>
        <v/>
      </c>
      <c r="AA139" s="20" t="str">
        <f t="shared" si="31"/>
        <v/>
      </c>
      <c r="AB139" s="20" t="str">
        <f t="shared" si="31"/>
        <v/>
      </c>
      <c r="AC139" s="20" t="str">
        <f t="shared" si="31"/>
        <v/>
      </c>
      <c r="AD139" s="20" t="str">
        <f t="shared" si="31"/>
        <v/>
      </c>
      <c r="AE139" s="20" t="str">
        <f t="shared" si="31"/>
        <v/>
      </c>
      <c r="AF139" s="20" t="str">
        <f t="shared" si="31"/>
        <v/>
      </c>
      <c r="AG139" s="20" t="str">
        <f t="shared" si="31"/>
        <v/>
      </c>
      <c r="AH139" s="20" t="str">
        <f t="shared" si="31"/>
        <v/>
      </c>
      <c r="AI139" s="20" t="str">
        <f t="shared" si="31"/>
        <v/>
      </c>
    </row>
    <row r="140" spans="1:35" ht="13">
      <c r="A140" s="2" t="s">
        <v>885</v>
      </c>
      <c r="B140" s="2" t="s">
        <v>822</v>
      </c>
      <c r="C140" s="2" t="s">
        <v>174</v>
      </c>
      <c r="D140" s="2" t="s">
        <v>537</v>
      </c>
      <c r="E140" s="44" t="s">
        <v>538</v>
      </c>
      <c r="F140" s="20" t="str">
        <f>IF(F57&lt;&gt;0,F57/F136,"")</f>
        <v/>
      </c>
      <c r="G140" s="20" t="str">
        <f>IF(G57&lt;&gt;0,G57/G136,"")</f>
        <v/>
      </c>
      <c r="H140" s="20" t="str">
        <f t="shared" ref="H140:AI140" si="32">IF(H57&lt;&gt;0,H57/H136,"")</f>
        <v/>
      </c>
      <c r="I140" s="20" t="str">
        <f t="shared" si="32"/>
        <v/>
      </c>
      <c r="J140" s="20" t="str">
        <f t="shared" si="32"/>
        <v/>
      </c>
      <c r="K140" s="20" t="str">
        <f t="shared" si="32"/>
        <v/>
      </c>
      <c r="L140" s="20" t="str">
        <f t="shared" si="32"/>
        <v/>
      </c>
      <c r="M140" s="20" t="str">
        <f t="shared" si="32"/>
        <v/>
      </c>
      <c r="N140" s="20" t="str">
        <f t="shared" si="32"/>
        <v/>
      </c>
      <c r="O140" s="20" t="str">
        <f t="shared" si="32"/>
        <v/>
      </c>
      <c r="P140" s="20" t="str">
        <f t="shared" si="32"/>
        <v/>
      </c>
      <c r="Q140" s="20" t="str">
        <f t="shared" si="32"/>
        <v/>
      </c>
      <c r="R140" s="20" t="str">
        <f t="shared" si="32"/>
        <v/>
      </c>
      <c r="S140" s="20" t="str">
        <f t="shared" si="32"/>
        <v/>
      </c>
      <c r="T140" s="20" t="str">
        <f t="shared" si="32"/>
        <v/>
      </c>
      <c r="U140" s="20" t="str">
        <f t="shared" si="32"/>
        <v/>
      </c>
      <c r="V140" s="20" t="str">
        <f t="shared" si="32"/>
        <v/>
      </c>
      <c r="W140" s="20" t="str">
        <f t="shared" si="32"/>
        <v/>
      </c>
      <c r="X140" s="20" t="str">
        <f t="shared" si="32"/>
        <v/>
      </c>
      <c r="Y140" s="20" t="str">
        <f t="shared" si="32"/>
        <v/>
      </c>
      <c r="Z140" s="20" t="str">
        <f t="shared" si="32"/>
        <v/>
      </c>
      <c r="AA140" s="20" t="str">
        <f t="shared" si="32"/>
        <v/>
      </c>
      <c r="AB140" s="20" t="str">
        <f t="shared" si="32"/>
        <v/>
      </c>
      <c r="AC140" s="20" t="str">
        <f t="shared" si="32"/>
        <v/>
      </c>
      <c r="AD140" s="20" t="str">
        <f t="shared" si="32"/>
        <v/>
      </c>
      <c r="AE140" s="20" t="str">
        <f t="shared" si="32"/>
        <v/>
      </c>
      <c r="AF140" s="20" t="str">
        <f t="shared" si="32"/>
        <v/>
      </c>
      <c r="AG140" s="20" t="str">
        <f t="shared" si="32"/>
        <v/>
      </c>
      <c r="AH140" s="20" t="str">
        <f t="shared" si="32"/>
        <v/>
      </c>
      <c r="AI140" s="20" t="str">
        <f t="shared" si="32"/>
        <v/>
      </c>
    </row>
  </sheetData>
  <sheetProtection algorithmName="SHA-512" hashValue="qKsydCqYMBjgokEywL+09HHxf66hc0J1Hxx0ol3SgYCq6gGeoNYrk2UJ+Xba5Iiv7yGOPRjzCYyhQnrDW1sTsg==" saltValue="k/+o32u7w+k9/7tkaftnhQ==" spinCount="100000" sheet="1" objects="1" scenarios="1"/>
  <dataValidations count="1">
    <dataValidation operator="lessThanOrEqual" allowBlank="1" showInputMessage="1" showErrorMessage="1" sqref="F86:AE88 AF86:AF87 AG86:AI88 F91:AI97 F99:AI103 F105:AI106 F108:AI110 F112:AI113 F115:AI118 F120:AI125 F127:AI129" xr:uid="{00000000-0002-0000-0100-000000000000}"/>
  </dataValidations>
  <pageMargins left="0.75" right="0.75" top="1" bottom="1" header="0.5" footer="0.5"/>
  <pageSetup orientation="portrait"/>
  <ignoredErrors>
    <ignoredError sqref="F7:AI7 F9:AI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0667-94CD-4117-80FB-C11152AAE975}">
  <sheetPr codeName="Sheet3"/>
  <dimension ref="A1:AI35"/>
  <sheetViews>
    <sheetView topLeftCell="D6" workbookViewId="0">
      <selection activeCell="F23" sqref="F23"/>
    </sheetView>
  </sheetViews>
  <sheetFormatPr defaultRowHeight="12.5"/>
  <cols>
    <col min="1" max="3" width="9.1796875" hidden="1" customWidth="1"/>
    <col min="4" max="4" width="6.54296875" customWidth="1"/>
    <col min="5" max="5" width="50.7265625" customWidth="1"/>
    <col min="6" max="35" width="20.7265625" customWidth="1"/>
  </cols>
  <sheetData>
    <row r="1" spans="1:35" s="14" customFormat="1">
      <c r="A1"/>
      <c r="B1"/>
      <c r="C1"/>
      <c r="D1"/>
      <c r="E1" s="40" t="s">
        <v>0</v>
      </c>
      <c r="F1" t="str">
        <f>IF('Profit and Loss Statement'!F1="","",'Profit and Loss Statement'!F1)</f>
        <v/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4" customFormat="1">
      <c r="A2"/>
      <c r="B2"/>
      <c r="C2"/>
      <c r="D2"/>
      <c r="E2" s="1" t="s">
        <v>1</v>
      </c>
      <c r="F2" t="str">
        <f>IF('Profit and Loss Statement'!F2="","",'Profit and Loss Statement'!F2)</f>
        <v/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>
      <c r="A3" t="s">
        <v>177</v>
      </c>
      <c r="E3" s="40" t="s">
        <v>3</v>
      </c>
      <c r="F3" t="s">
        <v>989</v>
      </c>
    </row>
    <row r="4" spans="1:35" s="14" customFormat="1">
      <c r="A4"/>
      <c r="B4"/>
      <c r="C4"/>
      <c r="D4"/>
      <c r="E4" s="1" t="s">
        <v>4</v>
      </c>
      <c r="F4" t="str">
        <f>IF('Profit and Loss Statement'!F4="","",'Profit and Loss Statement'!F4)</f>
        <v/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>
      <c r="E5" s="40" t="s">
        <v>5</v>
      </c>
      <c r="F5" s="17" t="str">
        <f>IF('Profit and Loss Statement'!F5="","",'Profit and Loss Statement'!F5)</f>
        <v>GAAP</v>
      </c>
      <c r="G5" s="17" t="str">
        <f>IF('Profit and Loss Statement'!G5="","",'Profit and Loss Statement'!G5)</f>
        <v/>
      </c>
      <c r="H5" s="17" t="str">
        <f>IF('Profit and Loss Statement'!H5="","",'Profit and Loss Statement'!H5)</f>
        <v/>
      </c>
      <c r="I5" s="17" t="str">
        <f>IF('Profit and Loss Statement'!I5="","",'Profit and Loss Statement'!I5)</f>
        <v/>
      </c>
      <c r="J5" s="17" t="str">
        <f>IF('Profit and Loss Statement'!J5="","",'Profit and Loss Statement'!J5)</f>
        <v/>
      </c>
      <c r="K5" s="17" t="str">
        <f>IF('Profit and Loss Statement'!K5="","",'Profit and Loss Statement'!K5)</f>
        <v/>
      </c>
      <c r="L5" s="17" t="str">
        <f>IF('Profit and Loss Statement'!L5="","",'Profit and Loss Statement'!L5)</f>
        <v/>
      </c>
      <c r="M5" s="17" t="str">
        <f>IF('Profit and Loss Statement'!M5="","",'Profit and Loss Statement'!M5)</f>
        <v/>
      </c>
      <c r="N5" s="17" t="str">
        <f>IF('Profit and Loss Statement'!N5="","",'Profit and Loss Statement'!N5)</f>
        <v/>
      </c>
      <c r="O5" s="17" t="str">
        <f>IF('Profit and Loss Statement'!O5="","",'Profit and Loss Statement'!O5)</f>
        <v/>
      </c>
      <c r="P5" s="17" t="str">
        <f>IF('Profit and Loss Statement'!P5="","",'Profit and Loss Statement'!P5)</f>
        <v/>
      </c>
      <c r="Q5" s="17" t="str">
        <f>IF('Profit and Loss Statement'!Q5="","",'Profit and Loss Statement'!Q5)</f>
        <v/>
      </c>
      <c r="R5" s="17" t="str">
        <f>IF('Profit and Loss Statement'!R5="","",'Profit and Loss Statement'!R5)</f>
        <v/>
      </c>
      <c r="S5" s="17" t="str">
        <f>IF('Profit and Loss Statement'!S5="","",'Profit and Loss Statement'!S5)</f>
        <v/>
      </c>
      <c r="T5" s="17" t="str">
        <f>IF('Profit and Loss Statement'!T5="","",'Profit and Loss Statement'!T5)</f>
        <v/>
      </c>
      <c r="U5" s="17" t="str">
        <f>IF('Profit and Loss Statement'!U5="","",'Profit and Loss Statement'!U5)</f>
        <v/>
      </c>
      <c r="V5" s="17" t="str">
        <f>IF('Profit and Loss Statement'!V5="","",'Profit and Loss Statement'!V5)</f>
        <v/>
      </c>
      <c r="W5" s="17" t="str">
        <f>IF('Profit and Loss Statement'!W5="","",'Profit and Loss Statement'!W5)</f>
        <v/>
      </c>
      <c r="X5" s="17" t="str">
        <f>IF('Profit and Loss Statement'!X5="","",'Profit and Loss Statement'!X5)</f>
        <v/>
      </c>
      <c r="Y5" s="17" t="str">
        <f>IF('Profit and Loss Statement'!Y5="","",'Profit and Loss Statement'!Y5)</f>
        <v/>
      </c>
      <c r="Z5" s="17" t="str">
        <f>IF('Profit and Loss Statement'!Z5="","",'Profit and Loss Statement'!Z5)</f>
        <v/>
      </c>
      <c r="AA5" s="17" t="str">
        <f>IF('Profit and Loss Statement'!AA5="","",'Profit and Loss Statement'!AA5)</f>
        <v/>
      </c>
      <c r="AB5" s="17" t="str">
        <f>IF('Profit and Loss Statement'!AB5="","",'Profit and Loss Statement'!AB5)</f>
        <v/>
      </c>
      <c r="AC5" s="17" t="str">
        <f>IF('Profit and Loss Statement'!AC5="","",'Profit and Loss Statement'!AC5)</f>
        <v/>
      </c>
      <c r="AD5" s="17" t="str">
        <f>IF('Profit and Loss Statement'!AD5="","",'Profit and Loss Statement'!AD5)</f>
        <v/>
      </c>
      <c r="AE5" s="17" t="str">
        <f>IF('Profit and Loss Statement'!AE5="","",'Profit and Loss Statement'!AE5)</f>
        <v/>
      </c>
      <c r="AF5" s="17" t="str">
        <f>IF('Profit and Loss Statement'!AF5="","",'Profit and Loss Statement'!AF5)</f>
        <v/>
      </c>
      <c r="AG5" s="17" t="str">
        <f>IF('Profit and Loss Statement'!AG5="","",'Profit and Loss Statement'!AG5)</f>
        <v/>
      </c>
      <c r="AH5" s="17" t="str">
        <f>IF('Profit and Loss Statement'!AH5="","",'Profit and Loss Statement'!AH5)</f>
        <v/>
      </c>
      <c r="AI5" s="17" t="str">
        <f>IF('Profit and Loss Statement'!AI5="","",'Profit and Loss Statement'!AI5)</f>
        <v/>
      </c>
    </row>
    <row r="6" spans="1:35">
      <c r="E6" s="40" t="s">
        <v>7</v>
      </c>
      <c r="F6" s="17" t="str">
        <f>IF('Profit and Loss Statement'!F6="","",'Profit and Loss Statement'!F6)</f>
        <v>Consolidated</v>
      </c>
      <c r="G6" s="17" t="str">
        <f>IF('Profit and Loss Statement'!G6="","",'Profit and Loss Statement'!G6)</f>
        <v/>
      </c>
      <c r="H6" s="17" t="str">
        <f>IF('Profit and Loss Statement'!H6="","",'Profit and Loss Statement'!H6)</f>
        <v/>
      </c>
      <c r="I6" s="17" t="str">
        <f>IF('Profit and Loss Statement'!I6="","",'Profit and Loss Statement'!I6)</f>
        <v/>
      </c>
      <c r="J6" s="17" t="str">
        <f>IF('Profit and Loss Statement'!J6="","",'Profit and Loss Statement'!J6)</f>
        <v/>
      </c>
      <c r="K6" s="17" t="str">
        <f>IF('Profit and Loss Statement'!K6="","",'Profit and Loss Statement'!K6)</f>
        <v/>
      </c>
      <c r="L6" s="17" t="str">
        <f>IF('Profit and Loss Statement'!L6="","",'Profit and Loss Statement'!L6)</f>
        <v/>
      </c>
      <c r="M6" s="17" t="str">
        <f>IF('Profit and Loss Statement'!M6="","",'Profit and Loss Statement'!M6)</f>
        <v/>
      </c>
      <c r="N6" s="17" t="str">
        <f>IF('Profit and Loss Statement'!N6="","",'Profit and Loss Statement'!N6)</f>
        <v/>
      </c>
      <c r="O6" s="17" t="str">
        <f>IF('Profit and Loss Statement'!O6="","",'Profit and Loss Statement'!O6)</f>
        <v/>
      </c>
      <c r="P6" s="17" t="str">
        <f>IF('Profit and Loss Statement'!P6="","",'Profit and Loss Statement'!P6)</f>
        <v/>
      </c>
      <c r="Q6" s="17" t="str">
        <f>IF('Profit and Loss Statement'!Q6="","",'Profit and Loss Statement'!Q6)</f>
        <v/>
      </c>
      <c r="R6" s="17" t="str">
        <f>IF('Profit and Loss Statement'!R6="","",'Profit and Loss Statement'!R6)</f>
        <v/>
      </c>
      <c r="S6" s="17" t="str">
        <f>IF('Profit and Loss Statement'!S6="","",'Profit and Loss Statement'!S6)</f>
        <v/>
      </c>
      <c r="T6" s="17" t="str">
        <f>IF('Profit and Loss Statement'!T6="","",'Profit and Loss Statement'!T6)</f>
        <v/>
      </c>
      <c r="U6" s="17" t="str">
        <f>IF('Profit and Loss Statement'!U6="","",'Profit and Loss Statement'!U6)</f>
        <v/>
      </c>
      <c r="V6" s="17" t="str">
        <f>IF('Profit and Loss Statement'!V6="","",'Profit and Loss Statement'!V6)</f>
        <v/>
      </c>
      <c r="W6" s="17" t="str">
        <f>IF('Profit and Loss Statement'!W6="","",'Profit and Loss Statement'!W6)</f>
        <v/>
      </c>
      <c r="X6" s="17" t="str">
        <f>IF('Profit and Loss Statement'!X6="","",'Profit and Loss Statement'!X6)</f>
        <v/>
      </c>
      <c r="Y6" s="17" t="str">
        <f>IF('Profit and Loss Statement'!Y6="","",'Profit and Loss Statement'!Y6)</f>
        <v/>
      </c>
      <c r="Z6" s="17" t="str">
        <f>IF('Profit and Loss Statement'!Z6="","",'Profit and Loss Statement'!Z6)</f>
        <v/>
      </c>
      <c r="AA6" s="17" t="str">
        <f>IF('Profit and Loss Statement'!AA6="","",'Profit and Loss Statement'!AA6)</f>
        <v/>
      </c>
      <c r="AB6" s="17" t="str">
        <f>IF('Profit and Loss Statement'!AB6="","",'Profit and Loss Statement'!AB6)</f>
        <v/>
      </c>
      <c r="AC6" s="17" t="str">
        <f>IF('Profit and Loss Statement'!AC6="","",'Profit and Loss Statement'!AC6)</f>
        <v/>
      </c>
      <c r="AD6" s="17" t="str">
        <f>IF('Profit and Loss Statement'!AD6="","",'Profit and Loss Statement'!AD6)</f>
        <v/>
      </c>
      <c r="AE6" s="17" t="str">
        <f>IF('Profit and Loss Statement'!AE6="","",'Profit and Loss Statement'!AE6)</f>
        <v/>
      </c>
      <c r="AF6" s="17" t="str">
        <f>IF('Profit and Loss Statement'!AF6="","",'Profit and Loss Statement'!AF6)</f>
        <v/>
      </c>
      <c r="AG6" s="17" t="str">
        <f>IF('Profit and Loss Statement'!AG6="","",'Profit and Loss Statement'!AG6)</f>
        <v/>
      </c>
      <c r="AH6" s="17" t="str">
        <f>IF('Profit and Loss Statement'!AH6="","",'Profit and Loss Statement'!AH6)</f>
        <v/>
      </c>
      <c r="AI6" s="17" t="str">
        <f>IF('Profit and Loss Statement'!AI6="","",'Profit and Loss Statement'!AI6)</f>
        <v/>
      </c>
    </row>
    <row r="7" spans="1:35">
      <c r="E7" s="1" t="s">
        <v>9</v>
      </c>
      <c r="F7" s="17" t="str">
        <f>IF('Profit and Loss Statement'!F7="","",'Profit and Loss Statement'!F7)</f>
        <v/>
      </c>
      <c r="G7" s="17" t="str">
        <f>IF('Profit and Loss Statement'!G7="","",'Profit and Loss Statement'!G7)</f>
        <v/>
      </c>
      <c r="H7" s="17" t="str">
        <f>IF('Profit and Loss Statement'!H7="","",'Profit and Loss Statement'!H7)</f>
        <v/>
      </c>
      <c r="I7" s="17" t="str">
        <f>IF('Profit and Loss Statement'!I7="","",'Profit and Loss Statement'!I7)</f>
        <v/>
      </c>
      <c r="J7" s="17" t="str">
        <f>IF('Profit and Loss Statement'!J7="","",'Profit and Loss Statement'!J7)</f>
        <v/>
      </c>
      <c r="K7" s="17" t="str">
        <f>IF('Profit and Loss Statement'!K7="","",'Profit and Loss Statement'!K7)</f>
        <v/>
      </c>
      <c r="L7" s="17" t="str">
        <f>IF('Profit and Loss Statement'!L7="","",'Profit and Loss Statement'!L7)</f>
        <v/>
      </c>
      <c r="M7" s="17" t="str">
        <f>IF('Profit and Loss Statement'!M7="","",'Profit and Loss Statement'!M7)</f>
        <v/>
      </c>
      <c r="N7" s="17" t="str">
        <f>IF('Profit and Loss Statement'!N7="","",'Profit and Loss Statement'!N7)</f>
        <v/>
      </c>
      <c r="O7" s="17" t="str">
        <f>IF('Profit and Loss Statement'!O7="","",'Profit and Loss Statement'!O7)</f>
        <v/>
      </c>
      <c r="P7" s="17" t="str">
        <f>IF('Profit and Loss Statement'!P7="","",'Profit and Loss Statement'!P7)</f>
        <v/>
      </c>
      <c r="Q7" s="17" t="str">
        <f>IF('Profit and Loss Statement'!Q7="","",'Profit and Loss Statement'!Q7)</f>
        <v/>
      </c>
      <c r="R7" s="17" t="str">
        <f>IF('Profit and Loss Statement'!R7="","",'Profit and Loss Statement'!R7)</f>
        <v/>
      </c>
      <c r="S7" s="17" t="str">
        <f>IF('Profit and Loss Statement'!S7="","",'Profit and Loss Statement'!S7)</f>
        <v/>
      </c>
      <c r="T7" s="17" t="str">
        <f>IF('Profit and Loss Statement'!T7="","",'Profit and Loss Statement'!T7)</f>
        <v/>
      </c>
      <c r="U7" s="17" t="str">
        <f>IF('Profit and Loss Statement'!U7="","",'Profit and Loss Statement'!U7)</f>
        <v/>
      </c>
      <c r="V7" s="17" t="str">
        <f>IF('Profit and Loss Statement'!V7="","",'Profit and Loss Statement'!V7)</f>
        <v/>
      </c>
      <c r="W7" s="17" t="str">
        <f>IF('Profit and Loss Statement'!W7="","",'Profit and Loss Statement'!W7)</f>
        <v/>
      </c>
      <c r="X7" s="17" t="str">
        <f>IF('Profit and Loss Statement'!X7="","",'Profit and Loss Statement'!X7)</f>
        <v/>
      </c>
      <c r="Y7" s="17" t="str">
        <f>IF('Profit and Loss Statement'!Y7="","",'Profit and Loss Statement'!Y7)</f>
        <v/>
      </c>
      <c r="Z7" s="17" t="str">
        <f>IF('Profit and Loss Statement'!Z7="","",'Profit and Loss Statement'!Z7)</f>
        <v/>
      </c>
      <c r="AA7" s="17" t="str">
        <f>IF('Profit and Loss Statement'!AA7="","",'Profit and Loss Statement'!AA7)</f>
        <v/>
      </c>
      <c r="AB7" s="17" t="str">
        <f>IF('Profit and Loss Statement'!AB7="","",'Profit and Loss Statement'!AB7)</f>
        <v/>
      </c>
      <c r="AC7" s="17" t="str">
        <f>IF('Profit and Loss Statement'!AC7="","",'Profit and Loss Statement'!AC7)</f>
        <v/>
      </c>
      <c r="AD7" s="17" t="str">
        <f>IF('Profit and Loss Statement'!AD7="","",'Profit and Loss Statement'!AD7)</f>
        <v/>
      </c>
      <c r="AE7" s="17" t="str">
        <f>IF('Profit and Loss Statement'!AE7="","",'Profit and Loss Statement'!AE7)</f>
        <v/>
      </c>
      <c r="AF7" s="17" t="str">
        <f>IF('Profit and Loss Statement'!AF7="","",'Profit and Loss Statement'!AF7)</f>
        <v/>
      </c>
      <c r="AG7" s="17" t="str">
        <f>IF('Profit and Loss Statement'!AG7="","",'Profit and Loss Statement'!AG7)</f>
        <v/>
      </c>
      <c r="AH7" s="17" t="str">
        <f>IF('Profit and Loss Statement'!AH7="","",'Profit and Loss Statement'!AH7)</f>
        <v/>
      </c>
      <c r="AI7" s="17" t="str">
        <f>IF('Profit and Loss Statement'!AI7="","",'Profit and Loss Statement'!AI7)</f>
        <v/>
      </c>
    </row>
    <row r="8" spans="1:35">
      <c r="E8" s="40" t="s">
        <v>10</v>
      </c>
      <c r="F8" s="17" t="str">
        <f>IF('Profit and Loss Statement'!F8="","",'Profit and Loss Statement'!F8)</f>
        <v>Audited</v>
      </c>
      <c r="G8" s="17" t="str">
        <f>IF('Profit and Loss Statement'!G8="","",'Profit and Loss Statement'!G8)</f>
        <v/>
      </c>
      <c r="H8" s="17" t="str">
        <f>IF('Profit and Loss Statement'!H8="","",'Profit and Loss Statement'!H8)</f>
        <v/>
      </c>
      <c r="I8" s="17" t="str">
        <f>IF('Profit and Loss Statement'!I8="","",'Profit and Loss Statement'!I8)</f>
        <v/>
      </c>
      <c r="J8" s="17" t="str">
        <f>IF('Profit and Loss Statement'!J8="","",'Profit and Loss Statement'!J8)</f>
        <v/>
      </c>
      <c r="K8" s="17" t="str">
        <f>IF('Profit and Loss Statement'!K8="","",'Profit and Loss Statement'!K8)</f>
        <v/>
      </c>
      <c r="L8" s="17" t="str">
        <f>IF('Profit and Loss Statement'!L8="","",'Profit and Loss Statement'!L8)</f>
        <v/>
      </c>
      <c r="M8" s="17" t="str">
        <f>IF('Profit and Loss Statement'!M8="","",'Profit and Loss Statement'!M8)</f>
        <v/>
      </c>
      <c r="N8" s="17" t="str">
        <f>IF('Profit and Loss Statement'!N8="","",'Profit and Loss Statement'!N8)</f>
        <v/>
      </c>
      <c r="O8" s="17" t="str">
        <f>IF('Profit and Loss Statement'!O8="","",'Profit and Loss Statement'!O8)</f>
        <v/>
      </c>
      <c r="P8" s="17" t="str">
        <f>IF('Profit and Loss Statement'!P8="","",'Profit and Loss Statement'!P8)</f>
        <v/>
      </c>
      <c r="Q8" s="17" t="str">
        <f>IF('Profit and Loss Statement'!Q8="","",'Profit and Loss Statement'!Q8)</f>
        <v/>
      </c>
      <c r="R8" s="17" t="str">
        <f>IF('Profit and Loss Statement'!R8="","",'Profit and Loss Statement'!R8)</f>
        <v/>
      </c>
      <c r="S8" s="17" t="str">
        <f>IF('Profit and Loss Statement'!S8="","",'Profit and Loss Statement'!S8)</f>
        <v/>
      </c>
      <c r="T8" s="17" t="str">
        <f>IF('Profit and Loss Statement'!T8="","",'Profit and Loss Statement'!T8)</f>
        <v/>
      </c>
      <c r="U8" s="17" t="str">
        <f>IF('Profit and Loss Statement'!U8="","",'Profit and Loss Statement'!U8)</f>
        <v/>
      </c>
      <c r="V8" s="17" t="str">
        <f>IF('Profit and Loss Statement'!V8="","",'Profit and Loss Statement'!V8)</f>
        <v/>
      </c>
      <c r="W8" s="17" t="str">
        <f>IF('Profit and Loss Statement'!W8="","",'Profit and Loss Statement'!W8)</f>
        <v/>
      </c>
      <c r="X8" s="17" t="str">
        <f>IF('Profit and Loss Statement'!X8="","",'Profit and Loss Statement'!X8)</f>
        <v/>
      </c>
      <c r="Y8" s="17" t="str">
        <f>IF('Profit and Loss Statement'!Y8="","",'Profit and Loss Statement'!Y8)</f>
        <v/>
      </c>
      <c r="Z8" s="17" t="str">
        <f>IF('Profit and Loss Statement'!Z8="","",'Profit and Loss Statement'!Z8)</f>
        <v/>
      </c>
      <c r="AA8" s="17" t="str">
        <f>IF('Profit and Loss Statement'!AA8="","",'Profit and Loss Statement'!AA8)</f>
        <v/>
      </c>
      <c r="AB8" s="17" t="str">
        <f>IF('Profit and Loss Statement'!AB8="","",'Profit and Loss Statement'!AB8)</f>
        <v/>
      </c>
      <c r="AC8" s="17" t="str">
        <f>IF('Profit and Loss Statement'!AC8="","",'Profit and Loss Statement'!AC8)</f>
        <v/>
      </c>
      <c r="AD8" s="17" t="str">
        <f>IF('Profit and Loss Statement'!AD8="","",'Profit and Loss Statement'!AD8)</f>
        <v/>
      </c>
      <c r="AE8" s="17" t="str">
        <f>IF('Profit and Loss Statement'!AE8="","",'Profit and Loss Statement'!AE8)</f>
        <v/>
      </c>
      <c r="AF8" s="17" t="str">
        <f>IF('Profit and Loss Statement'!AF8="","",'Profit and Loss Statement'!AF8)</f>
        <v/>
      </c>
      <c r="AG8" s="17" t="str">
        <f>IF('Profit and Loss Statement'!AG8="","",'Profit and Loss Statement'!AG8)</f>
        <v/>
      </c>
      <c r="AH8" s="17" t="str">
        <f>IF('Profit and Loss Statement'!AH8="","",'Profit and Loss Statement'!AH8)</f>
        <v/>
      </c>
      <c r="AI8" s="17" t="str">
        <f>IF('Profit and Loss Statement'!AI8="","",'Profit and Loss Statement'!AI8)</f>
        <v/>
      </c>
    </row>
    <row r="9" spans="1:35" s="16" customFormat="1">
      <c r="E9" s="40" t="s">
        <v>11</v>
      </c>
      <c r="F9" s="39" t="str">
        <f>IF('Profit and Loss Statement'!F9="","",'Profit and Loss Statement'!F9)</f>
        <v/>
      </c>
      <c r="G9" s="39" t="str">
        <f>IF('Profit and Loss Statement'!G9="","",'Profit and Loss Statement'!G9)</f>
        <v/>
      </c>
      <c r="H9" s="39" t="str">
        <f>IF('Profit and Loss Statement'!H9="","",'Profit and Loss Statement'!H9)</f>
        <v/>
      </c>
      <c r="I9" s="39" t="str">
        <f>IF('Profit and Loss Statement'!I9="","",'Profit and Loss Statement'!I9)</f>
        <v/>
      </c>
      <c r="J9" s="39" t="str">
        <f>IF('Profit and Loss Statement'!J9="","",'Profit and Loss Statement'!J9)</f>
        <v/>
      </c>
      <c r="K9" s="39" t="str">
        <f>IF('Profit and Loss Statement'!K9="","",'Profit and Loss Statement'!K9)</f>
        <v/>
      </c>
      <c r="L9" s="39" t="str">
        <f>IF('Profit and Loss Statement'!L9="","",'Profit and Loss Statement'!L9)</f>
        <v/>
      </c>
      <c r="M9" s="39" t="str">
        <f>IF('Profit and Loss Statement'!M9="","",'Profit and Loss Statement'!M9)</f>
        <v/>
      </c>
      <c r="N9" s="39" t="str">
        <f>IF('Profit and Loss Statement'!N9="","",'Profit and Loss Statement'!N9)</f>
        <v/>
      </c>
      <c r="O9" s="39" t="str">
        <f>IF('Profit and Loss Statement'!O9="","",'Profit and Loss Statement'!O9)</f>
        <v/>
      </c>
      <c r="P9" s="39" t="str">
        <f>IF('Profit and Loss Statement'!P9="","",'Profit and Loss Statement'!P9)</f>
        <v/>
      </c>
      <c r="Q9" s="39" t="str">
        <f>IF('Profit and Loss Statement'!Q9="","",'Profit and Loss Statement'!Q9)</f>
        <v/>
      </c>
      <c r="R9" s="39" t="str">
        <f>IF('Profit and Loss Statement'!R9="","",'Profit and Loss Statement'!R9)</f>
        <v/>
      </c>
      <c r="S9" s="39" t="str">
        <f>IF('Profit and Loss Statement'!S9="","",'Profit and Loss Statement'!S9)</f>
        <v/>
      </c>
      <c r="T9" s="39" t="str">
        <f>IF('Profit and Loss Statement'!T9="","",'Profit and Loss Statement'!T9)</f>
        <v/>
      </c>
      <c r="U9" s="39" t="str">
        <f>IF('Profit and Loss Statement'!U9="","",'Profit and Loss Statement'!U9)</f>
        <v/>
      </c>
      <c r="V9" s="39" t="str">
        <f>IF('Profit and Loss Statement'!V9="","",'Profit and Loss Statement'!V9)</f>
        <v/>
      </c>
      <c r="W9" s="39" t="str">
        <f>IF('Profit and Loss Statement'!W9="","",'Profit and Loss Statement'!W9)</f>
        <v/>
      </c>
      <c r="X9" s="39" t="str">
        <f>IF('Profit and Loss Statement'!X9="","",'Profit and Loss Statement'!X9)</f>
        <v/>
      </c>
      <c r="Y9" s="39" t="str">
        <f>IF('Profit and Loss Statement'!Y9="","",'Profit and Loss Statement'!Y9)</f>
        <v/>
      </c>
      <c r="Z9" s="39" t="str">
        <f>IF('Profit and Loss Statement'!Z9="","",'Profit and Loss Statement'!Z9)</f>
        <v/>
      </c>
      <c r="AA9" s="39" t="str">
        <f>IF('Profit and Loss Statement'!AA9="","",'Profit and Loss Statement'!AA9)</f>
        <v/>
      </c>
      <c r="AB9" s="39" t="str">
        <f>IF('Profit and Loss Statement'!AB9="","",'Profit and Loss Statement'!AB9)</f>
        <v/>
      </c>
      <c r="AC9" s="39" t="str">
        <f>IF('Profit and Loss Statement'!AC9="","",'Profit and Loss Statement'!AC9)</f>
        <v/>
      </c>
      <c r="AD9" s="39" t="str">
        <f>IF('Profit and Loss Statement'!AD9="","",'Profit and Loss Statement'!AD9)</f>
        <v/>
      </c>
      <c r="AE9" s="39" t="str">
        <f>IF('Profit and Loss Statement'!AE9="","",'Profit and Loss Statement'!AE9)</f>
        <v/>
      </c>
      <c r="AF9" s="39" t="str">
        <f>IF('Profit and Loss Statement'!AF9="","",'Profit and Loss Statement'!AF9)</f>
        <v/>
      </c>
      <c r="AG9" s="39" t="str">
        <f>IF('Profit and Loss Statement'!AG9="","",'Profit and Loss Statement'!AG9)</f>
        <v/>
      </c>
      <c r="AH9" s="39" t="str">
        <f>IF('Profit and Loss Statement'!AH9="","",'Profit and Loss Statement'!AH9)</f>
        <v/>
      </c>
      <c r="AI9" s="39" t="str">
        <f>IF('Profit and Loss Statement'!AI9="","",'Profit and Loss Statement'!AI9)</f>
        <v/>
      </c>
    </row>
    <row r="10" spans="1:35">
      <c r="E10" s="40" t="s">
        <v>12</v>
      </c>
      <c r="F10" s="17" t="str">
        <f>IF('Profit and Loss Statement'!F10="","",'Profit and Loss Statement'!F10)</f>
        <v/>
      </c>
      <c r="G10" s="17" t="str">
        <f>IF('Profit and Loss Statement'!G10="","",'Profit and Loss Statement'!G10)</f>
        <v/>
      </c>
      <c r="H10" s="17" t="str">
        <f>IF('Profit and Loss Statement'!H10="","",'Profit and Loss Statement'!H10)</f>
        <v/>
      </c>
      <c r="I10" s="17" t="str">
        <f>IF('Profit and Loss Statement'!I10="","",'Profit and Loss Statement'!I10)</f>
        <v/>
      </c>
      <c r="J10" s="17" t="str">
        <f>IF('Profit and Loss Statement'!J10="","",'Profit and Loss Statement'!J10)</f>
        <v/>
      </c>
      <c r="K10" s="17" t="str">
        <f>IF('Profit and Loss Statement'!K10="","",'Profit and Loss Statement'!K10)</f>
        <v/>
      </c>
      <c r="L10" s="17" t="str">
        <f>IF('Profit and Loss Statement'!L10="","",'Profit and Loss Statement'!L10)</f>
        <v/>
      </c>
      <c r="M10" s="17" t="str">
        <f>IF('Profit and Loss Statement'!M10="","",'Profit and Loss Statement'!M10)</f>
        <v/>
      </c>
      <c r="N10" s="17" t="str">
        <f>IF('Profit and Loss Statement'!N10="","",'Profit and Loss Statement'!N10)</f>
        <v/>
      </c>
      <c r="O10" s="17" t="str">
        <f>IF('Profit and Loss Statement'!O10="","",'Profit and Loss Statement'!O10)</f>
        <v/>
      </c>
      <c r="P10" s="17" t="str">
        <f>IF('Profit and Loss Statement'!P10="","",'Profit and Loss Statement'!P10)</f>
        <v/>
      </c>
      <c r="Q10" s="17" t="str">
        <f>IF('Profit and Loss Statement'!Q10="","",'Profit and Loss Statement'!Q10)</f>
        <v/>
      </c>
      <c r="R10" s="17" t="str">
        <f>IF('Profit and Loss Statement'!R10="","",'Profit and Loss Statement'!R10)</f>
        <v/>
      </c>
      <c r="S10" s="17" t="str">
        <f>IF('Profit and Loss Statement'!S10="","",'Profit and Loss Statement'!S10)</f>
        <v/>
      </c>
      <c r="T10" s="17" t="str">
        <f>IF('Profit and Loss Statement'!T10="","",'Profit and Loss Statement'!T10)</f>
        <v/>
      </c>
      <c r="U10" s="17" t="str">
        <f>IF('Profit and Loss Statement'!U10="","",'Profit and Loss Statement'!U10)</f>
        <v/>
      </c>
      <c r="V10" s="17" t="str">
        <f>IF('Profit and Loss Statement'!V10="","",'Profit and Loss Statement'!V10)</f>
        <v/>
      </c>
      <c r="W10" s="17" t="str">
        <f>IF('Profit and Loss Statement'!W10="","",'Profit and Loss Statement'!W10)</f>
        <v/>
      </c>
      <c r="X10" s="17" t="str">
        <f>IF('Profit and Loss Statement'!X10="","",'Profit and Loss Statement'!X10)</f>
        <v/>
      </c>
      <c r="Y10" s="17" t="str">
        <f>IF('Profit and Loss Statement'!Y10="","",'Profit and Loss Statement'!Y10)</f>
        <v/>
      </c>
      <c r="Z10" s="17" t="str">
        <f>IF('Profit and Loss Statement'!Z10="","",'Profit and Loss Statement'!Z10)</f>
        <v/>
      </c>
      <c r="AA10" s="17" t="str">
        <f>IF('Profit and Loss Statement'!AA10="","",'Profit and Loss Statement'!AA10)</f>
        <v/>
      </c>
      <c r="AB10" s="17" t="str">
        <f>IF('Profit and Loss Statement'!AB10="","",'Profit and Loss Statement'!AB10)</f>
        <v/>
      </c>
      <c r="AC10" s="17" t="str">
        <f>IF('Profit and Loss Statement'!AC10="","",'Profit and Loss Statement'!AC10)</f>
        <v/>
      </c>
      <c r="AD10" s="17" t="str">
        <f>IF('Profit and Loss Statement'!AD10="","",'Profit and Loss Statement'!AD10)</f>
        <v/>
      </c>
      <c r="AE10" s="17" t="str">
        <f>IF('Profit and Loss Statement'!AE10="","",'Profit and Loss Statement'!AE10)</f>
        <v/>
      </c>
      <c r="AF10" s="17" t="str">
        <f>IF('Profit and Loss Statement'!AF10="","",'Profit and Loss Statement'!AF10)</f>
        <v/>
      </c>
      <c r="AG10" s="17" t="str">
        <f>IF('Profit and Loss Statement'!AG10="","",'Profit and Loss Statement'!AG10)</f>
        <v/>
      </c>
      <c r="AH10" s="17" t="str">
        <f>IF('Profit and Loss Statement'!AH10="","",'Profit and Loss Statement'!AH10)</f>
        <v/>
      </c>
      <c r="AI10" s="17" t="str">
        <f>IF('Profit and Loss Statement'!AI10="","",'Profit and Loss Statement'!AI10)</f>
        <v/>
      </c>
    </row>
    <row r="11" spans="1:35">
      <c r="E11" s="40" t="s">
        <v>13</v>
      </c>
      <c r="F11" s="17" t="str">
        <f>IF('Profit and Loss Statement'!F11="","",'Profit and Loss Statement'!F11)</f>
        <v>INR</v>
      </c>
      <c r="G11" s="17" t="str">
        <f>IF('Profit and Loss Statement'!G11="","",'Profit and Loss Statement'!G11)</f>
        <v>INR</v>
      </c>
      <c r="H11" s="17" t="str">
        <f>IF('Profit and Loss Statement'!H11="","",'Profit and Loss Statement'!H11)</f>
        <v>INR</v>
      </c>
      <c r="I11" s="17" t="str">
        <f>IF('Profit and Loss Statement'!I11="","",'Profit and Loss Statement'!I11)</f>
        <v>INR</v>
      </c>
      <c r="J11" s="17" t="str">
        <f>IF('Profit and Loss Statement'!J11="","",'Profit and Loss Statement'!J11)</f>
        <v>INR</v>
      </c>
      <c r="K11" s="17" t="str">
        <f>IF('Profit and Loss Statement'!K11="","",'Profit and Loss Statement'!K11)</f>
        <v>INR</v>
      </c>
      <c r="L11" s="17" t="str">
        <f>IF('Profit and Loss Statement'!L11="","",'Profit and Loss Statement'!L11)</f>
        <v>INR</v>
      </c>
      <c r="M11" s="17" t="str">
        <f>IF('Profit and Loss Statement'!M11="","",'Profit and Loss Statement'!M11)</f>
        <v>INR</v>
      </c>
      <c r="N11" s="17" t="str">
        <f>IF('Profit and Loss Statement'!N11="","",'Profit and Loss Statement'!N11)</f>
        <v>INR</v>
      </c>
      <c r="O11" s="17" t="str">
        <f>IF('Profit and Loss Statement'!O11="","",'Profit and Loss Statement'!O11)</f>
        <v>INR</v>
      </c>
      <c r="P11" s="17" t="str">
        <f>IF('Profit and Loss Statement'!P11="","",'Profit and Loss Statement'!P11)</f>
        <v>INR</v>
      </c>
      <c r="Q11" s="17" t="str">
        <f>IF('Profit and Loss Statement'!Q11="","",'Profit and Loss Statement'!Q11)</f>
        <v>INR</v>
      </c>
      <c r="R11" s="17" t="str">
        <f>IF('Profit and Loss Statement'!R11="","",'Profit and Loss Statement'!R11)</f>
        <v>INR</v>
      </c>
      <c r="S11" s="17" t="str">
        <f>IF('Profit and Loss Statement'!S11="","",'Profit and Loss Statement'!S11)</f>
        <v>INR</v>
      </c>
      <c r="T11" s="17" t="str">
        <f>IF('Profit and Loss Statement'!T11="","",'Profit and Loss Statement'!T11)</f>
        <v>INR</v>
      </c>
      <c r="U11" s="17" t="str">
        <f>IF('Profit and Loss Statement'!U11="","",'Profit and Loss Statement'!U11)</f>
        <v>INR</v>
      </c>
      <c r="V11" s="17" t="str">
        <f>IF('Profit and Loss Statement'!V11="","",'Profit and Loss Statement'!V11)</f>
        <v>INR</v>
      </c>
      <c r="W11" s="17" t="str">
        <f>IF('Profit and Loss Statement'!W11="","",'Profit and Loss Statement'!W11)</f>
        <v>INR</v>
      </c>
      <c r="X11" s="17" t="str">
        <f>IF('Profit and Loss Statement'!X11="","",'Profit and Loss Statement'!X11)</f>
        <v>INR</v>
      </c>
      <c r="Y11" s="17" t="str">
        <f>IF('Profit and Loss Statement'!Y11="","",'Profit and Loss Statement'!Y11)</f>
        <v>INR</v>
      </c>
      <c r="Z11" s="17" t="str">
        <f>IF('Profit and Loss Statement'!Z11="","",'Profit and Loss Statement'!Z11)</f>
        <v>INR</v>
      </c>
      <c r="AA11" s="17" t="str">
        <f>IF('Profit and Loss Statement'!AA11="","",'Profit and Loss Statement'!AA11)</f>
        <v>INR</v>
      </c>
      <c r="AB11" s="17" t="str">
        <f>IF('Profit and Loss Statement'!AB11="","",'Profit and Loss Statement'!AB11)</f>
        <v>INR</v>
      </c>
      <c r="AC11" s="17" t="str">
        <f>IF('Profit and Loss Statement'!AC11="","",'Profit and Loss Statement'!AC11)</f>
        <v>INR</v>
      </c>
      <c r="AD11" s="17" t="str">
        <f>IF('Profit and Loss Statement'!AD11="","",'Profit and Loss Statement'!AD11)</f>
        <v>INR</v>
      </c>
      <c r="AE11" s="17" t="str">
        <f>IF('Profit and Loss Statement'!AE11="","",'Profit and Loss Statement'!AE11)</f>
        <v>INR</v>
      </c>
      <c r="AF11" s="17" t="str">
        <f>IF('Profit and Loss Statement'!AF11="","",'Profit and Loss Statement'!AF11)</f>
        <v>INR</v>
      </c>
      <c r="AG11" s="17" t="str">
        <f>IF('Profit and Loss Statement'!AG11="","",'Profit and Loss Statement'!AG11)</f>
        <v>INR</v>
      </c>
      <c r="AH11" s="17" t="str">
        <f>IF('Profit and Loss Statement'!AH11="","",'Profit and Loss Statement'!AH11)</f>
        <v>INR</v>
      </c>
      <c r="AI11" s="17" t="str">
        <f>IF('Profit and Loss Statement'!AI11="","",'Profit and Loss Statement'!AI11)</f>
        <v>INR</v>
      </c>
    </row>
    <row r="12" spans="1:35">
      <c r="E12" s="40" t="s">
        <v>14</v>
      </c>
      <c r="F12" s="17" t="str">
        <f>IF('Profit and Loss Statement'!F12="","",'Profit and Loss Statement'!F12)</f>
        <v>Crores</v>
      </c>
      <c r="G12" s="17" t="str">
        <f>IF('Profit and Loss Statement'!G12="","",'Profit and Loss Statement'!G12)</f>
        <v>Crores</v>
      </c>
      <c r="H12" s="17" t="str">
        <f>IF('Profit and Loss Statement'!H12="","",'Profit and Loss Statement'!H12)</f>
        <v>Crores</v>
      </c>
      <c r="I12" s="17" t="str">
        <f>IF('Profit and Loss Statement'!I12="","",'Profit and Loss Statement'!I12)</f>
        <v>Crores</v>
      </c>
      <c r="J12" s="17" t="str">
        <f>IF('Profit and Loss Statement'!J12="","",'Profit and Loss Statement'!J12)</f>
        <v>Crores</v>
      </c>
      <c r="K12" s="17" t="str">
        <f>IF('Profit and Loss Statement'!K12="","",'Profit and Loss Statement'!K12)</f>
        <v>Crores</v>
      </c>
      <c r="L12" s="17" t="str">
        <f>IF('Profit and Loss Statement'!L12="","",'Profit and Loss Statement'!L12)</f>
        <v>Crores</v>
      </c>
      <c r="M12" s="17" t="str">
        <f>IF('Profit and Loss Statement'!M12="","",'Profit and Loss Statement'!M12)</f>
        <v>Crores</v>
      </c>
      <c r="N12" s="17" t="str">
        <f>IF('Profit and Loss Statement'!N12="","",'Profit and Loss Statement'!N12)</f>
        <v>Crores</v>
      </c>
      <c r="O12" s="17" t="str">
        <f>IF('Profit and Loss Statement'!O12="","",'Profit and Loss Statement'!O12)</f>
        <v>Crores</v>
      </c>
      <c r="P12" s="17" t="str">
        <f>IF('Profit and Loss Statement'!P12="","",'Profit and Loss Statement'!P12)</f>
        <v>Crores</v>
      </c>
      <c r="Q12" s="17" t="str">
        <f>IF('Profit and Loss Statement'!Q12="","",'Profit and Loss Statement'!Q12)</f>
        <v>Crores</v>
      </c>
      <c r="R12" s="17" t="str">
        <f>IF('Profit and Loss Statement'!R12="","",'Profit and Loss Statement'!R12)</f>
        <v>Crores</v>
      </c>
      <c r="S12" s="17" t="str">
        <f>IF('Profit and Loss Statement'!S12="","",'Profit and Loss Statement'!S12)</f>
        <v>Crores</v>
      </c>
      <c r="T12" s="17" t="str">
        <f>IF('Profit and Loss Statement'!T12="","",'Profit and Loss Statement'!T12)</f>
        <v>Crores</v>
      </c>
      <c r="U12" s="17" t="str">
        <f>IF('Profit and Loss Statement'!U12="","",'Profit and Loss Statement'!U12)</f>
        <v>Crores</v>
      </c>
      <c r="V12" s="17" t="str">
        <f>IF('Profit and Loss Statement'!V12="","",'Profit and Loss Statement'!V12)</f>
        <v>Crores</v>
      </c>
      <c r="W12" s="17" t="str">
        <f>IF('Profit and Loss Statement'!W12="","",'Profit and Loss Statement'!W12)</f>
        <v>Crores</v>
      </c>
      <c r="X12" s="17" t="str">
        <f>IF('Profit and Loss Statement'!X12="","",'Profit and Loss Statement'!X12)</f>
        <v>Crores</v>
      </c>
      <c r="Y12" s="17" t="str">
        <f>IF('Profit and Loss Statement'!Y12="","",'Profit and Loss Statement'!Y12)</f>
        <v>Crores</v>
      </c>
      <c r="Z12" s="17" t="str">
        <f>IF('Profit and Loss Statement'!Z12="","",'Profit and Loss Statement'!Z12)</f>
        <v>Crores</v>
      </c>
      <c r="AA12" s="17" t="str">
        <f>IF('Profit and Loss Statement'!AA12="","",'Profit and Loss Statement'!AA12)</f>
        <v>Crores</v>
      </c>
      <c r="AB12" s="17" t="str">
        <f>IF('Profit and Loss Statement'!AB12="","",'Profit and Loss Statement'!AB12)</f>
        <v>Crores</v>
      </c>
      <c r="AC12" s="17" t="str">
        <f>IF('Profit and Loss Statement'!AC12="","",'Profit and Loss Statement'!AC12)</f>
        <v>Crores</v>
      </c>
      <c r="AD12" s="17" t="str">
        <f>IF('Profit and Loss Statement'!AD12="","",'Profit and Loss Statement'!AD12)</f>
        <v>Crores</v>
      </c>
      <c r="AE12" s="17" t="str">
        <f>IF('Profit and Loss Statement'!AE12="","",'Profit and Loss Statement'!AE12)</f>
        <v>Crores</v>
      </c>
      <c r="AF12" s="17" t="str">
        <f>IF('Profit and Loss Statement'!AF12="","",'Profit and Loss Statement'!AF12)</f>
        <v>Crores</v>
      </c>
      <c r="AG12" s="17" t="str">
        <f>IF('Profit and Loss Statement'!AG12="","",'Profit and Loss Statement'!AG12)</f>
        <v>Crores</v>
      </c>
      <c r="AH12" s="17" t="str">
        <f>IF('Profit and Loss Statement'!AH12="","",'Profit and Loss Statement'!AH12)</f>
        <v>Crores</v>
      </c>
      <c r="AI12" s="17" t="str">
        <f>IF('Profit and Loss Statement'!AI12="","",'Profit and Loss Statement'!AI12)</f>
        <v>Crores</v>
      </c>
    </row>
    <row r="13" spans="1:35" s="14" customFormat="1">
      <c r="A13"/>
      <c r="B13"/>
      <c r="C13"/>
      <c r="D13"/>
      <c r="E13" s="1" t="s">
        <v>15</v>
      </c>
      <c r="F13" t="str">
        <f>IF('Profit and Loss Statement'!F13="","",'Profit and Loss Statement'!F13)</f>
        <v/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14" customFormat="1">
      <c r="A14"/>
      <c r="B14"/>
      <c r="C14"/>
      <c r="D14"/>
      <c r="E14" s="1" t="s">
        <v>16</v>
      </c>
      <c r="F14" t="str">
        <f>IF('Profit and Loss Statement'!F14="","",'Profit and Loss Statement'!F14)</f>
        <v/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14" customFormat="1">
      <c r="A15"/>
      <c r="B15"/>
      <c r="C15"/>
      <c r="D15"/>
      <c r="E15" s="1" t="s">
        <v>17</v>
      </c>
      <c r="F15" t="str">
        <f>IF('Profit and Loss Statement'!F15="","",'Profit and Loss Statement'!F15)</f>
        <v/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s="14" customFormat="1">
      <c r="A16"/>
      <c r="B16"/>
      <c r="C16"/>
      <c r="D16"/>
      <c r="E16" s="40" t="s">
        <v>18</v>
      </c>
      <c r="F16" t="str">
        <f>IF('Profit and Loss Statement'!F16="","",'Profit and Loss Statement'!F16)</f>
        <v/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>
      <c r="F17" s="2">
        <v>1</v>
      </c>
      <c r="G17" s="2">
        <v>2</v>
      </c>
      <c r="H17" s="2">
        <v>3</v>
      </c>
      <c r="I17" s="2">
        <v>4</v>
      </c>
      <c r="J17" s="2">
        <v>5</v>
      </c>
      <c r="K17" s="2">
        <v>6</v>
      </c>
      <c r="L17" s="2">
        <v>7</v>
      </c>
      <c r="M17" s="2">
        <v>8</v>
      </c>
      <c r="N17" s="2">
        <v>9</v>
      </c>
      <c r="O17" s="2">
        <v>10</v>
      </c>
      <c r="P17" s="2">
        <v>11</v>
      </c>
      <c r="Q17" s="2">
        <v>12</v>
      </c>
      <c r="R17" s="2">
        <v>13</v>
      </c>
      <c r="S17" s="2">
        <v>14</v>
      </c>
      <c r="T17" s="2">
        <v>15</v>
      </c>
      <c r="U17" s="2">
        <v>16</v>
      </c>
      <c r="V17" s="2">
        <v>17</v>
      </c>
      <c r="W17" s="2">
        <v>18</v>
      </c>
      <c r="X17" s="2">
        <v>19</v>
      </c>
      <c r="Y17" s="2">
        <v>20</v>
      </c>
      <c r="Z17" s="2">
        <v>21</v>
      </c>
      <c r="AA17" s="2">
        <v>22</v>
      </c>
      <c r="AB17" s="2">
        <v>23</v>
      </c>
      <c r="AC17" s="2">
        <v>24</v>
      </c>
      <c r="AD17" s="2">
        <v>25</v>
      </c>
      <c r="AE17" s="2">
        <v>26</v>
      </c>
      <c r="AF17" s="2">
        <v>27</v>
      </c>
      <c r="AG17" s="2">
        <v>28</v>
      </c>
      <c r="AH17" s="2">
        <v>29</v>
      </c>
      <c r="AI17" s="2">
        <v>30</v>
      </c>
    </row>
    <row r="18" spans="1:3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3" t="s">
        <v>24</v>
      </c>
      <c r="S18" s="3" t="s">
        <v>24</v>
      </c>
      <c r="T18" s="3" t="s">
        <v>24</v>
      </c>
      <c r="U18" s="3" t="s">
        <v>24</v>
      </c>
      <c r="V18" s="3" t="s">
        <v>24</v>
      </c>
      <c r="W18" s="3" t="s">
        <v>24</v>
      </c>
      <c r="X18" s="3" t="s">
        <v>24</v>
      </c>
      <c r="Y18" s="3" t="s">
        <v>24</v>
      </c>
      <c r="Z18" s="3" t="s">
        <v>24</v>
      </c>
      <c r="AA18" s="3" t="s">
        <v>24</v>
      </c>
      <c r="AB18" s="3" t="s">
        <v>24</v>
      </c>
      <c r="AC18" s="3" t="s">
        <v>24</v>
      </c>
      <c r="AD18" s="3" t="s">
        <v>24</v>
      </c>
      <c r="AE18" s="3" t="s">
        <v>24</v>
      </c>
      <c r="AF18" s="3" t="s">
        <v>24</v>
      </c>
      <c r="AG18" s="3" t="s">
        <v>24</v>
      </c>
      <c r="AH18" s="3" t="s">
        <v>24</v>
      </c>
      <c r="AI18" s="3" t="s">
        <v>24</v>
      </c>
    </row>
    <row r="19" spans="1:35" ht="28">
      <c r="A19" s="2" t="s">
        <v>886</v>
      </c>
      <c r="B19" s="2" t="s">
        <v>25</v>
      </c>
      <c r="C19" s="2" t="s">
        <v>39</v>
      </c>
      <c r="D19" s="2" t="s">
        <v>25</v>
      </c>
      <c r="E19" s="18" t="s">
        <v>229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</row>
    <row r="20" spans="1:35" ht="13">
      <c r="A20" s="2" t="s">
        <v>887</v>
      </c>
      <c r="B20" s="2" t="s">
        <v>886</v>
      </c>
      <c r="C20" s="2" t="s">
        <v>178</v>
      </c>
      <c r="D20" s="2" t="s">
        <v>539</v>
      </c>
      <c r="E20" s="43" t="s">
        <v>540</v>
      </c>
      <c r="F20" s="20">
        <f>SUM(F21:F30)</f>
        <v>0</v>
      </c>
      <c r="G20" s="20">
        <f t="shared" ref="G20:AI20" si="0">SUM(G21:G30)</f>
        <v>0</v>
      </c>
      <c r="H20" s="20">
        <f t="shared" si="0"/>
        <v>0</v>
      </c>
      <c r="I20" s="20">
        <f t="shared" si="0"/>
        <v>0</v>
      </c>
      <c r="J20" s="20">
        <f t="shared" si="0"/>
        <v>0</v>
      </c>
      <c r="K20" s="20">
        <f t="shared" si="0"/>
        <v>0</v>
      </c>
      <c r="L20" s="20">
        <f t="shared" si="0"/>
        <v>0</v>
      </c>
      <c r="M20" s="20">
        <f t="shared" si="0"/>
        <v>0</v>
      </c>
      <c r="N20" s="20">
        <f t="shared" si="0"/>
        <v>0</v>
      </c>
      <c r="O20" s="20">
        <f t="shared" si="0"/>
        <v>0</v>
      </c>
      <c r="P20" s="20">
        <f t="shared" si="0"/>
        <v>0</v>
      </c>
      <c r="Q20" s="20">
        <f t="shared" si="0"/>
        <v>0</v>
      </c>
      <c r="R20" s="20">
        <f t="shared" si="0"/>
        <v>0</v>
      </c>
      <c r="S20" s="20">
        <f t="shared" si="0"/>
        <v>0</v>
      </c>
      <c r="T20" s="20">
        <f t="shared" si="0"/>
        <v>0</v>
      </c>
      <c r="U20" s="20">
        <f t="shared" si="0"/>
        <v>0</v>
      </c>
      <c r="V20" s="20">
        <f t="shared" si="0"/>
        <v>0</v>
      </c>
      <c r="W20" s="20">
        <f t="shared" si="0"/>
        <v>0</v>
      </c>
      <c r="X20" s="20">
        <f t="shared" si="0"/>
        <v>0</v>
      </c>
      <c r="Y20" s="20">
        <f t="shared" si="0"/>
        <v>0</v>
      </c>
      <c r="Z20" s="20">
        <f t="shared" si="0"/>
        <v>0</v>
      </c>
      <c r="AA20" s="20">
        <f t="shared" si="0"/>
        <v>0</v>
      </c>
      <c r="AB20" s="20">
        <f t="shared" si="0"/>
        <v>0</v>
      </c>
      <c r="AC20" s="20">
        <f t="shared" si="0"/>
        <v>0</v>
      </c>
      <c r="AD20" s="20">
        <f t="shared" si="0"/>
        <v>0</v>
      </c>
      <c r="AE20" s="20">
        <f t="shared" si="0"/>
        <v>0</v>
      </c>
      <c r="AF20" s="20">
        <f t="shared" si="0"/>
        <v>0</v>
      </c>
      <c r="AG20" s="20">
        <f t="shared" si="0"/>
        <v>0</v>
      </c>
      <c r="AH20" s="20">
        <f t="shared" si="0"/>
        <v>0</v>
      </c>
      <c r="AI20" s="20">
        <f t="shared" si="0"/>
        <v>0</v>
      </c>
    </row>
    <row r="21" spans="1:35" ht="13">
      <c r="A21" s="2" t="s">
        <v>888</v>
      </c>
      <c r="B21" s="2" t="s">
        <v>887</v>
      </c>
      <c r="C21" s="2" t="s">
        <v>541</v>
      </c>
      <c r="D21" s="2" t="s">
        <v>542</v>
      </c>
      <c r="E21" s="43" t="s">
        <v>180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37"/>
    </row>
    <row r="22" spans="1:35" ht="13">
      <c r="A22" s="2" t="s">
        <v>889</v>
      </c>
      <c r="B22" s="2" t="s">
        <v>887</v>
      </c>
      <c r="C22" s="2" t="s">
        <v>543</v>
      </c>
      <c r="D22" s="2" t="s">
        <v>544</v>
      </c>
      <c r="E22" s="44" t="s">
        <v>181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37"/>
    </row>
    <row r="23" spans="1:35" ht="13">
      <c r="A23" s="2" t="s">
        <v>890</v>
      </c>
      <c r="B23" s="2" t="s">
        <v>887</v>
      </c>
      <c r="C23" s="2" t="s">
        <v>545</v>
      </c>
      <c r="D23" s="2" t="s">
        <v>343</v>
      </c>
      <c r="E23" s="44" t="s">
        <v>182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37"/>
    </row>
    <row r="24" spans="1:35" ht="13">
      <c r="A24" s="2" t="s">
        <v>891</v>
      </c>
      <c r="B24" s="2" t="s">
        <v>887</v>
      </c>
      <c r="C24" s="2" t="s">
        <v>546</v>
      </c>
      <c r="D24" s="2" t="s">
        <v>247</v>
      </c>
      <c r="E24" s="44" t="s">
        <v>547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37"/>
    </row>
    <row r="25" spans="1:35" ht="13">
      <c r="A25" s="2" t="s">
        <v>892</v>
      </c>
      <c r="B25" s="2" t="s">
        <v>887</v>
      </c>
      <c r="C25" s="2" t="s">
        <v>548</v>
      </c>
      <c r="D25" s="2" t="s">
        <v>549</v>
      </c>
      <c r="E25" s="43" t="s">
        <v>550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37"/>
    </row>
    <row r="26" spans="1:35" ht="13">
      <c r="A26" s="2" t="s">
        <v>893</v>
      </c>
      <c r="B26" s="2" t="s">
        <v>887</v>
      </c>
      <c r="C26" s="2" t="s">
        <v>551</v>
      </c>
      <c r="D26" s="2" t="s">
        <v>244</v>
      </c>
      <c r="E26" s="44" t="s">
        <v>552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37"/>
    </row>
    <row r="27" spans="1:35" ht="13">
      <c r="A27" s="2" t="s">
        <v>894</v>
      </c>
      <c r="B27" s="2" t="s">
        <v>887</v>
      </c>
      <c r="C27" s="2" t="s">
        <v>553</v>
      </c>
      <c r="D27" s="2" t="s">
        <v>245</v>
      </c>
      <c r="E27" s="43" t="s">
        <v>554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37"/>
    </row>
    <row r="28" spans="1:35" ht="13">
      <c r="A28" s="2" t="s">
        <v>895</v>
      </c>
      <c r="B28" s="2" t="s">
        <v>887</v>
      </c>
      <c r="C28" s="2" t="s">
        <v>555</v>
      </c>
      <c r="D28" s="2" t="s">
        <v>256</v>
      </c>
      <c r="E28" s="44" t="s">
        <v>556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37"/>
    </row>
    <row r="29" spans="1:35" ht="13">
      <c r="A29" s="2" t="s">
        <v>896</v>
      </c>
      <c r="B29" s="2" t="s">
        <v>887</v>
      </c>
      <c r="C29" s="2" t="s">
        <v>557</v>
      </c>
      <c r="D29" s="2" t="s">
        <v>558</v>
      </c>
      <c r="E29" s="44" t="s">
        <v>559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37"/>
    </row>
    <row r="30" spans="1:35" ht="13">
      <c r="A30" s="2" t="s">
        <v>897</v>
      </c>
      <c r="B30" s="2" t="s">
        <v>887</v>
      </c>
      <c r="C30" s="2" t="s">
        <v>560</v>
      </c>
      <c r="D30" s="2" t="s">
        <v>244</v>
      </c>
      <c r="E30" s="44" t="s">
        <v>561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37"/>
    </row>
    <row r="31" spans="1:35" ht="26">
      <c r="A31" s="2" t="s">
        <v>898</v>
      </c>
      <c r="B31" s="2" t="s">
        <v>886</v>
      </c>
      <c r="C31" s="2" t="s">
        <v>179</v>
      </c>
      <c r="D31" s="2" t="s">
        <v>562</v>
      </c>
      <c r="E31" s="44" t="s">
        <v>563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37"/>
    </row>
    <row r="32" spans="1:35" ht="26">
      <c r="A32" s="2" t="s">
        <v>899</v>
      </c>
      <c r="B32" s="2" t="s">
        <v>886</v>
      </c>
      <c r="C32" s="2" t="s">
        <v>183</v>
      </c>
      <c r="D32" s="2" t="s">
        <v>564</v>
      </c>
      <c r="E32" s="44" t="s">
        <v>565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37"/>
    </row>
    <row r="33" spans="1:35" ht="26">
      <c r="A33" s="2" t="s">
        <v>900</v>
      </c>
      <c r="B33" s="2" t="s">
        <v>886</v>
      </c>
      <c r="C33" s="2" t="s">
        <v>184</v>
      </c>
      <c r="D33" s="2" t="s">
        <v>566</v>
      </c>
      <c r="E33" s="44" t="s">
        <v>567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37"/>
    </row>
    <row r="34" spans="1:35" ht="13">
      <c r="A34" s="2" t="s">
        <v>901</v>
      </c>
      <c r="B34" s="2" t="s">
        <v>886</v>
      </c>
      <c r="C34" s="2" t="s">
        <v>195</v>
      </c>
      <c r="D34" s="2" t="s">
        <v>568</v>
      </c>
      <c r="E34" s="44" t="s">
        <v>569</v>
      </c>
      <c r="F34" s="20">
        <f>'Profit and Loss Statement'!F77</f>
        <v>0</v>
      </c>
      <c r="G34" s="20">
        <f>'Profit and Loss Statement'!G77</f>
        <v>0</v>
      </c>
      <c r="H34" s="20">
        <f>'Profit and Loss Statement'!H77</f>
        <v>0</v>
      </c>
      <c r="I34" s="20">
        <f>'Profit and Loss Statement'!I77</f>
        <v>0</v>
      </c>
      <c r="J34" s="20">
        <f>'Profit and Loss Statement'!J77</f>
        <v>0</v>
      </c>
      <c r="K34" s="20">
        <f>'Profit and Loss Statement'!K77</f>
        <v>0</v>
      </c>
      <c r="L34" s="20">
        <f>'Profit and Loss Statement'!L77</f>
        <v>0</v>
      </c>
      <c r="M34" s="20">
        <f>'Profit and Loss Statement'!M77</f>
        <v>0</v>
      </c>
      <c r="N34" s="20">
        <f>'Profit and Loss Statement'!N77</f>
        <v>0</v>
      </c>
      <c r="O34" s="20">
        <f>'Profit and Loss Statement'!O77</f>
        <v>0</v>
      </c>
      <c r="P34" s="20">
        <f>'Profit and Loss Statement'!P77</f>
        <v>0</v>
      </c>
      <c r="Q34" s="20">
        <f>'Profit and Loss Statement'!Q77</f>
        <v>0</v>
      </c>
      <c r="R34" s="20">
        <f>'Profit and Loss Statement'!R77</f>
        <v>0</v>
      </c>
      <c r="S34" s="20">
        <f>'Profit and Loss Statement'!S77</f>
        <v>0</v>
      </c>
      <c r="T34" s="20">
        <f>'Profit and Loss Statement'!T77</f>
        <v>0</v>
      </c>
      <c r="U34" s="20">
        <f>'Profit and Loss Statement'!U77</f>
        <v>0</v>
      </c>
      <c r="V34" s="20">
        <f>'Profit and Loss Statement'!V77</f>
        <v>0</v>
      </c>
      <c r="W34" s="20">
        <f>'Profit and Loss Statement'!W77</f>
        <v>0</v>
      </c>
      <c r="X34" s="20">
        <f>'Profit and Loss Statement'!X77</f>
        <v>0</v>
      </c>
      <c r="Y34" s="20">
        <f>'Profit and Loss Statement'!Y77</f>
        <v>0</v>
      </c>
      <c r="Z34" s="20">
        <f>'Profit and Loss Statement'!Z77</f>
        <v>0</v>
      </c>
      <c r="AA34" s="20">
        <f>'Profit and Loss Statement'!AA77</f>
        <v>0</v>
      </c>
      <c r="AB34" s="20">
        <f>'Profit and Loss Statement'!AB77</f>
        <v>0</v>
      </c>
      <c r="AC34" s="20">
        <f>'Profit and Loss Statement'!AC77</f>
        <v>0</v>
      </c>
      <c r="AD34" s="20">
        <f>'Profit and Loss Statement'!AD77</f>
        <v>0</v>
      </c>
      <c r="AE34" s="20">
        <f>'Profit and Loss Statement'!AE77</f>
        <v>0</v>
      </c>
      <c r="AF34" s="20">
        <f>'Profit and Loss Statement'!AF77</f>
        <v>0</v>
      </c>
      <c r="AG34" s="20">
        <f>'Profit and Loss Statement'!AG77</f>
        <v>0</v>
      </c>
      <c r="AH34" s="20">
        <f>'Profit and Loss Statement'!AH77</f>
        <v>0</v>
      </c>
      <c r="AI34" s="20">
        <f>'Profit and Loss Statement'!AI77</f>
        <v>0</v>
      </c>
    </row>
    <row r="35" spans="1:35" ht="13">
      <c r="A35" s="2" t="s">
        <v>902</v>
      </c>
      <c r="B35" s="2" t="s">
        <v>886</v>
      </c>
      <c r="C35" s="2" t="s">
        <v>196</v>
      </c>
      <c r="D35" s="2" t="s">
        <v>570</v>
      </c>
      <c r="E35" s="44" t="s">
        <v>571</v>
      </c>
      <c r="F35" s="20">
        <f>'Profit and Loss Statement'!F78</f>
        <v>0</v>
      </c>
      <c r="G35" s="20">
        <f>'Profit and Loss Statement'!G78</f>
        <v>0</v>
      </c>
      <c r="H35" s="20">
        <f>'Profit and Loss Statement'!H78</f>
        <v>0</v>
      </c>
      <c r="I35" s="20">
        <f>'Profit and Loss Statement'!I78</f>
        <v>0</v>
      </c>
      <c r="J35" s="20">
        <f>'Profit and Loss Statement'!J78</f>
        <v>0</v>
      </c>
      <c r="K35" s="20">
        <f>'Profit and Loss Statement'!K78</f>
        <v>0</v>
      </c>
      <c r="L35" s="20">
        <f>'Profit and Loss Statement'!L78</f>
        <v>0</v>
      </c>
      <c r="M35" s="20">
        <f>'Profit and Loss Statement'!M78</f>
        <v>0</v>
      </c>
      <c r="N35" s="20">
        <f>'Profit and Loss Statement'!N78</f>
        <v>0</v>
      </c>
      <c r="O35" s="20">
        <f>'Profit and Loss Statement'!O78</f>
        <v>0</v>
      </c>
      <c r="P35" s="20">
        <f>'Profit and Loss Statement'!P78</f>
        <v>0</v>
      </c>
      <c r="Q35" s="20">
        <f>'Profit and Loss Statement'!Q78</f>
        <v>0</v>
      </c>
      <c r="R35" s="20">
        <f>'Profit and Loss Statement'!R78</f>
        <v>0</v>
      </c>
      <c r="S35" s="20">
        <f>'Profit and Loss Statement'!S78</f>
        <v>0</v>
      </c>
      <c r="T35" s="20">
        <f>'Profit and Loss Statement'!T78</f>
        <v>0</v>
      </c>
      <c r="U35" s="20">
        <f>'Profit and Loss Statement'!U78</f>
        <v>0</v>
      </c>
      <c r="V35" s="20">
        <f>'Profit and Loss Statement'!V78</f>
        <v>0</v>
      </c>
      <c r="W35" s="20">
        <f>'Profit and Loss Statement'!W78</f>
        <v>0</v>
      </c>
      <c r="X35" s="20">
        <f>'Profit and Loss Statement'!X78</f>
        <v>0</v>
      </c>
      <c r="Y35" s="20">
        <f>'Profit and Loss Statement'!Y78</f>
        <v>0</v>
      </c>
      <c r="Z35" s="20">
        <f>'Profit and Loss Statement'!Z78</f>
        <v>0</v>
      </c>
      <c r="AA35" s="20">
        <f>'Profit and Loss Statement'!AA78</f>
        <v>0</v>
      </c>
      <c r="AB35" s="20">
        <f>'Profit and Loss Statement'!AB78</f>
        <v>0</v>
      </c>
      <c r="AC35" s="20">
        <f>'Profit and Loss Statement'!AC78</f>
        <v>0</v>
      </c>
      <c r="AD35" s="20">
        <f>'Profit and Loss Statement'!AD78</f>
        <v>0</v>
      </c>
      <c r="AE35" s="20">
        <f>'Profit and Loss Statement'!AE78</f>
        <v>0</v>
      </c>
      <c r="AF35" s="20">
        <f>'Profit and Loss Statement'!AF78</f>
        <v>0</v>
      </c>
      <c r="AG35" s="20">
        <f>'Profit and Loss Statement'!AG78</f>
        <v>0</v>
      </c>
      <c r="AH35" s="20">
        <f>'Profit and Loss Statement'!AH78</f>
        <v>0</v>
      </c>
      <c r="AI35" s="20">
        <f>'Profit and Loss Statement'!AI78</f>
        <v>0</v>
      </c>
    </row>
  </sheetData>
  <sheetProtection algorithmName="SHA-512" hashValue="D+k8ZfodRdpT2bGKPL+cFaWA7LOxbfJOO44bZ1OeE3QwSrpyxL3Yp34H+/qEHxaIfi7YnhWchLnrjT3d6smUjA==" saltValue="IwuwhwyASX7XEsdQGcPejA==" spinCount="100000" sheet="1" objects="1" scenarios="1"/>
  <pageMargins left="0.75" right="0.75" top="1" bottom="1" header="0.5" footer="0.5"/>
  <pageSetup orientation="portrait"/>
  <ignoredErrors>
    <ignoredError sqref="F7 G7:AI7 F9 G9:AI9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A838-BE8E-4EE3-85E9-E4C3C50A0B8A}">
  <sheetPr codeName="Sheet4"/>
  <dimension ref="A1:AI105"/>
  <sheetViews>
    <sheetView topLeftCell="D4" workbookViewId="0">
      <selection activeCell="F20" sqref="F20"/>
    </sheetView>
  </sheetViews>
  <sheetFormatPr defaultRowHeight="12.5"/>
  <cols>
    <col min="1" max="3" width="9.1796875" hidden="1" customWidth="1"/>
    <col min="5" max="5" width="38.1796875" customWidth="1"/>
  </cols>
  <sheetData>
    <row r="1" spans="1:34">
      <c r="E1" s="1" t="s">
        <v>0</v>
      </c>
    </row>
    <row r="2" spans="1:34">
      <c r="E2" s="1" t="s">
        <v>1</v>
      </c>
    </row>
    <row r="3" spans="1:34">
      <c r="A3" t="s">
        <v>197</v>
      </c>
      <c r="E3" s="1" t="s">
        <v>3</v>
      </c>
      <c r="F3" t="s">
        <v>989</v>
      </c>
    </row>
    <row r="4" spans="1:34">
      <c r="E4" s="1" t="s">
        <v>4</v>
      </c>
    </row>
    <row r="5" spans="1:34">
      <c r="E5" s="1" t="s">
        <v>5</v>
      </c>
    </row>
    <row r="6" spans="1:34">
      <c r="E6" s="1" t="s">
        <v>7</v>
      </c>
    </row>
    <row r="7" spans="1:34">
      <c r="E7" s="1" t="s">
        <v>9</v>
      </c>
    </row>
    <row r="8" spans="1:34">
      <c r="E8" s="1" t="s">
        <v>10</v>
      </c>
    </row>
    <row r="9" spans="1:34">
      <c r="E9" s="1" t="s">
        <v>11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>
      <c r="E10" s="1" t="s">
        <v>12</v>
      </c>
    </row>
    <row r="11" spans="1:34">
      <c r="E11" s="1" t="s">
        <v>13</v>
      </c>
    </row>
    <row r="12" spans="1:34">
      <c r="E12" s="1" t="s">
        <v>14</v>
      </c>
    </row>
    <row r="13" spans="1:34">
      <c r="E13" s="1" t="s">
        <v>15</v>
      </c>
    </row>
    <row r="14" spans="1:34">
      <c r="E14" s="1" t="s">
        <v>16</v>
      </c>
    </row>
    <row r="15" spans="1:34">
      <c r="E15" s="1" t="s">
        <v>17</v>
      </c>
    </row>
    <row r="16" spans="1:34">
      <c r="E16" s="1" t="s">
        <v>18</v>
      </c>
    </row>
    <row r="17" spans="1:35">
      <c r="F17" s="2">
        <v>1</v>
      </c>
      <c r="G17" s="2">
        <v>2</v>
      </c>
      <c r="H17" s="2">
        <v>3</v>
      </c>
      <c r="I17" s="2">
        <v>4</v>
      </c>
      <c r="J17" s="2">
        <v>5</v>
      </c>
      <c r="K17" s="2">
        <v>6</v>
      </c>
      <c r="L17" s="2">
        <v>7</v>
      </c>
      <c r="M17" s="2">
        <v>8</v>
      </c>
      <c r="N17" s="2">
        <v>9</v>
      </c>
      <c r="O17" s="2">
        <v>10</v>
      </c>
      <c r="P17" s="2">
        <v>11</v>
      </c>
      <c r="Q17" s="2">
        <v>12</v>
      </c>
      <c r="R17" s="2">
        <v>13</v>
      </c>
      <c r="S17" s="2">
        <v>14</v>
      </c>
      <c r="T17" s="2">
        <v>15</v>
      </c>
      <c r="U17" s="2">
        <v>16</v>
      </c>
      <c r="V17" s="2">
        <v>17</v>
      </c>
      <c r="W17" s="2">
        <v>18</v>
      </c>
      <c r="X17" s="2">
        <v>19</v>
      </c>
      <c r="Y17" s="2">
        <v>20</v>
      </c>
      <c r="Z17" s="2">
        <v>21</v>
      </c>
      <c r="AA17" s="2">
        <v>22</v>
      </c>
      <c r="AB17" s="2">
        <v>23</v>
      </c>
      <c r="AC17" s="2">
        <v>24</v>
      </c>
      <c r="AD17" s="2">
        <v>25</v>
      </c>
      <c r="AE17" s="2">
        <v>26</v>
      </c>
      <c r="AF17" s="2">
        <v>27</v>
      </c>
      <c r="AG17" s="2">
        <v>28</v>
      </c>
      <c r="AH17" s="2">
        <v>29</v>
      </c>
      <c r="AI17" s="2">
        <v>30</v>
      </c>
    </row>
    <row r="18" spans="1:3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3" t="s">
        <v>24</v>
      </c>
      <c r="S18" s="3" t="s">
        <v>24</v>
      </c>
      <c r="T18" s="3" t="s">
        <v>24</v>
      </c>
      <c r="U18" s="3" t="s">
        <v>24</v>
      </c>
      <c r="V18" s="3" t="s">
        <v>24</v>
      </c>
      <c r="W18" s="3" t="s">
        <v>24</v>
      </c>
      <c r="X18" s="3" t="s">
        <v>24</v>
      </c>
      <c r="Y18" s="3" t="s">
        <v>24</v>
      </c>
      <c r="Z18" s="3" t="s">
        <v>24</v>
      </c>
      <c r="AA18" s="3" t="s">
        <v>24</v>
      </c>
      <c r="AB18" s="3" t="s">
        <v>24</v>
      </c>
      <c r="AC18" s="3" t="s">
        <v>24</v>
      </c>
      <c r="AD18" s="3" t="s">
        <v>24</v>
      </c>
      <c r="AE18" s="3" t="s">
        <v>24</v>
      </c>
      <c r="AF18" s="3" t="s">
        <v>24</v>
      </c>
      <c r="AG18" s="3" t="s">
        <v>24</v>
      </c>
      <c r="AH18" s="3" t="s">
        <v>24</v>
      </c>
      <c r="AI18" s="3" t="s">
        <v>24</v>
      </c>
    </row>
    <row r="19" spans="1:35" ht="28">
      <c r="A19" s="2" t="s">
        <v>903</v>
      </c>
      <c r="B19" s="2" t="s">
        <v>25</v>
      </c>
      <c r="C19" s="2" t="s">
        <v>42</v>
      </c>
      <c r="D19" s="2" t="s">
        <v>25</v>
      </c>
      <c r="E19" s="10" t="s">
        <v>198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</row>
    <row r="20" spans="1:35" ht="13">
      <c r="A20" s="2" t="s">
        <v>904</v>
      </c>
      <c r="B20" s="2" t="s">
        <v>903</v>
      </c>
      <c r="C20" s="2" t="s">
        <v>185</v>
      </c>
      <c r="D20" s="2" t="s">
        <v>26</v>
      </c>
      <c r="E20" s="7" t="s">
        <v>572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3"/>
    </row>
    <row r="21" spans="1:35" ht="13">
      <c r="A21" s="2" t="s">
        <v>905</v>
      </c>
      <c r="B21" s="2" t="s">
        <v>903</v>
      </c>
      <c r="C21" s="2" t="s">
        <v>186</v>
      </c>
      <c r="D21" s="2" t="s">
        <v>36</v>
      </c>
      <c r="E21" s="7" t="s">
        <v>573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3"/>
    </row>
    <row r="22" spans="1:35" ht="13">
      <c r="A22" s="2" t="s">
        <v>906</v>
      </c>
      <c r="B22" s="2" t="s">
        <v>903</v>
      </c>
      <c r="C22" s="2" t="s">
        <v>187</v>
      </c>
      <c r="D22" s="2" t="s">
        <v>39</v>
      </c>
      <c r="E22" s="7" t="s">
        <v>574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3"/>
    </row>
    <row r="23" spans="1:35" ht="13">
      <c r="A23" s="2" t="s">
        <v>907</v>
      </c>
      <c r="B23" s="2" t="s">
        <v>903</v>
      </c>
      <c r="C23" s="2" t="s">
        <v>188</v>
      </c>
      <c r="D23" s="2" t="s">
        <v>42</v>
      </c>
      <c r="E23" s="7" t="s">
        <v>575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3"/>
    </row>
    <row r="24" spans="1:35" ht="13">
      <c r="A24" s="2" t="s">
        <v>908</v>
      </c>
      <c r="B24" s="2" t="s">
        <v>903</v>
      </c>
      <c r="C24" s="2" t="s">
        <v>189</v>
      </c>
      <c r="D24" s="2" t="s">
        <v>45</v>
      </c>
      <c r="E24" s="7" t="s">
        <v>576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3"/>
    </row>
    <row r="25" spans="1:35" ht="13">
      <c r="A25" s="2" t="s">
        <v>909</v>
      </c>
      <c r="B25" s="2" t="s">
        <v>903</v>
      </c>
      <c r="C25" s="2" t="s">
        <v>190</v>
      </c>
      <c r="D25" s="2" t="s">
        <v>52</v>
      </c>
      <c r="E25" s="7" t="s">
        <v>577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3"/>
    </row>
    <row r="26" spans="1:35" ht="13">
      <c r="A26" s="2" t="s">
        <v>910</v>
      </c>
      <c r="B26" s="2" t="s">
        <v>903</v>
      </c>
      <c r="C26" s="2" t="s">
        <v>191</v>
      </c>
      <c r="D26" s="2" t="s">
        <v>58</v>
      </c>
      <c r="E26" s="7" t="s">
        <v>578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3"/>
    </row>
    <row r="27" spans="1:35" ht="13">
      <c r="A27" s="2" t="s">
        <v>911</v>
      </c>
      <c r="B27" s="2" t="s">
        <v>903</v>
      </c>
      <c r="C27" s="2" t="s">
        <v>192</v>
      </c>
      <c r="D27" s="2" t="s">
        <v>60</v>
      </c>
      <c r="E27" s="7" t="s">
        <v>579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3"/>
    </row>
    <row r="28" spans="1:35" ht="13">
      <c r="A28" s="2" t="s">
        <v>912</v>
      </c>
      <c r="B28" s="2" t="s">
        <v>903</v>
      </c>
      <c r="C28" s="2" t="s">
        <v>193</v>
      </c>
      <c r="D28" s="2" t="s">
        <v>62</v>
      </c>
      <c r="E28" s="7" t="s">
        <v>580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3"/>
    </row>
    <row r="29" spans="1:35" ht="13">
      <c r="A29" s="2" t="s">
        <v>913</v>
      </c>
      <c r="B29" s="2" t="s">
        <v>903</v>
      </c>
      <c r="C29" s="2" t="s">
        <v>194</v>
      </c>
      <c r="D29" s="2" t="s">
        <v>64</v>
      </c>
      <c r="E29" s="7" t="s">
        <v>581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3"/>
    </row>
    <row r="30" spans="1:35" ht="13">
      <c r="A30" s="2" t="s">
        <v>914</v>
      </c>
      <c r="B30" s="2" t="s">
        <v>903</v>
      </c>
      <c r="C30" s="2" t="s">
        <v>204</v>
      </c>
      <c r="D30" s="2" t="s">
        <v>66</v>
      </c>
      <c r="E30" s="7" t="s">
        <v>582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3"/>
    </row>
    <row r="31" spans="1:35" ht="13">
      <c r="A31" s="2" t="s">
        <v>915</v>
      </c>
      <c r="B31" s="2" t="s">
        <v>903</v>
      </c>
      <c r="C31" s="2" t="s">
        <v>205</v>
      </c>
      <c r="D31" s="2" t="s">
        <v>68</v>
      </c>
      <c r="E31" s="7" t="s">
        <v>583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/>
    </row>
    <row r="32" spans="1:35" ht="13">
      <c r="A32" s="2" t="s">
        <v>916</v>
      </c>
      <c r="B32" s="2" t="s">
        <v>903</v>
      </c>
      <c r="C32" s="2" t="s">
        <v>206</v>
      </c>
      <c r="D32" s="2" t="s">
        <v>70</v>
      </c>
      <c r="E32" s="7" t="s">
        <v>584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/>
    </row>
    <row r="33" spans="1:35" ht="13">
      <c r="A33" s="2" t="s">
        <v>917</v>
      </c>
      <c r="B33" s="2" t="s">
        <v>903</v>
      </c>
      <c r="C33" s="2" t="s">
        <v>207</v>
      </c>
      <c r="D33" s="2" t="s">
        <v>73</v>
      </c>
      <c r="E33" s="7" t="s">
        <v>437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3"/>
    </row>
    <row r="34" spans="1:35" ht="13">
      <c r="A34" s="2" t="s">
        <v>918</v>
      </c>
      <c r="B34" s="2" t="s">
        <v>903</v>
      </c>
      <c r="C34" s="2" t="s">
        <v>208</v>
      </c>
      <c r="D34" s="2" t="s">
        <v>75</v>
      </c>
      <c r="E34" s="8" t="s">
        <v>585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3"/>
    </row>
    <row r="35" spans="1:35" ht="13">
      <c r="A35" s="2" t="s">
        <v>919</v>
      </c>
      <c r="B35" s="2" t="s">
        <v>918</v>
      </c>
      <c r="C35" s="2" t="s">
        <v>586</v>
      </c>
      <c r="D35" s="2" t="s">
        <v>25</v>
      </c>
      <c r="E35" s="6" t="s">
        <v>129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3"/>
    </row>
    <row r="36" spans="1:35" ht="13">
      <c r="A36" s="2" t="s">
        <v>920</v>
      </c>
      <c r="B36" s="2" t="s">
        <v>918</v>
      </c>
      <c r="C36" s="2" t="s">
        <v>587</v>
      </c>
      <c r="D36" s="2" t="s">
        <v>25</v>
      </c>
      <c r="E36" s="6" t="s">
        <v>588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3"/>
    </row>
    <row r="37" spans="1:35" ht="13">
      <c r="A37" s="2" t="s">
        <v>921</v>
      </c>
      <c r="B37" s="2" t="s">
        <v>903</v>
      </c>
      <c r="C37" s="2" t="s">
        <v>209</v>
      </c>
      <c r="D37" s="2" t="s">
        <v>77</v>
      </c>
      <c r="E37" s="7" t="s">
        <v>589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3"/>
    </row>
    <row r="38" spans="1:35" ht="13">
      <c r="A38" s="2" t="s">
        <v>922</v>
      </c>
      <c r="B38" s="2" t="s">
        <v>903</v>
      </c>
      <c r="C38" s="2" t="s">
        <v>210</v>
      </c>
      <c r="D38" s="2" t="s">
        <v>79</v>
      </c>
      <c r="E38" s="7" t="s">
        <v>590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3"/>
    </row>
    <row r="39" spans="1:35" ht="13">
      <c r="A39" s="2" t="s">
        <v>923</v>
      </c>
      <c r="B39" s="2" t="s">
        <v>903</v>
      </c>
      <c r="C39" s="2" t="s">
        <v>211</v>
      </c>
      <c r="D39" s="2" t="s">
        <v>80</v>
      </c>
      <c r="E39" s="7" t="s">
        <v>591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3"/>
    </row>
    <row r="40" spans="1:35" ht="13">
      <c r="A40" s="2" t="s">
        <v>924</v>
      </c>
      <c r="B40" s="2" t="s">
        <v>903</v>
      </c>
      <c r="C40" s="2" t="s">
        <v>213</v>
      </c>
      <c r="D40" s="2" t="s">
        <v>25</v>
      </c>
      <c r="E40" s="7" t="s">
        <v>592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3"/>
    </row>
    <row r="41" spans="1:35" ht="13">
      <c r="A41" s="2" t="s">
        <v>925</v>
      </c>
      <c r="B41" s="2" t="s">
        <v>903</v>
      </c>
      <c r="C41" s="2" t="s">
        <v>214</v>
      </c>
      <c r="D41" s="2" t="s">
        <v>25</v>
      </c>
      <c r="E41" s="7" t="s">
        <v>593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3"/>
    </row>
    <row r="42" spans="1:35" ht="13">
      <c r="A42" s="2" t="s">
        <v>926</v>
      </c>
      <c r="B42" s="2" t="s">
        <v>903</v>
      </c>
      <c r="C42" s="2" t="s">
        <v>216</v>
      </c>
      <c r="D42" s="2" t="s">
        <v>81</v>
      </c>
      <c r="E42" s="7" t="s">
        <v>594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3"/>
    </row>
    <row r="43" spans="1:35" ht="13">
      <c r="A43" s="2" t="s">
        <v>927</v>
      </c>
      <c r="B43" s="2" t="s">
        <v>903</v>
      </c>
      <c r="C43" s="2" t="s">
        <v>595</v>
      </c>
      <c r="D43" s="2" t="s">
        <v>82</v>
      </c>
      <c r="E43" s="7" t="s">
        <v>596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3"/>
    </row>
    <row r="44" spans="1:35" ht="13">
      <c r="A44" s="2" t="s">
        <v>928</v>
      </c>
      <c r="B44" s="2" t="s">
        <v>903</v>
      </c>
      <c r="C44" s="2" t="s">
        <v>597</v>
      </c>
      <c r="D44" s="2" t="s">
        <v>83</v>
      </c>
      <c r="E44" s="7" t="s">
        <v>598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3"/>
    </row>
    <row r="45" spans="1:35" ht="13">
      <c r="A45" s="2" t="s">
        <v>929</v>
      </c>
      <c r="B45" s="2" t="s">
        <v>903</v>
      </c>
      <c r="C45" s="2" t="s">
        <v>599</v>
      </c>
      <c r="D45" s="2" t="s">
        <v>84</v>
      </c>
      <c r="E45" s="7" t="s">
        <v>600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3"/>
    </row>
    <row r="46" spans="1:35" ht="13">
      <c r="A46" s="2" t="s">
        <v>930</v>
      </c>
      <c r="B46" s="2" t="s">
        <v>903</v>
      </c>
      <c r="C46" s="2" t="s">
        <v>601</v>
      </c>
      <c r="D46" s="2" t="s">
        <v>85</v>
      </c>
      <c r="E46" s="9" t="s">
        <v>602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3"/>
    </row>
    <row r="47" spans="1:35" ht="13">
      <c r="A47" s="2" t="s">
        <v>931</v>
      </c>
      <c r="B47" s="2" t="s">
        <v>903</v>
      </c>
      <c r="C47" s="2" t="s">
        <v>603</v>
      </c>
      <c r="D47" s="2" t="s">
        <v>86</v>
      </c>
      <c r="E47" s="7" t="s">
        <v>604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3"/>
    </row>
    <row r="48" spans="1:35" ht="13">
      <c r="A48" s="2" t="s">
        <v>932</v>
      </c>
      <c r="B48" s="2" t="s">
        <v>903</v>
      </c>
      <c r="C48" s="2" t="s">
        <v>605</v>
      </c>
      <c r="D48" s="2" t="s">
        <v>87</v>
      </c>
      <c r="E48" s="7" t="s">
        <v>606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3"/>
    </row>
    <row r="49" spans="1:35" ht="13">
      <c r="A49" s="2" t="s">
        <v>933</v>
      </c>
      <c r="B49" s="2" t="s">
        <v>903</v>
      </c>
      <c r="C49" s="2" t="s">
        <v>607</v>
      </c>
      <c r="D49" s="2" t="s">
        <v>88</v>
      </c>
      <c r="E49" s="7" t="s">
        <v>608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3"/>
    </row>
    <row r="50" spans="1:35" ht="13">
      <c r="A50" s="2" t="s">
        <v>934</v>
      </c>
      <c r="B50" s="2" t="s">
        <v>903</v>
      </c>
      <c r="C50" s="2" t="s">
        <v>609</v>
      </c>
      <c r="D50" s="2" t="s">
        <v>89</v>
      </c>
      <c r="E50" s="7" t="s">
        <v>610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3"/>
    </row>
    <row r="51" spans="1:35" ht="13">
      <c r="A51" s="2" t="s">
        <v>935</v>
      </c>
      <c r="B51" s="2" t="s">
        <v>903</v>
      </c>
      <c r="C51" s="2" t="s">
        <v>611</v>
      </c>
      <c r="D51" s="2" t="s">
        <v>90</v>
      </c>
      <c r="E51" s="7" t="s">
        <v>612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3"/>
    </row>
    <row r="52" spans="1:35" ht="13">
      <c r="A52" s="2" t="s">
        <v>936</v>
      </c>
      <c r="B52" s="2" t="s">
        <v>903</v>
      </c>
      <c r="C52" s="2" t="s">
        <v>613</v>
      </c>
      <c r="D52" s="2" t="s">
        <v>453</v>
      </c>
      <c r="E52" s="7" t="s">
        <v>614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3"/>
    </row>
    <row r="53" spans="1:35" ht="13">
      <c r="A53" s="2" t="s">
        <v>937</v>
      </c>
      <c r="B53" s="2" t="s">
        <v>903</v>
      </c>
      <c r="C53" s="2" t="s">
        <v>615</v>
      </c>
      <c r="D53" s="2" t="s">
        <v>455</v>
      </c>
      <c r="E53" s="7" t="s">
        <v>616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3"/>
    </row>
    <row r="54" spans="1:35" ht="13">
      <c r="A54" s="2" t="s">
        <v>938</v>
      </c>
      <c r="B54" s="2" t="s">
        <v>903</v>
      </c>
      <c r="C54" s="2" t="s">
        <v>617</v>
      </c>
      <c r="D54" s="2" t="s">
        <v>457</v>
      </c>
      <c r="E54" s="7" t="s">
        <v>618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3"/>
    </row>
    <row r="55" spans="1:35" ht="13">
      <c r="A55" s="2" t="s">
        <v>939</v>
      </c>
      <c r="B55" s="2" t="s">
        <v>903</v>
      </c>
      <c r="C55" s="2" t="s">
        <v>619</v>
      </c>
      <c r="D55" s="2" t="s">
        <v>467</v>
      </c>
      <c r="E55" s="7" t="s">
        <v>620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3"/>
    </row>
    <row r="56" spans="1:35" ht="13">
      <c r="A56" s="2" t="s">
        <v>940</v>
      </c>
      <c r="B56" s="2" t="s">
        <v>903</v>
      </c>
      <c r="C56" s="2" t="s">
        <v>621</v>
      </c>
      <c r="D56" s="2" t="s">
        <v>469</v>
      </c>
      <c r="E56" s="7" t="s">
        <v>622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3"/>
    </row>
    <row r="57" spans="1:35" ht="13">
      <c r="A57" s="2" t="s">
        <v>941</v>
      </c>
      <c r="B57" s="2" t="s">
        <v>903</v>
      </c>
      <c r="C57" s="2" t="s">
        <v>623</v>
      </c>
      <c r="D57" s="2" t="s">
        <v>471</v>
      </c>
      <c r="E57" s="7" t="s">
        <v>624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3"/>
    </row>
    <row r="58" spans="1:35" ht="26">
      <c r="A58" s="2" t="s">
        <v>942</v>
      </c>
      <c r="B58" s="2" t="s">
        <v>903</v>
      </c>
      <c r="C58" s="2" t="s">
        <v>625</v>
      </c>
      <c r="D58" s="2" t="s">
        <v>477</v>
      </c>
      <c r="E58" s="9" t="s">
        <v>626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3"/>
    </row>
    <row r="59" spans="1:35" ht="13">
      <c r="A59" s="2" t="s">
        <v>943</v>
      </c>
      <c r="B59" s="2" t="s">
        <v>903</v>
      </c>
      <c r="C59" s="2" t="s">
        <v>627</v>
      </c>
      <c r="D59" s="2" t="s">
        <v>481</v>
      </c>
      <c r="E59" s="7" t="s">
        <v>628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3"/>
    </row>
    <row r="60" spans="1:35" ht="13">
      <c r="A60" s="2" t="s">
        <v>944</v>
      </c>
      <c r="B60" s="2" t="s">
        <v>903</v>
      </c>
      <c r="C60" s="2" t="s">
        <v>629</v>
      </c>
      <c r="D60" s="2" t="s">
        <v>485</v>
      </c>
      <c r="E60" s="7" t="s">
        <v>630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3"/>
    </row>
    <row r="61" spans="1:35" ht="13">
      <c r="A61" s="2" t="s">
        <v>945</v>
      </c>
      <c r="B61" s="2" t="s">
        <v>903</v>
      </c>
      <c r="C61" s="2" t="s">
        <v>631</v>
      </c>
      <c r="D61" s="2" t="s">
        <v>487</v>
      </c>
      <c r="E61" s="9" t="s">
        <v>632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3"/>
    </row>
    <row r="62" spans="1:35" ht="13">
      <c r="A62" s="2" t="s">
        <v>946</v>
      </c>
      <c r="B62" s="2" t="s">
        <v>903</v>
      </c>
      <c r="C62" s="2" t="s">
        <v>633</v>
      </c>
      <c r="D62" s="2" t="s">
        <v>492</v>
      </c>
      <c r="E62" s="7" t="s">
        <v>634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3"/>
    </row>
    <row r="63" spans="1:35" ht="13">
      <c r="A63" s="2" t="s">
        <v>947</v>
      </c>
      <c r="B63" s="2" t="s">
        <v>903</v>
      </c>
      <c r="C63" s="2" t="s">
        <v>635</v>
      </c>
      <c r="D63" s="2" t="s">
        <v>498</v>
      </c>
      <c r="E63" s="7" t="s">
        <v>636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3"/>
    </row>
    <row r="64" spans="1:35" ht="13">
      <c r="A64" s="2" t="s">
        <v>948</v>
      </c>
      <c r="B64" s="2" t="s">
        <v>903</v>
      </c>
      <c r="C64" s="2" t="s">
        <v>637</v>
      </c>
      <c r="D64" s="2" t="s">
        <v>501</v>
      </c>
      <c r="E64" s="7" t="s">
        <v>638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3"/>
    </row>
    <row r="65" spans="1:35" ht="13">
      <c r="A65" s="2" t="s">
        <v>949</v>
      </c>
      <c r="B65" s="2" t="s">
        <v>903</v>
      </c>
      <c r="C65" s="2" t="s">
        <v>639</v>
      </c>
      <c r="D65" s="2" t="s">
        <v>504</v>
      </c>
      <c r="E65" s="7" t="s">
        <v>640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3"/>
    </row>
    <row r="66" spans="1:35" ht="13">
      <c r="A66" s="2" t="s">
        <v>950</v>
      </c>
      <c r="B66" s="2" t="s">
        <v>903</v>
      </c>
      <c r="C66" s="2" t="s">
        <v>641</v>
      </c>
      <c r="D66" s="2" t="s">
        <v>517</v>
      </c>
      <c r="E66" s="7" t="s">
        <v>226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3"/>
    </row>
    <row r="67" spans="1:35" ht="13">
      <c r="A67" s="2" t="s">
        <v>951</v>
      </c>
      <c r="B67" s="2" t="s">
        <v>903</v>
      </c>
      <c r="C67" s="2" t="s">
        <v>642</v>
      </c>
      <c r="D67" s="2" t="s">
        <v>521</v>
      </c>
      <c r="E67" s="7" t="s">
        <v>643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3"/>
    </row>
    <row r="68" spans="1:35" ht="13">
      <c r="A68" s="2" t="s">
        <v>952</v>
      </c>
      <c r="B68" s="2" t="s">
        <v>903</v>
      </c>
      <c r="C68" s="2" t="s">
        <v>644</v>
      </c>
      <c r="D68" s="2" t="s">
        <v>524</v>
      </c>
      <c r="E68" s="9" t="s">
        <v>645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3"/>
    </row>
    <row r="69" spans="1:35" ht="13">
      <c r="A69" s="2" t="s">
        <v>953</v>
      </c>
      <c r="B69" s="2" t="s">
        <v>903</v>
      </c>
      <c r="C69" s="2" t="s">
        <v>646</v>
      </c>
      <c r="D69" s="2" t="s">
        <v>527</v>
      </c>
      <c r="E69" s="7" t="s">
        <v>647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3"/>
    </row>
    <row r="70" spans="1:35" ht="13">
      <c r="A70" s="2" t="s">
        <v>954</v>
      </c>
      <c r="B70" s="2" t="s">
        <v>903</v>
      </c>
      <c r="C70" s="2" t="s">
        <v>648</v>
      </c>
      <c r="D70" s="2" t="s">
        <v>530</v>
      </c>
      <c r="E70" s="7" t="s">
        <v>649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3"/>
    </row>
    <row r="71" spans="1:35" ht="26">
      <c r="A71" s="2" t="s">
        <v>955</v>
      </c>
      <c r="B71" s="2" t="s">
        <v>903</v>
      </c>
      <c r="C71" s="2" t="s">
        <v>650</v>
      </c>
      <c r="D71" s="2" t="s">
        <v>531</v>
      </c>
      <c r="E71" s="9" t="s">
        <v>651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3"/>
    </row>
    <row r="72" spans="1:35" ht="13">
      <c r="A72" s="2" t="s">
        <v>956</v>
      </c>
      <c r="B72" s="2" t="s">
        <v>903</v>
      </c>
      <c r="C72" s="2" t="s">
        <v>652</v>
      </c>
      <c r="D72" s="2" t="s">
        <v>533</v>
      </c>
      <c r="E72" s="7" t="s">
        <v>653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3"/>
    </row>
    <row r="73" spans="1:35" ht="13">
      <c r="A73" s="2" t="s">
        <v>957</v>
      </c>
      <c r="B73" s="2" t="s">
        <v>903</v>
      </c>
      <c r="C73" s="2" t="s">
        <v>654</v>
      </c>
      <c r="D73" s="2" t="s">
        <v>534</v>
      </c>
      <c r="E73" s="7" t="s">
        <v>203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3"/>
    </row>
    <row r="74" spans="1:35" ht="13">
      <c r="A74" s="2" t="s">
        <v>958</v>
      </c>
      <c r="B74" s="2" t="s">
        <v>903</v>
      </c>
      <c r="C74" s="2" t="s">
        <v>655</v>
      </c>
      <c r="D74" s="2" t="s">
        <v>536</v>
      </c>
      <c r="E74" s="7" t="s">
        <v>656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3"/>
    </row>
    <row r="75" spans="1:35" ht="13">
      <c r="A75" s="2" t="s">
        <v>959</v>
      </c>
      <c r="B75" s="2" t="s">
        <v>903</v>
      </c>
      <c r="C75" s="2" t="s">
        <v>657</v>
      </c>
      <c r="D75" s="2" t="s">
        <v>537</v>
      </c>
      <c r="E75" s="7" t="s">
        <v>658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3"/>
    </row>
    <row r="76" spans="1:35" ht="13">
      <c r="A76" s="2" t="s">
        <v>960</v>
      </c>
      <c r="B76" s="2" t="s">
        <v>903</v>
      </c>
      <c r="C76" s="2" t="s">
        <v>659</v>
      </c>
      <c r="D76" s="2" t="s">
        <v>660</v>
      </c>
      <c r="E76" s="7" t="s">
        <v>212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3"/>
    </row>
    <row r="77" spans="1:35" ht="13">
      <c r="A77" s="2" t="s">
        <v>961</v>
      </c>
      <c r="B77" s="2" t="s">
        <v>903</v>
      </c>
      <c r="C77" s="2" t="s">
        <v>661</v>
      </c>
      <c r="D77" s="2" t="s">
        <v>662</v>
      </c>
      <c r="E77" s="7" t="s">
        <v>663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3"/>
    </row>
    <row r="78" spans="1:35" ht="13">
      <c r="A78" s="2" t="s">
        <v>990</v>
      </c>
      <c r="B78" s="2" t="s">
        <v>903</v>
      </c>
      <c r="C78" s="2" t="s">
        <v>664</v>
      </c>
      <c r="D78" s="2" t="s">
        <v>991</v>
      </c>
      <c r="E78" s="7" t="s">
        <v>992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3"/>
    </row>
    <row r="79" spans="1:35" ht="13">
      <c r="A79" s="2" t="s">
        <v>962</v>
      </c>
      <c r="B79" s="2" t="s">
        <v>903</v>
      </c>
      <c r="C79" s="2" t="s">
        <v>665</v>
      </c>
      <c r="D79" s="2" t="s">
        <v>25</v>
      </c>
      <c r="E79" s="7" t="s">
        <v>35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3"/>
    </row>
    <row r="80" spans="1:35" ht="13">
      <c r="A80" s="2" t="s">
        <v>963</v>
      </c>
      <c r="B80" s="2" t="s">
        <v>903</v>
      </c>
      <c r="C80" s="2" t="s">
        <v>671</v>
      </c>
      <c r="D80" s="2"/>
      <c r="E80" s="8" t="s">
        <v>215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3"/>
    </row>
    <row r="81" spans="1:35" ht="13">
      <c r="A81" s="2" t="s">
        <v>964</v>
      </c>
      <c r="B81" s="2" t="s">
        <v>963</v>
      </c>
      <c r="C81" s="2" t="s">
        <v>673</v>
      </c>
      <c r="D81" s="2"/>
      <c r="E81" s="6" t="s">
        <v>226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3"/>
    </row>
    <row r="82" spans="1:35" ht="13">
      <c r="A82" s="2" t="s">
        <v>965</v>
      </c>
      <c r="B82" s="2" t="s">
        <v>963</v>
      </c>
      <c r="C82" s="2" t="s">
        <v>674</v>
      </c>
      <c r="D82" s="2" t="s">
        <v>25</v>
      </c>
      <c r="E82" s="6" t="s">
        <v>666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3"/>
    </row>
    <row r="83" spans="1:35" ht="13">
      <c r="A83" s="2" t="s">
        <v>966</v>
      </c>
      <c r="B83" s="2" t="s">
        <v>963</v>
      </c>
      <c r="C83" s="2" t="s">
        <v>675</v>
      </c>
      <c r="D83" s="2"/>
      <c r="E83" s="6" t="s">
        <v>199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3"/>
    </row>
    <row r="84" spans="1:35" ht="13">
      <c r="A84" s="2" t="s">
        <v>967</v>
      </c>
      <c r="B84" s="2" t="s">
        <v>963</v>
      </c>
      <c r="C84" s="2" t="s">
        <v>676</v>
      </c>
      <c r="D84" s="2"/>
      <c r="E84" s="6" t="s">
        <v>200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3"/>
    </row>
    <row r="85" spans="1:35" ht="13">
      <c r="A85" s="2" t="s">
        <v>968</v>
      </c>
      <c r="B85" s="2" t="s">
        <v>963</v>
      </c>
      <c r="C85" s="2" t="s">
        <v>677</v>
      </c>
      <c r="D85" s="2"/>
      <c r="E85" s="6" t="s">
        <v>201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3"/>
    </row>
    <row r="86" spans="1:35" ht="13">
      <c r="A86" s="2" t="s">
        <v>969</v>
      </c>
      <c r="B86" s="2" t="s">
        <v>963</v>
      </c>
      <c r="C86" s="2" t="s">
        <v>678</v>
      </c>
      <c r="D86" s="2"/>
      <c r="E86" s="6" t="s">
        <v>202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3"/>
    </row>
    <row r="87" spans="1:35" ht="13">
      <c r="A87" s="2" t="s">
        <v>970</v>
      </c>
      <c r="B87" s="2" t="s">
        <v>963</v>
      </c>
      <c r="C87" s="2" t="s">
        <v>679</v>
      </c>
      <c r="D87" s="2"/>
      <c r="E87" s="6" t="s">
        <v>203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3"/>
    </row>
    <row r="88" spans="1:35" ht="13">
      <c r="A88" s="2" t="s">
        <v>971</v>
      </c>
      <c r="B88" s="2" t="s">
        <v>963</v>
      </c>
      <c r="C88" s="2" t="s">
        <v>680</v>
      </c>
      <c r="D88" s="2"/>
      <c r="E88" s="6" t="s">
        <v>667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3"/>
    </row>
    <row r="89" spans="1:35" ht="13">
      <c r="A89" s="2" t="s">
        <v>972</v>
      </c>
      <c r="B89" s="2" t="s">
        <v>963</v>
      </c>
      <c r="C89" s="2" t="s">
        <v>681</v>
      </c>
      <c r="D89" s="2" t="s">
        <v>25</v>
      </c>
      <c r="E89" s="6" t="s">
        <v>176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3"/>
    </row>
    <row r="90" spans="1:35" ht="26">
      <c r="A90" s="2" t="s">
        <v>973</v>
      </c>
      <c r="B90" s="2" t="s">
        <v>963</v>
      </c>
      <c r="C90" s="2" t="s">
        <v>682</v>
      </c>
      <c r="D90" s="2" t="s">
        <v>25</v>
      </c>
      <c r="E90" s="11" t="s">
        <v>668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3"/>
    </row>
    <row r="91" spans="1:35" ht="13">
      <c r="A91" s="2" t="s">
        <v>974</v>
      </c>
      <c r="B91" s="2" t="s">
        <v>963</v>
      </c>
      <c r="C91" s="2" t="s">
        <v>683</v>
      </c>
      <c r="D91" s="2" t="s">
        <v>25</v>
      </c>
      <c r="E91" s="6" t="s">
        <v>669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3"/>
    </row>
    <row r="92" spans="1:35" ht="13">
      <c r="A92" s="2" t="s">
        <v>975</v>
      </c>
      <c r="B92" s="2" t="s">
        <v>963</v>
      </c>
      <c r="C92" s="2" t="s">
        <v>684</v>
      </c>
      <c r="D92" s="2" t="s">
        <v>25</v>
      </c>
      <c r="E92" s="6" t="s">
        <v>670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3"/>
    </row>
    <row r="93" spans="1:35" ht="26">
      <c r="A93" s="2" t="s">
        <v>976</v>
      </c>
      <c r="B93" s="2" t="s">
        <v>903</v>
      </c>
      <c r="C93" s="2" t="s">
        <v>993</v>
      </c>
      <c r="D93" s="2"/>
      <c r="E93" s="8" t="s">
        <v>217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3"/>
    </row>
    <row r="94" spans="1:35" ht="13">
      <c r="A94" s="2" t="s">
        <v>977</v>
      </c>
      <c r="B94" s="2" t="s">
        <v>976</v>
      </c>
      <c r="C94" s="2" t="s">
        <v>994</v>
      </c>
      <c r="D94" s="2"/>
      <c r="E94" s="6" t="s">
        <v>672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3"/>
    </row>
    <row r="95" spans="1:35" ht="13">
      <c r="A95" s="2" t="s">
        <v>978</v>
      </c>
      <c r="B95" s="2" t="s">
        <v>976</v>
      </c>
      <c r="C95" s="2" t="s">
        <v>995</v>
      </c>
      <c r="D95" s="2" t="s">
        <v>25</v>
      </c>
      <c r="E95" s="6" t="s">
        <v>666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3"/>
    </row>
    <row r="96" spans="1:35" ht="13">
      <c r="A96" s="2" t="s">
        <v>979</v>
      </c>
      <c r="B96" s="2" t="s">
        <v>976</v>
      </c>
      <c r="C96" s="2" t="s">
        <v>996</v>
      </c>
      <c r="D96" s="2"/>
      <c r="E96" s="6" t="s">
        <v>199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3"/>
    </row>
    <row r="97" spans="1:35" ht="13">
      <c r="A97" s="2" t="s">
        <v>980</v>
      </c>
      <c r="B97" s="2" t="s">
        <v>976</v>
      </c>
      <c r="C97" s="2" t="s">
        <v>997</v>
      </c>
      <c r="D97" s="2"/>
      <c r="E97" s="6" t="s">
        <v>200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3"/>
    </row>
    <row r="98" spans="1:35" ht="13">
      <c r="A98" s="2" t="s">
        <v>981</v>
      </c>
      <c r="B98" s="2" t="s">
        <v>976</v>
      </c>
      <c r="C98" s="2" t="s">
        <v>998</v>
      </c>
      <c r="D98" s="2"/>
      <c r="E98" s="6" t="s">
        <v>201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3"/>
    </row>
    <row r="99" spans="1:35" ht="13">
      <c r="A99" s="2" t="s">
        <v>982</v>
      </c>
      <c r="B99" s="2" t="s">
        <v>976</v>
      </c>
      <c r="C99" s="2" t="s">
        <v>999</v>
      </c>
      <c r="D99" s="2"/>
      <c r="E99" s="6" t="s">
        <v>202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3"/>
    </row>
    <row r="100" spans="1:35" ht="13">
      <c r="A100" s="2" t="s">
        <v>983</v>
      </c>
      <c r="B100" s="2" t="s">
        <v>976</v>
      </c>
      <c r="C100" s="2" t="s">
        <v>1000</v>
      </c>
      <c r="D100" s="2"/>
      <c r="E100" s="6" t="s">
        <v>203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3"/>
    </row>
    <row r="101" spans="1:35" ht="13">
      <c r="A101" s="2" t="s">
        <v>984</v>
      </c>
      <c r="B101" s="2" t="s">
        <v>976</v>
      </c>
      <c r="C101" s="2" t="s">
        <v>1001</v>
      </c>
      <c r="D101" s="2"/>
      <c r="E101" s="6" t="s">
        <v>667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3"/>
    </row>
    <row r="102" spans="1:35" ht="13">
      <c r="A102" s="2" t="s">
        <v>985</v>
      </c>
      <c r="B102" s="2" t="s">
        <v>976</v>
      </c>
      <c r="C102" s="2" t="s">
        <v>1002</v>
      </c>
      <c r="D102" s="2" t="s">
        <v>25</v>
      </c>
      <c r="E102" s="6" t="s">
        <v>176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5" ht="26">
      <c r="A103" s="2" t="s">
        <v>986</v>
      </c>
      <c r="B103" s="2" t="s">
        <v>976</v>
      </c>
      <c r="C103" s="2" t="s">
        <v>1003</v>
      </c>
      <c r="D103" s="2" t="s">
        <v>25</v>
      </c>
      <c r="E103" s="11" t="s">
        <v>668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5" ht="13">
      <c r="A104" s="2" t="s">
        <v>987</v>
      </c>
      <c r="B104" s="2" t="s">
        <v>976</v>
      </c>
      <c r="C104" s="2" t="s">
        <v>1004</v>
      </c>
      <c r="D104" s="2" t="s">
        <v>25</v>
      </c>
      <c r="E104" s="6" t="s">
        <v>669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5" ht="13">
      <c r="A105" s="2" t="s">
        <v>988</v>
      </c>
      <c r="B105" s="2" t="s">
        <v>976</v>
      </c>
      <c r="C105" s="2" t="s">
        <v>1005</v>
      </c>
      <c r="D105" s="2" t="s">
        <v>25</v>
      </c>
      <c r="E105" s="6" t="s">
        <v>670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</sheetData>
  <sheetProtection algorithmName="SHA-512" hashValue="9uAZ9xaY+b8riYynTo53o3pDVh8qV1Va3iparvFstATj6fiNU1S2LWaE8PbObzllfmRoHqGqbvIe1uKXKcj1iw==" saltValue="AisdzKGwOGHBquq2XxbdmA==" spinCount="100000" sheet="1" objects="1" scenarios="1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11DC-BD23-435E-8589-D97993B930E7}">
  <sheetPr codeName="Sheet5"/>
  <dimension ref="A1:EQ325"/>
  <sheetViews>
    <sheetView tabSelected="1" topLeftCell="D1" workbookViewId="0">
      <selection activeCell="E22" sqref="E22:E325"/>
    </sheetView>
  </sheetViews>
  <sheetFormatPr defaultRowHeight="12.5"/>
  <cols>
    <col min="1" max="3" width="9.1796875" hidden="1" customWidth="1"/>
    <col min="4" max="4" width="8.7265625" customWidth="1"/>
    <col min="5" max="5" width="68.1796875" customWidth="1"/>
    <col min="6" max="33" width="20.7265625" hidden="1" customWidth="1"/>
    <col min="34" max="66" width="20.7265625" customWidth="1"/>
  </cols>
  <sheetData>
    <row r="1" spans="1:145">
      <c r="A1" t="s">
        <v>218</v>
      </c>
      <c r="E1" s="40" t="s">
        <v>0</v>
      </c>
    </row>
    <row r="2" spans="1:145">
      <c r="E2" s="1" t="s">
        <v>1</v>
      </c>
    </row>
    <row r="3" spans="1:145">
      <c r="E3" s="40" t="s">
        <v>3</v>
      </c>
      <c r="F3" t="s">
        <v>989</v>
      </c>
    </row>
    <row r="4" spans="1:145">
      <c r="E4" s="1" t="s">
        <v>4</v>
      </c>
    </row>
    <row r="5" spans="1:145">
      <c r="E5" s="40" t="s">
        <v>5</v>
      </c>
    </row>
    <row r="6" spans="1:145">
      <c r="E6" s="40" t="s">
        <v>7</v>
      </c>
    </row>
    <row r="7" spans="1:145">
      <c r="E7" s="41" t="s">
        <v>9</v>
      </c>
    </row>
    <row r="8" spans="1:145">
      <c r="E8" s="40" t="s">
        <v>10</v>
      </c>
    </row>
    <row r="9" spans="1:145">
      <c r="E9" s="40" t="s">
        <v>11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</row>
    <row r="10" spans="1:145">
      <c r="E10" s="40" t="s">
        <v>12</v>
      </c>
    </row>
    <row r="11" spans="1:145">
      <c r="E11" s="40" t="s">
        <v>13</v>
      </c>
    </row>
    <row r="12" spans="1:145">
      <c r="E12" s="40" t="s">
        <v>14</v>
      </c>
      <c r="AH12" s="17"/>
      <c r="AI12" s="17"/>
      <c r="AJ12" s="17"/>
      <c r="AK12" s="17"/>
      <c r="AL12" s="17"/>
    </row>
    <row r="13" spans="1:145">
      <c r="E13" s="1" t="s">
        <v>15</v>
      </c>
    </row>
    <row r="14" spans="1:145">
      <c r="E14" s="1" t="s">
        <v>16</v>
      </c>
    </row>
    <row r="15" spans="1:145">
      <c r="E15" s="1" t="s">
        <v>17</v>
      </c>
    </row>
    <row r="16" spans="1:145" hidden="1">
      <c r="E16" s="1" t="s">
        <v>18</v>
      </c>
    </row>
    <row r="17" spans="1:147">
      <c r="D17" s="29" t="s">
        <v>18</v>
      </c>
      <c r="F17">
        <v>-30</v>
      </c>
      <c r="G17">
        <v>-29</v>
      </c>
      <c r="H17">
        <v>-28</v>
      </c>
      <c r="I17">
        <v>-27</v>
      </c>
      <c r="J17">
        <v>-26</v>
      </c>
      <c r="K17">
        <v>-25</v>
      </c>
      <c r="L17">
        <v>-24</v>
      </c>
      <c r="M17">
        <v>-23</v>
      </c>
      <c r="N17">
        <v>-22</v>
      </c>
      <c r="O17">
        <v>-21</v>
      </c>
      <c r="P17">
        <v>-20</v>
      </c>
      <c r="Q17">
        <v>-19</v>
      </c>
      <c r="R17">
        <v>-18</v>
      </c>
      <c r="S17">
        <v>-17</v>
      </c>
      <c r="T17">
        <v>-16</v>
      </c>
      <c r="U17">
        <v>-15</v>
      </c>
      <c r="V17">
        <v>-14</v>
      </c>
      <c r="W17">
        <v>-13</v>
      </c>
      <c r="X17">
        <v>-12</v>
      </c>
      <c r="Y17">
        <v>-11</v>
      </c>
      <c r="Z17">
        <v>-10</v>
      </c>
      <c r="AA17">
        <v>-9</v>
      </c>
      <c r="AB17">
        <v>-8</v>
      </c>
      <c r="AC17">
        <v>-7</v>
      </c>
      <c r="AD17">
        <v>-6</v>
      </c>
      <c r="AE17">
        <v>-5</v>
      </c>
      <c r="AF17">
        <v>-4</v>
      </c>
      <c r="AG17">
        <v>-3</v>
      </c>
      <c r="AH17">
        <v>-2</v>
      </c>
      <c r="AI17">
        <v>-1</v>
      </c>
      <c r="AJ17">
        <v>0</v>
      </c>
      <c r="AK17">
        <v>1</v>
      </c>
      <c r="AL17">
        <v>2</v>
      </c>
      <c r="AM17">
        <v>3</v>
      </c>
      <c r="AN17">
        <v>4</v>
      </c>
      <c r="AO17">
        <v>5</v>
      </c>
      <c r="AP17">
        <v>6</v>
      </c>
      <c r="AQ17">
        <v>7</v>
      </c>
      <c r="AR17">
        <v>8</v>
      </c>
      <c r="AS17">
        <v>9</v>
      </c>
      <c r="AT17">
        <v>10</v>
      </c>
      <c r="AU17">
        <v>11</v>
      </c>
      <c r="AV17">
        <v>12</v>
      </c>
      <c r="AW17">
        <v>13</v>
      </c>
      <c r="AX17">
        <v>14</v>
      </c>
      <c r="AY17">
        <v>15</v>
      </c>
      <c r="AZ17">
        <v>16</v>
      </c>
      <c r="BA17">
        <v>17</v>
      </c>
      <c r="BB17">
        <v>18</v>
      </c>
      <c r="BC17">
        <v>19</v>
      </c>
      <c r="BD17">
        <v>20</v>
      </c>
      <c r="BE17">
        <v>21</v>
      </c>
      <c r="BF17">
        <v>22</v>
      </c>
      <c r="BG17">
        <v>23</v>
      </c>
      <c r="BH17">
        <v>24</v>
      </c>
      <c r="BI17">
        <v>25</v>
      </c>
      <c r="BJ17">
        <v>26</v>
      </c>
      <c r="BK17">
        <v>27</v>
      </c>
      <c r="BL17">
        <v>28</v>
      </c>
      <c r="BM17">
        <v>29</v>
      </c>
      <c r="BN17">
        <v>30</v>
      </c>
      <c r="BO17" t="s">
        <v>219</v>
      </c>
      <c r="BP17">
        <v>1</v>
      </c>
      <c r="BQ17">
        <v>2</v>
      </c>
      <c r="BR17">
        <v>3</v>
      </c>
      <c r="BS17">
        <v>4</v>
      </c>
      <c r="BT17">
        <v>5</v>
      </c>
      <c r="BU17">
        <v>6</v>
      </c>
      <c r="BV17">
        <v>7</v>
      </c>
      <c r="BW17">
        <v>8</v>
      </c>
      <c r="BX17">
        <v>9</v>
      </c>
      <c r="BY17">
        <v>10</v>
      </c>
      <c r="BZ17">
        <v>11</v>
      </c>
      <c r="CA17">
        <v>12</v>
      </c>
      <c r="CB17">
        <v>13</v>
      </c>
      <c r="CC17">
        <v>14</v>
      </c>
      <c r="CD17">
        <v>15</v>
      </c>
      <c r="CE17" t="s">
        <v>219</v>
      </c>
      <c r="CF17">
        <v>1</v>
      </c>
      <c r="CG17">
        <v>2</v>
      </c>
      <c r="CH17">
        <v>3</v>
      </c>
      <c r="CI17">
        <v>4</v>
      </c>
      <c r="CJ17">
        <v>5</v>
      </c>
      <c r="CK17">
        <v>6</v>
      </c>
      <c r="CL17">
        <v>7</v>
      </c>
      <c r="CM17">
        <v>8</v>
      </c>
      <c r="CN17">
        <v>9</v>
      </c>
      <c r="CO17">
        <v>10</v>
      </c>
      <c r="CP17">
        <v>11</v>
      </c>
      <c r="CQ17">
        <v>12</v>
      </c>
      <c r="CR17">
        <v>13</v>
      </c>
      <c r="CS17">
        <v>14</v>
      </c>
      <c r="CT17">
        <v>15</v>
      </c>
      <c r="CU17" t="s">
        <v>219</v>
      </c>
      <c r="CV17">
        <v>1</v>
      </c>
      <c r="CW17">
        <v>2</v>
      </c>
      <c r="CX17">
        <v>3</v>
      </c>
      <c r="CY17">
        <v>4</v>
      </c>
      <c r="CZ17">
        <v>5</v>
      </c>
      <c r="DA17">
        <v>6</v>
      </c>
      <c r="DB17">
        <v>7</v>
      </c>
      <c r="DC17">
        <v>8</v>
      </c>
      <c r="DD17">
        <v>9</v>
      </c>
      <c r="DE17">
        <v>10</v>
      </c>
      <c r="DF17">
        <v>11</v>
      </c>
      <c r="DG17">
        <v>12</v>
      </c>
      <c r="DH17">
        <v>13</v>
      </c>
      <c r="DI17">
        <v>14</v>
      </c>
      <c r="DJ17">
        <v>15</v>
      </c>
      <c r="DK17" t="s">
        <v>219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15</v>
      </c>
      <c r="EA17" t="s">
        <v>219</v>
      </c>
      <c r="EB17">
        <v>1</v>
      </c>
      <c r="EC17">
        <v>2</v>
      </c>
      <c r="ED17">
        <v>3</v>
      </c>
      <c r="EE17">
        <v>4</v>
      </c>
      <c r="EF17">
        <v>5</v>
      </c>
      <c r="EG17">
        <v>6</v>
      </c>
      <c r="EH17">
        <v>7</v>
      </c>
      <c r="EI17">
        <v>8</v>
      </c>
      <c r="EJ17">
        <v>9</v>
      </c>
      <c r="EK17">
        <v>10</v>
      </c>
      <c r="EL17">
        <v>11</v>
      </c>
      <c r="EM17">
        <v>12</v>
      </c>
      <c r="EN17">
        <v>13</v>
      </c>
      <c r="EO17">
        <v>14</v>
      </c>
      <c r="EP17">
        <v>15</v>
      </c>
    </row>
    <row r="18" spans="1:147" hidden="1">
      <c r="D18" t="s">
        <v>220</v>
      </c>
      <c r="E18">
        <v>2026</v>
      </c>
      <c r="BO18" t="s">
        <v>221</v>
      </c>
      <c r="CE18" t="s">
        <v>222</v>
      </c>
      <c r="CU18" t="s">
        <v>223</v>
      </c>
      <c r="DK18" t="s">
        <v>224</v>
      </c>
      <c r="EA18" t="s">
        <v>225</v>
      </c>
    </row>
    <row r="20" spans="1:147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>
        <f>SUM(E17,F17)</f>
        <v>-30</v>
      </c>
      <c r="G20" s="3">
        <f>SUM(E17,G17)</f>
        <v>-29</v>
      </c>
      <c r="H20" s="3">
        <f>SUM(E17,H17)</f>
        <v>-28</v>
      </c>
      <c r="I20" s="3">
        <f>SUM(E17,I17)</f>
        <v>-27</v>
      </c>
      <c r="J20" s="3">
        <f>SUM(E17,J17)</f>
        <v>-26</v>
      </c>
      <c r="K20" s="3">
        <f>SUM(E17,K17)</f>
        <v>-25</v>
      </c>
      <c r="L20" s="3">
        <f>SUM(E17,L17)</f>
        <v>-24</v>
      </c>
      <c r="M20" s="3">
        <f>SUM(E17,M17)</f>
        <v>-23</v>
      </c>
      <c r="N20" s="3">
        <f>SUM(E17,N17)</f>
        <v>-22</v>
      </c>
      <c r="O20" s="3">
        <f>SUM(E17,O17)</f>
        <v>-21</v>
      </c>
      <c r="P20" s="3">
        <f>SUM(E17,P17)</f>
        <v>-20</v>
      </c>
      <c r="Q20" s="3">
        <f>SUM(E17,Q17)</f>
        <v>-19</v>
      </c>
      <c r="R20" s="3">
        <f>SUM(E17,R17)</f>
        <v>-18</v>
      </c>
      <c r="S20" s="3">
        <f>SUM(E17,S17)</f>
        <v>-17</v>
      </c>
      <c r="T20" s="3">
        <f>SUM(E17,T17)</f>
        <v>-16</v>
      </c>
      <c r="U20" s="3">
        <f>SUM(E17,U17)</f>
        <v>-15</v>
      </c>
      <c r="V20" s="3">
        <f>SUM(E17,V17)</f>
        <v>-14</v>
      </c>
      <c r="W20" s="3">
        <f>SUM(E17,W17)</f>
        <v>-13</v>
      </c>
      <c r="X20" s="3">
        <f>SUM(E17,X17)</f>
        <v>-12</v>
      </c>
      <c r="Y20" s="3">
        <f>SUM(E17,Y17)</f>
        <v>-11</v>
      </c>
      <c r="Z20" s="3">
        <f>SUM(E17,Z17)</f>
        <v>-10</v>
      </c>
      <c r="AA20" s="3">
        <f>SUM(E17,AA17)</f>
        <v>-9</v>
      </c>
      <c r="AB20" s="3">
        <f>SUM(E17,AB17)</f>
        <v>-8</v>
      </c>
      <c r="AC20" s="3">
        <f>SUM(E17,AC17)</f>
        <v>-7</v>
      </c>
      <c r="AD20" s="3">
        <f>SUM(E17,AD17)</f>
        <v>-6</v>
      </c>
      <c r="AE20" s="3">
        <f>SUM(E17,AE17)</f>
        <v>-5</v>
      </c>
      <c r="AF20" s="3">
        <f>SUM(E17,AF17)</f>
        <v>-4</v>
      </c>
      <c r="AG20" s="3">
        <f>SUM(E17,AG17)</f>
        <v>-3</v>
      </c>
      <c r="AH20" s="3">
        <f>SUM(E17,AH17)</f>
        <v>-2</v>
      </c>
      <c r="AI20" s="3">
        <f>SUM(E17,AI17)</f>
        <v>-1</v>
      </c>
      <c r="AJ20" s="3">
        <f>SUM(E17,AJ17)</f>
        <v>0</v>
      </c>
      <c r="AK20" s="3">
        <f>SUM(E17,AK17)</f>
        <v>1</v>
      </c>
      <c r="AL20" s="3">
        <f>SUM(E17,AL17)</f>
        <v>2</v>
      </c>
      <c r="AM20" s="3">
        <f>SUM(E17,AM17)</f>
        <v>3</v>
      </c>
      <c r="AN20" s="3">
        <f>SUM(E17,AN17)</f>
        <v>4</v>
      </c>
      <c r="AO20" s="3">
        <f>SUM(E17,AO17)</f>
        <v>5</v>
      </c>
      <c r="AP20" s="3">
        <f>SUM(E17,AP17)</f>
        <v>6</v>
      </c>
      <c r="AQ20" s="3">
        <f>SUM(E17,AQ17)</f>
        <v>7</v>
      </c>
      <c r="AR20" s="3">
        <f>SUM(E17,AR17)</f>
        <v>8</v>
      </c>
      <c r="AS20" s="3">
        <f>SUM(E17,AS17)</f>
        <v>9</v>
      </c>
      <c r="AT20" s="3">
        <f>SUM(E17,AT17)</f>
        <v>10</v>
      </c>
      <c r="AU20" s="3">
        <f>SUM(E17,AU17)</f>
        <v>11</v>
      </c>
      <c r="AV20" s="3">
        <f>SUM(E17,AV17)</f>
        <v>12</v>
      </c>
      <c r="AW20" s="3">
        <f>SUM(E17,AW17)</f>
        <v>13</v>
      </c>
      <c r="AX20" s="3">
        <f>SUM(E17,AX17)</f>
        <v>14</v>
      </c>
      <c r="AY20" s="3">
        <f>SUM(E17,AY17)</f>
        <v>15</v>
      </c>
      <c r="AZ20" s="3">
        <f>SUM(E17,AZ17)</f>
        <v>16</v>
      </c>
      <c r="BA20" s="3">
        <f>SUM(E17,BA17)</f>
        <v>17</v>
      </c>
      <c r="BB20" s="3">
        <f>SUM(E17,BB17)</f>
        <v>18</v>
      </c>
      <c r="BC20" s="3">
        <f>SUM(E17,BC17)</f>
        <v>19</v>
      </c>
      <c r="BD20" s="3">
        <f>SUM(E17,BD17)</f>
        <v>20</v>
      </c>
      <c r="BE20" s="3">
        <f>SUM(E17,BE17)</f>
        <v>21</v>
      </c>
      <c r="BF20" s="3">
        <f>SUM(E17,BF17)</f>
        <v>22</v>
      </c>
      <c r="BG20" s="3">
        <f>SUM(E17,BG17)</f>
        <v>23</v>
      </c>
      <c r="BH20" s="3">
        <f>SUM(E17,BH17)</f>
        <v>24</v>
      </c>
      <c r="BI20" s="3">
        <f>SUM(E17,BI17)</f>
        <v>25</v>
      </c>
      <c r="BJ20" s="3">
        <f>SUM(E17,BJ17)</f>
        <v>26</v>
      </c>
      <c r="BK20" s="3">
        <f>SUM(E17,BK17)</f>
        <v>27</v>
      </c>
      <c r="BL20" s="3">
        <f>SUM(E17,BL17)</f>
        <v>28</v>
      </c>
      <c r="BM20" s="3">
        <f>SUM(E17,BM17)</f>
        <v>29</v>
      </c>
      <c r="BN20" s="3">
        <f>SUM(E17,BN17)</f>
        <v>30</v>
      </c>
      <c r="BO20" s="2"/>
      <c r="BP20" s="3">
        <f>SUM(E17,BP17)</f>
        <v>1</v>
      </c>
      <c r="BQ20" s="3">
        <f>SUM(E17,BQ17)</f>
        <v>2</v>
      </c>
      <c r="BR20" s="3">
        <f>SUM(E17,BR17)</f>
        <v>3</v>
      </c>
      <c r="BS20" s="3">
        <f>SUM(E17,BS17)</f>
        <v>4</v>
      </c>
      <c r="BT20" s="3">
        <f>SUM(E17,BT17)</f>
        <v>5</v>
      </c>
      <c r="BU20" s="3">
        <f>SUM(E17,BU17)</f>
        <v>6</v>
      </c>
      <c r="BV20" s="3">
        <f>SUM(E17,BV17)</f>
        <v>7</v>
      </c>
      <c r="BW20" s="3">
        <f>SUM(E17,BW17)</f>
        <v>8</v>
      </c>
      <c r="BX20" s="3">
        <f>SUM(E17,BX17)</f>
        <v>9</v>
      </c>
      <c r="BY20" s="3">
        <f>SUM(E17,BY17)</f>
        <v>10</v>
      </c>
      <c r="BZ20" s="3">
        <f>SUM(E17,BZ17)</f>
        <v>11</v>
      </c>
      <c r="CA20" s="3">
        <f>SUM(E17,CA17)</f>
        <v>12</v>
      </c>
      <c r="CB20" s="3">
        <f>SUM(E17,CB17)</f>
        <v>13</v>
      </c>
      <c r="CC20" s="3">
        <f>SUM(E17,CC17)</f>
        <v>14</v>
      </c>
      <c r="CD20" s="3">
        <f>SUM(E17,CD17)</f>
        <v>15</v>
      </c>
      <c r="CE20" s="3"/>
      <c r="CF20" s="3">
        <f>SUM(E17,CF17)</f>
        <v>1</v>
      </c>
      <c r="CG20" s="3">
        <f>SUM(E17,CG17)</f>
        <v>2</v>
      </c>
      <c r="CH20" s="3">
        <f>SUM(E17,CH17)</f>
        <v>3</v>
      </c>
      <c r="CI20" s="3">
        <f>SUM(E17,CI17)</f>
        <v>4</v>
      </c>
      <c r="CJ20" s="3">
        <f>SUM(E17,CJ17)</f>
        <v>5</v>
      </c>
      <c r="CK20" s="3">
        <f>SUM(E17,CK17)</f>
        <v>6</v>
      </c>
      <c r="CL20" s="3">
        <f>SUM(E17,CL17)</f>
        <v>7</v>
      </c>
      <c r="CM20" s="3">
        <f>SUM(E17,CM17)</f>
        <v>8</v>
      </c>
      <c r="CN20" s="3">
        <f>SUM(E17,CN17)</f>
        <v>9</v>
      </c>
      <c r="CO20" s="3">
        <f>SUM(E17,CO17)</f>
        <v>10</v>
      </c>
      <c r="CP20" s="3">
        <f>SUM(E17,CP17)</f>
        <v>11</v>
      </c>
      <c r="CQ20" s="3">
        <f>SUM(E17,CQ17)</f>
        <v>12</v>
      </c>
      <c r="CR20" s="3">
        <f>SUM(E17,CR17)</f>
        <v>13</v>
      </c>
      <c r="CS20" s="3">
        <f>SUM(E17,CS17)</f>
        <v>14</v>
      </c>
      <c r="CT20" s="3">
        <f>SUM(E17,CT17)</f>
        <v>15</v>
      </c>
      <c r="CU20" s="3"/>
      <c r="CV20" s="3">
        <f>SUM(E17,CV17)</f>
        <v>1</v>
      </c>
      <c r="CW20" s="3">
        <f>SUM(E17,CW17)</f>
        <v>2</v>
      </c>
      <c r="CX20" s="3">
        <f>SUM(E17,CX17)</f>
        <v>3</v>
      </c>
      <c r="CY20" s="3">
        <f>SUM(E17,CY17)</f>
        <v>4</v>
      </c>
      <c r="CZ20" s="3">
        <f>SUM(E17,CZ17)</f>
        <v>5</v>
      </c>
      <c r="DA20" s="3">
        <f>SUM(E17,DA17)</f>
        <v>6</v>
      </c>
      <c r="DB20" s="3">
        <f>SUM(E17,DB17)</f>
        <v>7</v>
      </c>
      <c r="DC20" s="3">
        <f>SUM(E17,DC17)</f>
        <v>8</v>
      </c>
      <c r="DD20" s="3">
        <f>SUM(E17,DD17)</f>
        <v>9</v>
      </c>
      <c r="DE20" s="3">
        <f>SUM(E17,DE17)</f>
        <v>10</v>
      </c>
      <c r="DF20" s="3">
        <f>SUM(E17,DF17)</f>
        <v>11</v>
      </c>
      <c r="DG20" s="3">
        <f>SUM(E17,DG17)</f>
        <v>12</v>
      </c>
      <c r="DH20" s="3">
        <f>SUM(E17,DH17)</f>
        <v>13</v>
      </c>
      <c r="DI20" s="3">
        <f>SUM(E17,DI17)</f>
        <v>14</v>
      </c>
      <c r="DJ20" s="3">
        <f>SUM(E17,DJ17)</f>
        <v>15</v>
      </c>
      <c r="DK20" s="3"/>
      <c r="DL20" s="3">
        <f>SUM(E17,DL17)</f>
        <v>1</v>
      </c>
      <c r="DM20" s="3">
        <f>SUM(E17,DM17)</f>
        <v>2</v>
      </c>
      <c r="DN20" s="3">
        <f>SUM(E17,DN17)</f>
        <v>3</v>
      </c>
      <c r="DO20" s="3">
        <f>SUM(E17,DO17)</f>
        <v>4</v>
      </c>
      <c r="DP20" s="3">
        <f>SUM(E17,DP17)</f>
        <v>5</v>
      </c>
      <c r="DQ20" s="3">
        <f>SUM(E17,DQ17)</f>
        <v>6</v>
      </c>
      <c r="DR20" s="3">
        <f>SUM(E17,DR17)</f>
        <v>7</v>
      </c>
      <c r="DS20" s="3">
        <f>SUM(E17,DS17)</f>
        <v>8</v>
      </c>
      <c r="DT20" s="3">
        <f>SUM(E17,DT17)</f>
        <v>9</v>
      </c>
      <c r="DU20" s="3">
        <f>SUM(E17,DU17)</f>
        <v>10</v>
      </c>
      <c r="DV20" s="3">
        <f>SUM(E17,DV17)</f>
        <v>11</v>
      </c>
      <c r="DW20" s="3">
        <f>SUM(E17,DW17)</f>
        <v>12</v>
      </c>
      <c r="DX20" s="3">
        <f>SUM(E17,DX17)</f>
        <v>13</v>
      </c>
      <c r="DY20" s="3">
        <f>SUM(E17,DY17)</f>
        <v>14</v>
      </c>
      <c r="DZ20" s="3">
        <f>SUM(E17,DZ17)</f>
        <v>15</v>
      </c>
      <c r="EA20" s="3"/>
      <c r="EB20" s="3">
        <f>SUM(E17,EB17)</f>
        <v>1</v>
      </c>
      <c r="EC20" s="3">
        <f>SUM(E17,EC17)</f>
        <v>2</v>
      </c>
      <c r="ED20" s="3">
        <f>SUM(E17,ED17)</f>
        <v>3</v>
      </c>
      <c r="EE20" s="3">
        <f>SUM(E17,EE17)</f>
        <v>4</v>
      </c>
      <c r="EF20" s="3">
        <f>SUM(E17,EF17)</f>
        <v>5</v>
      </c>
      <c r="EG20" s="3">
        <f>SUM(E17,EG17)</f>
        <v>6</v>
      </c>
      <c r="EH20" s="3">
        <f>SUM(E17,EH17)</f>
        <v>7</v>
      </c>
      <c r="EI20" s="3">
        <f>SUM(E17,EI17)</f>
        <v>8</v>
      </c>
      <c r="EJ20" s="3">
        <f>SUM(E17,EJ17)</f>
        <v>9</v>
      </c>
      <c r="EK20" s="3">
        <f>SUM(E17,EK17)</f>
        <v>10</v>
      </c>
      <c r="EL20" s="3">
        <f>SUM(E17,EL17)</f>
        <v>11</v>
      </c>
      <c r="EM20" s="3">
        <f>SUM(E17,EM17)</f>
        <v>12</v>
      </c>
      <c r="EN20" s="3">
        <f>SUM(E17,EN17)</f>
        <v>13</v>
      </c>
      <c r="EO20" s="3">
        <f>SUM(E17,EO17)</f>
        <v>14</v>
      </c>
      <c r="EP20" s="3">
        <f>SUM(E17,EP17)</f>
        <v>15</v>
      </c>
    </row>
    <row r="21" spans="1:147" ht="28">
      <c r="A21" s="2" t="s">
        <v>685</v>
      </c>
      <c r="B21" s="2" t="s">
        <v>25</v>
      </c>
      <c r="C21" s="2" t="s">
        <v>26</v>
      </c>
      <c r="D21" s="2" t="s">
        <v>25</v>
      </c>
      <c r="E21" s="18" t="s">
        <v>27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30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30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30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30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</row>
    <row r="22" spans="1:147" ht="13">
      <c r="A22" s="2" t="s">
        <v>686</v>
      </c>
      <c r="B22" s="2" t="s">
        <v>685</v>
      </c>
      <c r="C22" s="2" t="s">
        <v>28</v>
      </c>
      <c r="D22" s="2" t="s">
        <v>26</v>
      </c>
      <c r="E22" s="7" t="s">
        <v>29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30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30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30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30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</row>
    <row r="23" spans="1:147" ht="13">
      <c r="A23" s="2" t="s">
        <v>687</v>
      </c>
      <c r="B23" s="2" t="s">
        <v>686</v>
      </c>
      <c r="C23" s="2" t="s">
        <v>30</v>
      </c>
      <c r="D23" s="2" t="s">
        <v>28</v>
      </c>
      <c r="E23" s="6" t="s">
        <v>230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30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30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30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30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</row>
    <row r="24" spans="1:147" ht="13">
      <c r="A24" s="2" t="s">
        <v>688</v>
      </c>
      <c r="B24" s="2" t="s">
        <v>686</v>
      </c>
      <c r="C24" s="2" t="s">
        <v>31</v>
      </c>
      <c r="D24" s="2" t="s">
        <v>32</v>
      </c>
      <c r="E24" s="6" t="s">
        <v>231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30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30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30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30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</row>
    <row r="25" spans="1:147" ht="13">
      <c r="A25" s="2" t="s">
        <v>689</v>
      </c>
      <c r="B25" s="2" t="s">
        <v>686</v>
      </c>
      <c r="C25" s="2" t="s">
        <v>33</v>
      </c>
      <c r="D25" s="2" t="s">
        <v>34</v>
      </c>
      <c r="E25" s="6" t="s">
        <v>232</v>
      </c>
      <c r="F25" s="20">
        <f t="shared" ref="F25:AG25" si="0">ROUND(SUM(F$23:F$24),2)</f>
        <v>0</v>
      </c>
      <c r="G25" s="20">
        <f t="shared" si="0"/>
        <v>0</v>
      </c>
      <c r="H25" s="20">
        <f t="shared" si="0"/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  <c r="R25" s="20">
        <f t="shared" si="0"/>
        <v>0</v>
      </c>
      <c r="S25" s="20">
        <f t="shared" si="0"/>
        <v>0</v>
      </c>
      <c r="T25" s="20">
        <f t="shared" si="0"/>
        <v>0</v>
      </c>
      <c r="U25" s="20">
        <f t="shared" si="0"/>
        <v>0</v>
      </c>
      <c r="V25" s="20">
        <f t="shared" si="0"/>
        <v>0</v>
      </c>
      <c r="W25" s="20">
        <f t="shared" si="0"/>
        <v>0</v>
      </c>
      <c r="X25" s="20">
        <f t="shared" si="0"/>
        <v>0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B25" s="20">
        <f t="shared" si="0"/>
        <v>0</v>
      </c>
      <c r="AC25" s="20">
        <f t="shared" si="0"/>
        <v>0</v>
      </c>
      <c r="AD25" s="20">
        <f t="shared" si="0"/>
        <v>0</v>
      </c>
      <c r="AE25" s="20">
        <f t="shared" si="0"/>
        <v>0</v>
      </c>
      <c r="AF25" s="20">
        <f t="shared" si="0"/>
        <v>0</v>
      </c>
      <c r="AG25" s="20">
        <f t="shared" si="0"/>
        <v>0</v>
      </c>
      <c r="AH25" s="20">
        <f>ROUND(SUM(AH$23:AH$24),2)</f>
        <v>0</v>
      </c>
      <c r="AI25" s="20">
        <f t="shared" ref="AI25:BN25" si="1">ROUND(SUM(AI$23:AI$24),2)</f>
        <v>0</v>
      </c>
      <c r="AJ25" s="20">
        <f t="shared" si="1"/>
        <v>0</v>
      </c>
      <c r="AK25" s="20">
        <f t="shared" si="1"/>
        <v>0</v>
      </c>
      <c r="AL25" s="20">
        <f t="shared" si="1"/>
        <v>0</v>
      </c>
      <c r="AM25" s="20">
        <f t="shared" si="1"/>
        <v>0</v>
      </c>
      <c r="AN25" s="20">
        <f t="shared" si="1"/>
        <v>0</v>
      </c>
      <c r="AO25" s="20">
        <f t="shared" si="1"/>
        <v>0</v>
      </c>
      <c r="AP25" s="20">
        <f t="shared" si="1"/>
        <v>0</v>
      </c>
      <c r="AQ25" s="20">
        <f t="shared" si="1"/>
        <v>0</v>
      </c>
      <c r="AR25" s="20">
        <f t="shared" si="1"/>
        <v>0</v>
      </c>
      <c r="AS25" s="20">
        <f t="shared" si="1"/>
        <v>0</v>
      </c>
      <c r="AT25" s="20">
        <f t="shared" si="1"/>
        <v>0</v>
      </c>
      <c r="AU25" s="20">
        <f t="shared" si="1"/>
        <v>0</v>
      </c>
      <c r="AV25" s="20">
        <f t="shared" si="1"/>
        <v>0</v>
      </c>
      <c r="AW25" s="20">
        <f t="shared" si="1"/>
        <v>0</v>
      </c>
      <c r="AX25" s="20">
        <f t="shared" si="1"/>
        <v>0</v>
      </c>
      <c r="AY25" s="20">
        <f t="shared" si="1"/>
        <v>0</v>
      </c>
      <c r="AZ25" s="20">
        <f t="shared" si="1"/>
        <v>0</v>
      </c>
      <c r="BA25" s="20">
        <f t="shared" si="1"/>
        <v>0</v>
      </c>
      <c r="BB25" s="20">
        <f t="shared" si="1"/>
        <v>0</v>
      </c>
      <c r="BC25" s="20">
        <f t="shared" si="1"/>
        <v>0</v>
      </c>
      <c r="BD25" s="20">
        <f t="shared" si="1"/>
        <v>0</v>
      </c>
      <c r="BE25" s="20">
        <f t="shared" si="1"/>
        <v>0</v>
      </c>
      <c r="BF25" s="20">
        <f t="shared" si="1"/>
        <v>0</v>
      </c>
      <c r="BG25" s="20">
        <f t="shared" si="1"/>
        <v>0</v>
      </c>
      <c r="BH25" s="20">
        <f t="shared" si="1"/>
        <v>0</v>
      </c>
      <c r="BI25" s="20">
        <f t="shared" si="1"/>
        <v>0</v>
      </c>
      <c r="BJ25" s="20">
        <f t="shared" si="1"/>
        <v>0</v>
      </c>
      <c r="BK25" s="20">
        <f t="shared" si="1"/>
        <v>0</v>
      </c>
      <c r="BL25" s="20">
        <f t="shared" si="1"/>
        <v>0</v>
      </c>
      <c r="BM25" s="20">
        <f t="shared" si="1"/>
        <v>0</v>
      </c>
      <c r="BN25" s="20">
        <f t="shared" si="1"/>
        <v>0</v>
      </c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30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30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30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30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</row>
    <row r="26" spans="1:147" ht="13">
      <c r="A26" s="2" t="s">
        <v>690</v>
      </c>
      <c r="B26" s="2" t="s">
        <v>685</v>
      </c>
      <c r="C26" s="2" t="s">
        <v>32</v>
      </c>
      <c r="D26" s="2" t="s">
        <v>36</v>
      </c>
      <c r="E26" s="7" t="s">
        <v>37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30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30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30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30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</row>
    <row r="27" spans="1:147" ht="13">
      <c r="A27" s="2" t="s">
        <v>691</v>
      </c>
      <c r="B27" s="2" t="s">
        <v>685</v>
      </c>
      <c r="C27" s="2" t="s">
        <v>34</v>
      </c>
      <c r="D27" s="2" t="s">
        <v>39</v>
      </c>
      <c r="E27" s="7" t="s">
        <v>233</v>
      </c>
      <c r="F27" s="20">
        <f t="shared" ref="F27:AF27" si="2">ROUND(F25-F26,2)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0">
        <f t="shared" si="2"/>
        <v>0</v>
      </c>
      <c r="R27" s="20">
        <f t="shared" si="2"/>
        <v>0</v>
      </c>
      <c r="S27" s="20">
        <f t="shared" si="2"/>
        <v>0</v>
      </c>
      <c r="T27" s="20">
        <f t="shared" si="2"/>
        <v>0</v>
      </c>
      <c r="U27" s="20">
        <f t="shared" si="2"/>
        <v>0</v>
      </c>
      <c r="V27" s="20">
        <f t="shared" si="2"/>
        <v>0</v>
      </c>
      <c r="W27" s="20">
        <f t="shared" si="2"/>
        <v>0</v>
      </c>
      <c r="X27" s="20">
        <f t="shared" si="2"/>
        <v>0</v>
      </c>
      <c r="Y27" s="20">
        <f t="shared" si="2"/>
        <v>0</v>
      </c>
      <c r="Z27" s="20">
        <f t="shared" si="2"/>
        <v>0</v>
      </c>
      <c r="AA27" s="20">
        <f t="shared" si="2"/>
        <v>0</v>
      </c>
      <c r="AB27" s="20">
        <f t="shared" si="2"/>
        <v>0</v>
      </c>
      <c r="AC27" s="20">
        <f t="shared" si="2"/>
        <v>0</v>
      </c>
      <c r="AD27" s="20">
        <f t="shared" si="2"/>
        <v>0</v>
      </c>
      <c r="AE27" s="20">
        <f t="shared" si="2"/>
        <v>0</v>
      </c>
      <c r="AF27" s="20">
        <f t="shared" si="2"/>
        <v>0</v>
      </c>
      <c r="AG27" s="20">
        <f t="shared" ref="AG27:BN27" si="3">ROUND(AG25-AG26,2)</f>
        <v>0</v>
      </c>
      <c r="AH27" s="20">
        <f t="shared" si="3"/>
        <v>0</v>
      </c>
      <c r="AI27" s="20">
        <f t="shared" si="3"/>
        <v>0</v>
      </c>
      <c r="AJ27" s="20">
        <f t="shared" si="3"/>
        <v>0</v>
      </c>
      <c r="AK27" s="20">
        <f t="shared" si="3"/>
        <v>0</v>
      </c>
      <c r="AL27" s="20">
        <f t="shared" si="3"/>
        <v>0</v>
      </c>
      <c r="AM27" s="20">
        <f t="shared" si="3"/>
        <v>0</v>
      </c>
      <c r="AN27" s="20">
        <f t="shared" si="3"/>
        <v>0</v>
      </c>
      <c r="AO27" s="20">
        <f t="shared" si="3"/>
        <v>0</v>
      </c>
      <c r="AP27" s="20">
        <f t="shared" si="3"/>
        <v>0</v>
      </c>
      <c r="AQ27" s="20">
        <f t="shared" si="3"/>
        <v>0</v>
      </c>
      <c r="AR27" s="20">
        <f t="shared" si="3"/>
        <v>0</v>
      </c>
      <c r="AS27" s="20">
        <f t="shared" si="3"/>
        <v>0</v>
      </c>
      <c r="AT27" s="20">
        <f t="shared" si="3"/>
        <v>0</v>
      </c>
      <c r="AU27" s="20">
        <f t="shared" si="3"/>
        <v>0</v>
      </c>
      <c r="AV27" s="20">
        <f t="shared" si="3"/>
        <v>0</v>
      </c>
      <c r="AW27" s="20">
        <f t="shared" si="3"/>
        <v>0</v>
      </c>
      <c r="AX27" s="20">
        <f t="shared" si="3"/>
        <v>0</v>
      </c>
      <c r="AY27" s="20">
        <f t="shared" si="3"/>
        <v>0</v>
      </c>
      <c r="AZ27" s="20">
        <f t="shared" si="3"/>
        <v>0</v>
      </c>
      <c r="BA27" s="20">
        <f t="shared" si="3"/>
        <v>0</v>
      </c>
      <c r="BB27" s="20">
        <f t="shared" si="3"/>
        <v>0</v>
      </c>
      <c r="BC27" s="20">
        <f t="shared" si="3"/>
        <v>0</v>
      </c>
      <c r="BD27" s="20">
        <f t="shared" si="3"/>
        <v>0</v>
      </c>
      <c r="BE27" s="20">
        <f t="shared" si="3"/>
        <v>0</v>
      </c>
      <c r="BF27" s="20">
        <f t="shared" si="3"/>
        <v>0</v>
      </c>
      <c r="BG27" s="20">
        <f t="shared" si="3"/>
        <v>0</v>
      </c>
      <c r="BH27" s="20">
        <f t="shared" si="3"/>
        <v>0</v>
      </c>
      <c r="BI27" s="20">
        <f t="shared" si="3"/>
        <v>0</v>
      </c>
      <c r="BJ27" s="20">
        <f t="shared" si="3"/>
        <v>0</v>
      </c>
      <c r="BK27" s="20">
        <f t="shared" si="3"/>
        <v>0</v>
      </c>
      <c r="BL27" s="20">
        <f t="shared" si="3"/>
        <v>0</v>
      </c>
      <c r="BM27" s="20">
        <f t="shared" si="3"/>
        <v>0</v>
      </c>
      <c r="BN27" s="20">
        <f t="shared" si="3"/>
        <v>0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30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30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30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30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</row>
    <row r="28" spans="1:147" ht="26">
      <c r="A28" s="2" t="s">
        <v>692</v>
      </c>
      <c r="B28" s="2" t="s">
        <v>685</v>
      </c>
      <c r="C28" s="2" t="s">
        <v>38</v>
      </c>
      <c r="D28" s="2"/>
      <c r="E28" s="9" t="s">
        <v>234</v>
      </c>
      <c r="F28" s="20"/>
      <c r="G28" s="20">
        <f t="shared" ref="G28" si="4">IF(F27=0,0,IF(G27=0,0,((G27/G10)-(F27/F10))/(F27/F10))*100)</f>
        <v>0</v>
      </c>
      <c r="H28" s="20">
        <f t="shared" ref="H28" si="5">IF(G27=0,0,IF(H27=0,0,((H27/H10)-(G27/G10))/(G27/G10))*100)</f>
        <v>0</v>
      </c>
      <c r="I28" s="20">
        <f t="shared" ref="I28" si="6">IF(H27=0,0,IF(I27=0,0,((I27/I10)-(H27/H10))/(H27/H10))*100)</f>
        <v>0</v>
      </c>
      <c r="J28" s="20">
        <f t="shared" ref="J28" si="7">IF(I27=0,0,IF(J27=0,0,((J27/J10)-(I27/I10))/(I27/I10))*100)</f>
        <v>0</v>
      </c>
      <c r="K28" s="20">
        <f t="shared" ref="K28" si="8">IF(J27=0,0,IF(K27=0,0,((K27/K10)-(J27/J10))/(J27/J10))*100)</f>
        <v>0</v>
      </c>
      <c r="L28" s="20">
        <f t="shared" ref="L28" si="9">IF(K27=0,0,IF(L27=0,0,((L27/L10)-(K27/K10))/(K27/K10))*100)</f>
        <v>0</v>
      </c>
      <c r="M28" s="20">
        <f t="shared" ref="M28" si="10">IF(L27=0,0,IF(M27=0,0,((M27/M10)-(L27/L10))/(L27/L10))*100)</f>
        <v>0</v>
      </c>
      <c r="N28" s="20">
        <f t="shared" ref="N28" si="11">IF(M27=0,0,IF(N27=0,0,((N27/N10)-(M27/M10))/(M27/M10))*100)</f>
        <v>0</v>
      </c>
      <c r="O28" s="20">
        <f t="shared" ref="O28" si="12">IF(N27=0,0,IF(O27=0,0,((O27/O10)-(N27/N10))/(N27/N10))*100)</f>
        <v>0</v>
      </c>
      <c r="P28" s="20">
        <f t="shared" ref="P28" si="13">IF(O27=0,0,IF(P27=0,0,((P27/P10)-(O27/O10))/(O27/O10))*100)</f>
        <v>0</v>
      </c>
      <c r="Q28" s="20">
        <f t="shared" ref="Q28" si="14">IF(P27=0,0,IF(Q27=0,0,((Q27/Q10)-(P27/P10))/(P27/P10))*100)</f>
        <v>0</v>
      </c>
      <c r="R28" s="20">
        <f t="shared" ref="R28" si="15">IF(Q27=0,0,IF(R27=0,0,((R27/R10)-(Q27/Q10))/(Q27/Q10))*100)</f>
        <v>0</v>
      </c>
      <c r="S28" s="20">
        <f t="shared" ref="S28" si="16">IF(R27=0,0,IF(S27=0,0,((S27/S10)-(R27/R10))/(R27/R10))*100)</f>
        <v>0</v>
      </c>
      <c r="T28" s="20">
        <f t="shared" ref="T28" si="17">IF(S27=0,0,IF(T27=0,0,((T27/T10)-(S27/S10))/(S27/S10))*100)</f>
        <v>0</v>
      </c>
      <c r="U28" s="20">
        <f t="shared" ref="U28" si="18">IF(T27=0,0,IF(U27=0,0,((U27/U10)-(T27/T10))/(T27/T10))*100)</f>
        <v>0</v>
      </c>
      <c r="V28" s="20">
        <f t="shared" ref="V28" si="19">IF(U27=0,0,IF(V27=0,0,((V27/V10)-(U27/U10))/(U27/U10))*100)</f>
        <v>0</v>
      </c>
      <c r="W28" s="20">
        <f t="shared" ref="W28" si="20">IF(V27=0,0,IF(W27=0,0,((W27/W10)-(V27/V10))/(V27/V10))*100)</f>
        <v>0</v>
      </c>
      <c r="X28" s="20">
        <f t="shared" ref="X28" si="21">IF(W27=0,0,IF(X27=0,0,((X27/X10)-(W27/W10))/(W27/W10))*100)</f>
        <v>0</v>
      </c>
      <c r="Y28" s="20">
        <f t="shared" ref="Y28" si="22">IF(X27=0,0,IF(Y27=0,0,((Y27/Y10)-(X27/X10))/(X27/X10))*100)</f>
        <v>0</v>
      </c>
      <c r="Z28" s="20">
        <f t="shared" ref="Z28" si="23">IF(Y27=0,0,IF(Z27=0,0,((Z27/Z10)-(Y27/Y10))/(Y27/Y10))*100)</f>
        <v>0</v>
      </c>
      <c r="AA28" s="20">
        <f t="shared" ref="AA28" si="24">IF(Z27=0,0,IF(AA27=0,0,((AA27/AA10)-(Z27/Z10))/(Z27/Z10))*100)</f>
        <v>0</v>
      </c>
      <c r="AB28" s="20">
        <f t="shared" ref="AB28" si="25">IF(AA27=0,0,IF(AB27=0,0,((AB27/AB10)-(AA27/AA10))/(AA27/AA10))*100)</f>
        <v>0</v>
      </c>
      <c r="AC28" s="20">
        <f t="shared" ref="AC28" si="26">IF(AB27=0,0,IF(AC27=0,0,((AC27/AC10)-(AB27/AB10))/(AB27/AB10))*100)</f>
        <v>0</v>
      </c>
      <c r="AD28" s="20">
        <f t="shared" ref="AD28" si="27">IF(AC27=0,0,IF(AD27=0,0,((AD27/AD10)-(AC27/AC10))/(AC27/AC10))*100)</f>
        <v>0</v>
      </c>
      <c r="AE28" s="20">
        <f t="shared" ref="AE28" si="28">IF(AD27=0,0,IF(AE27=0,0,((AE27/AE10)-(AD27/AD10))/(AD27/AD10))*100)</f>
        <v>0</v>
      </c>
      <c r="AF28" s="20">
        <f t="shared" ref="AF28" si="29">IF(AE27=0,0,IF(AF27=0,0,((AF27/AF10)-(AE27/AE10))/(AE27/AE10))*100)</f>
        <v>0</v>
      </c>
      <c r="AG28" s="20">
        <f t="shared" ref="AG28:BN28" si="30">IF(AF27=0,0,IF(AG27=0,0,((AG27/AG10)-(AF27/AF10))/(AF27/AF10))*100)</f>
        <v>0</v>
      </c>
      <c r="AH28" s="20">
        <f t="shared" si="30"/>
        <v>0</v>
      </c>
      <c r="AI28" s="20">
        <f t="shared" si="30"/>
        <v>0</v>
      </c>
      <c r="AJ28" s="20">
        <f t="shared" si="30"/>
        <v>0</v>
      </c>
      <c r="AK28" s="20">
        <f t="shared" si="30"/>
        <v>0</v>
      </c>
      <c r="AL28" s="20">
        <f t="shared" si="30"/>
        <v>0</v>
      </c>
      <c r="AM28" s="20">
        <f t="shared" si="30"/>
        <v>0</v>
      </c>
      <c r="AN28" s="20">
        <f t="shared" si="30"/>
        <v>0</v>
      </c>
      <c r="AO28" s="20">
        <f t="shared" si="30"/>
        <v>0</v>
      </c>
      <c r="AP28" s="20">
        <f t="shared" si="30"/>
        <v>0</v>
      </c>
      <c r="AQ28" s="20">
        <f t="shared" si="30"/>
        <v>0</v>
      </c>
      <c r="AR28" s="20">
        <f t="shared" si="30"/>
        <v>0</v>
      </c>
      <c r="AS28" s="20">
        <f t="shared" si="30"/>
        <v>0</v>
      </c>
      <c r="AT28" s="20">
        <f t="shared" si="30"/>
        <v>0</v>
      </c>
      <c r="AU28" s="20">
        <f t="shared" si="30"/>
        <v>0</v>
      </c>
      <c r="AV28" s="20">
        <f t="shared" si="30"/>
        <v>0</v>
      </c>
      <c r="AW28" s="20">
        <f t="shared" si="30"/>
        <v>0</v>
      </c>
      <c r="AX28" s="20">
        <f t="shared" si="30"/>
        <v>0</v>
      </c>
      <c r="AY28" s="20">
        <f t="shared" si="30"/>
        <v>0</v>
      </c>
      <c r="AZ28" s="20">
        <f t="shared" si="30"/>
        <v>0</v>
      </c>
      <c r="BA28" s="20">
        <f t="shared" si="30"/>
        <v>0</v>
      </c>
      <c r="BB28" s="20">
        <f t="shared" si="30"/>
        <v>0</v>
      </c>
      <c r="BC28" s="20">
        <f t="shared" si="30"/>
        <v>0</v>
      </c>
      <c r="BD28" s="20">
        <f t="shared" si="30"/>
        <v>0</v>
      </c>
      <c r="BE28" s="20">
        <f t="shared" si="30"/>
        <v>0</v>
      </c>
      <c r="BF28" s="20">
        <f t="shared" si="30"/>
        <v>0</v>
      </c>
      <c r="BG28" s="20">
        <f t="shared" si="30"/>
        <v>0</v>
      </c>
      <c r="BH28" s="20">
        <f t="shared" si="30"/>
        <v>0</v>
      </c>
      <c r="BI28" s="20">
        <f t="shared" si="30"/>
        <v>0</v>
      </c>
      <c r="BJ28" s="20">
        <f t="shared" si="30"/>
        <v>0</v>
      </c>
      <c r="BK28" s="20">
        <f t="shared" si="30"/>
        <v>0</v>
      </c>
      <c r="BL28" s="20">
        <f t="shared" si="30"/>
        <v>0</v>
      </c>
      <c r="BM28" s="20">
        <f t="shared" si="30"/>
        <v>0</v>
      </c>
      <c r="BN28" s="20">
        <f t="shared" si="30"/>
        <v>0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30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30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30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30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</row>
    <row r="29" spans="1:147" ht="13">
      <c r="A29" s="2" t="s">
        <v>693</v>
      </c>
      <c r="B29" s="2" t="s">
        <v>685</v>
      </c>
      <c r="C29" s="2" t="s">
        <v>40</v>
      </c>
      <c r="D29" s="2" t="s">
        <v>25</v>
      </c>
      <c r="E29" s="9" t="s">
        <v>235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</row>
    <row r="30" spans="1:147" ht="13">
      <c r="A30" s="2" t="s">
        <v>694</v>
      </c>
      <c r="B30" s="2" t="s">
        <v>685</v>
      </c>
      <c r="C30" s="2" t="s">
        <v>41</v>
      </c>
      <c r="D30" s="2" t="s">
        <v>42</v>
      </c>
      <c r="E30" s="7" t="s">
        <v>236</v>
      </c>
      <c r="F30" s="20">
        <f t="shared" ref="F30:BN30" si="31">F27+F29</f>
        <v>0</v>
      </c>
      <c r="G30" s="20">
        <f t="shared" si="31"/>
        <v>0</v>
      </c>
      <c r="H30" s="20">
        <f t="shared" si="31"/>
        <v>0</v>
      </c>
      <c r="I30" s="20">
        <f t="shared" si="31"/>
        <v>0</v>
      </c>
      <c r="J30" s="20">
        <f t="shared" si="31"/>
        <v>0</v>
      </c>
      <c r="K30" s="20">
        <f t="shared" si="31"/>
        <v>0</v>
      </c>
      <c r="L30" s="20">
        <f t="shared" si="31"/>
        <v>0</v>
      </c>
      <c r="M30" s="20">
        <f t="shared" si="31"/>
        <v>0</v>
      </c>
      <c r="N30" s="20">
        <f t="shared" si="31"/>
        <v>0</v>
      </c>
      <c r="O30" s="20">
        <f t="shared" si="31"/>
        <v>0</v>
      </c>
      <c r="P30" s="20">
        <f t="shared" si="31"/>
        <v>0</v>
      </c>
      <c r="Q30" s="20">
        <f t="shared" si="31"/>
        <v>0</v>
      </c>
      <c r="R30" s="20">
        <f t="shared" si="31"/>
        <v>0</v>
      </c>
      <c r="S30" s="20">
        <f t="shared" si="31"/>
        <v>0</v>
      </c>
      <c r="T30" s="20">
        <f t="shared" si="31"/>
        <v>0</v>
      </c>
      <c r="U30" s="20">
        <f t="shared" si="31"/>
        <v>0</v>
      </c>
      <c r="V30" s="20">
        <f t="shared" si="31"/>
        <v>0</v>
      </c>
      <c r="W30" s="20">
        <f t="shared" si="31"/>
        <v>0</v>
      </c>
      <c r="X30" s="20">
        <f t="shared" si="31"/>
        <v>0</v>
      </c>
      <c r="Y30" s="20">
        <f t="shared" si="31"/>
        <v>0</v>
      </c>
      <c r="Z30" s="20">
        <f t="shared" si="31"/>
        <v>0</v>
      </c>
      <c r="AA30" s="20">
        <f t="shared" si="31"/>
        <v>0</v>
      </c>
      <c r="AB30" s="20">
        <f t="shared" si="31"/>
        <v>0</v>
      </c>
      <c r="AC30" s="20">
        <f t="shared" si="31"/>
        <v>0</v>
      </c>
      <c r="AD30" s="20">
        <f t="shared" si="31"/>
        <v>0</v>
      </c>
      <c r="AE30" s="20">
        <f t="shared" si="31"/>
        <v>0</v>
      </c>
      <c r="AF30" s="20">
        <f t="shared" si="31"/>
        <v>0</v>
      </c>
      <c r="AG30" s="20">
        <f t="shared" si="31"/>
        <v>0</v>
      </c>
      <c r="AH30" s="20">
        <f t="shared" si="31"/>
        <v>0</v>
      </c>
      <c r="AI30" s="20">
        <f t="shared" si="31"/>
        <v>0</v>
      </c>
      <c r="AJ30" s="20">
        <f t="shared" si="31"/>
        <v>0</v>
      </c>
      <c r="AK30" s="20">
        <f t="shared" si="31"/>
        <v>0</v>
      </c>
      <c r="AL30" s="20">
        <f t="shared" si="31"/>
        <v>0</v>
      </c>
      <c r="AM30" s="20">
        <f t="shared" si="31"/>
        <v>0</v>
      </c>
      <c r="AN30" s="20">
        <f t="shared" si="31"/>
        <v>0</v>
      </c>
      <c r="AO30" s="20">
        <f t="shared" si="31"/>
        <v>0</v>
      </c>
      <c r="AP30" s="20">
        <f t="shared" si="31"/>
        <v>0</v>
      </c>
      <c r="AQ30" s="20">
        <f t="shared" si="31"/>
        <v>0</v>
      </c>
      <c r="AR30" s="20">
        <f t="shared" si="31"/>
        <v>0</v>
      </c>
      <c r="AS30" s="20">
        <f t="shared" si="31"/>
        <v>0</v>
      </c>
      <c r="AT30" s="20">
        <f t="shared" si="31"/>
        <v>0</v>
      </c>
      <c r="AU30" s="20">
        <f t="shared" si="31"/>
        <v>0</v>
      </c>
      <c r="AV30" s="20">
        <f t="shared" si="31"/>
        <v>0</v>
      </c>
      <c r="AW30" s="20">
        <f t="shared" si="31"/>
        <v>0</v>
      </c>
      <c r="AX30" s="20">
        <f t="shared" si="31"/>
        <v>0</v>
      </c>
      <c r="AY30" s="20">
        <f t="shared" si="31"/>
        <v>0</v>
      </c>
      <c r="AZ30" s="20">
        <f t="shared" si="31"/>
        <v>0</v>
      </c>
      <c r="BA30" s="20">
        <f t="shared" si="31"/>
        <v>0</v>
      </c>
      <c r="BB30" s="20">
        <f t="shared" si="31"/>
        <v>0</v>
      </c>
      <c r="BC30" s="20">
        <f t="shared" si="31"/>
        <v>0</v>
      </c>
      <c r="BD30" s="20">
        <f t="shared" si="31"/>
        <v>0</v>
      </c>
      <c r="BE30" s="20">
        <f t="shared" si="31"/>
        <v>0</v>
      </c>
      <c r="BF30" s="20">
        <f t="shared" si="31"/>
        <v>0</v>
      </c>
      <c r="BG30" s="20">
        <f t="shared" si="31"/>
        <v>0</v>
      </c>
      <c r="BH30" s="20">
        <f t="shared" si="31"/>
        <v>0</v>
      </c>
      <c r="BI30" s="20">
        <f t="shared" si="31"/>
        <v>0</v>
      </c>
      <c r="BJ30" s="20">
        <f t="shared" si="31"/>
        <v>0</v>
      </c>
      <c r="BK30" s="20">
        <f t="shared" si="31"/>
        <v>0</v>
      </c>
      <c r="BL30" s="20">
        <f t="shared" si="31"/>
        <v>0</v>
      </c>
      <c r="BM30" s="20">
        <f t="shared" si="31"/>
        <v>0</v>
      </c>
      <c r="BN30" s="20">
        <f t="shared" si="31"/>
        <v>0</v>
      </c>
      <c r="BO30" s="2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</row>
    <row r="31" spans="1:147" ht="13">
      <c r="A31" s="2" t="s">
        <v>695</v>
      </c>
      <c r="B31" s="2" t="s">
        <v>685</v>
      </c>
      <c r="C31" s="2" t="s">
        <v>43</v>
      </c>
      <c r="D31" s="2" t="s">
        <v>45</v>
      </c>
      <c r="E31" s="7" t="s">
        <v>53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30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30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30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30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</row>
    <row r="32" spans="1:147" ht="13">
      <c r="A32" s="2" t="s">
        <v>696</v>
      </c>
      <c r="B32" s="2" t="s">
        <v>695</v>
      </c>
      <c r="C32" s="2" t="s">
        <v>102</v>
      </c>
      <c r="D32" s="2" t="s">
        <v>238</v>
      </c>
      <c r="E32" s="6" t="s">
        <v>237</v>
      </c>
      <c r="F32" s="20">
        <f t="shared" ref="F32:AG32" si="32">ROUND(SUM(F$33:F$34),2)</f>
        <v>0</v>
      </c>
      <c r="G32" s="20">
        <f t="shared" si="32"/>
        <v>0</v>
      </c>
      <c r="H32" s="20">
        <f t="shared" si="32"/>
        <v>0</v>
      </c>
      <c r="I32" s="20">
        <f t="shared" si="32"/>
        <v>0</v>
      </c>
      <c r="J32" s="20">
        <f t="shared" si="32"/>
        <v>0</v>
      </c>
      <c r="K32" s="20">
        <f t="shared" si="32"/>
        <v>0</v>
      </c>
      <c r="L32" s="20">
        <f t="shared" si="32"/>
        <v>0</v>
      </c>
      <c r="M32" s="20">
        <f t="shared" si="32"/>
        <v>0</v>
      </c>
      <c r="N32" s="20">
        <f t="shared" si="32"/>
        <v>0</v>
      </c>
      <c r="O32" s="20">
        <f t="shared" si="32"/>
        <v>0</v>
      </c>
      <c r="P32" s="20">
        <f t="shared" si="32"/>
        <v>0</v>
      </c>
      <c r="Q32" s="20">
        <f t="shared" si="32"/>
        <v>0</v>
      </c>
      <c r="R32" s="20">
        <f t="shared" si="32"/>
        <v>0</v>
      </c>
      <c r="S32" s="20">
        <f t="shared" si="32"/>
        <v>0</v>
      </c>
      <c r="T32" s="20">
        <f t="shared" si="32"/>
        <v>0</v>
      </c>
      <c r="U32" s="20">
        <f t="shared" si="32"/>
        <v>0</v>
      </c>
      <c r="V32" s="20">
        <f t="shared" si="32"/>
        <v>0</v>
      </c>
      <c r="W32" s="20">
        <f t="shared" si="32"/>
        <v>0</v>
      </c>
      <c r="X32" s="20">
        <f t="shared" si="32"/>
        <v>0</v>
      </c>
      <c r="Y32" s="20">
        <f t="shared" si="32"/>
        <v>0</v>
      </c>
      <c r="Z32" s="20">
        <f t="shared" si="32"/>
        <v>0</v>
      </c>
      <c r="AA32" s="20">
        <f t="shared" si="32"/>
        <v>0</v>
      </c>
      <c r="AB32" s="20">
        <f t="shared" si="32"/>
        <v>0</v>
      </c>
      <c r="AC32" s="20">
        <f t="shared" si="32"/>
        <v>0</v>
      </c>
      <c r="AD32" s="20">
        <f t="shared" si="32"/>
        <v>0</v>
      </c>
      <c r="AE32" s="20">
        <f t="shared" si="32"/>
        <v>0</v>
      </c>
      <c r="AF32" s="20">
        <f t="shared" si="32"/>
        <v>0</v>
      </c>
      <c r="AG32" s="20">
        <f t="shared" si="32"/>
        <v>0</v>
      </c>
      <c r="AH32" s="20">
        <f>ROUND(SUM(AH$33:AH$34),2)</f>
        <v>0</v>
      </c>
      <c r="AI32" s="20">
        <f t="shared" ref="AI32:BN32" si="33">ROUND(SUM(AI$33:AI$34),2)</f>
        <v>0</v>
      </c>
      <c r="AJ32" s="20">
        <f t="shared" si="33"/>
        <v>0</v>
      </c>
      <c r="AK32" s="20">
        <f t="shared" si="33"/>
        <v>0</v>
      </c>
      <c r="AL32" s="20">
        <f t="shared" si="33"/>
        <v>0</v>
      </c>
      <c r="AM32" s="20">
        <f t="shared" si="33"/>
        <v>0</v>
      </c>
      <c r="AN32" s="20">
        <f t="shared" si="33"/>
        <v>0</v>
      </c>
      <c r="AO32" s="20">
        <f t="shared" si="33"/>
        <v>0</v>
      </c>
      <c r="AP32" s="20">
        <f t="shared" si="33"/>
        <v>0</v>
      </c>
      <c r="AQ32" s="20">
        <f t="shared" si="33"/>
        <v>0</v>
      </c>
      <c r="AR32" s="20">
        <f t="shared" si="33"/>
        <v>0</v>
      </c>
      <c r="AS32" s="20">
        <f t="shared" si="33"/>
        <v>0</v>
      </c>
      <c r="AT32" s="20">
        <f t="shared" si="33"/>
        <v>0</v>
      </c>
      <c r="AU32" s="20">
        <f t="shared" si="33"/>
        <v>0</v>
      </c>
      <c r="AV32" s="20">
        <f t="shared" si="33"/>
        <v>0</v>
      </c>
      <c r="AW32" s="20">
        <f t="shared" si="33"/>
        <v>0</v>
      </c>
      <c r="AX32" s="20">
        <f t="shared" si="33"/>
        <v>0</v>
      </c>
      <c r="AY32" s="20">
        <f t="shared" si="33"/>
        <v>0</v>
      </c>
      <c r="AZ32" s="20">
        <f t="shared" si="33"/>
        <v>0</v>
      </c>
      <c r="BA32" s="20">
        <f t="shared" si="33"/>
        <v>0</v>
      </c>
      <c r="BB32" s="20">
        <f t="shared" si="33"/>
        <v>0</v>
      </c>
      <c r="BC32" s="20">
        <f t="shared" si="33"/>
        <v>0</v>
      </c>
      <c r="BD32" s="20">
        <f t="shared" si="33"/>
        <v>0</v>
      </c>
      <c r="BE32" s="20">
        <f t="shared" si="33"/>
        <v>0</v>
      </c>
      <c r="BF32" s="20">
        <f t="shared" si="33"/>
        <v>0</v>
      </c>
      <c r="BG32" s="20">
        <f t="shared" si="33"/>
        <v>0</v>
      </c>
      <c r="BH32" s="20">
        <f t="shared" si="33"/>
        <v>0</v>
      </c>
      <c r="BI32" s="20">
        <f t="shared" si="33"/>
        <v>0</v>
      </c>
      <c r="BJ32" s="20">
        <f t="shared" si="33"/>
        <v>0</v>
      </c>
      <c r="BK32" s="20">
        <f t="shared" si="33"/>
        <v>0</v>
      </c>
      <c r="BL32" s="20">
        <f t="shared" si="33"/>
        <v>0</v>
      </c>
      <c r="BM32" s="20">
        <f t="shared" si="33"/>
        <v>0</v>
      </c>
      <c r="BN32" s="20">
        <f t="shared" si="33"/>
        <v>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30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30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30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30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</row>
    <row r="33" spans="1:147" ht="13">
      <c r="A33" s="2" t="s">
        <v>697</v>
      </c>
      <c r="B33" s="2" t="s">
        <v>696</v>
      </c>
      <c r="C33" s="2" t="s">
        <v>239</v>
      </c>
      <c r="D33" s="2" t="s">
        <v>240</v>
      </c>
      <c r="E33" s="23" t="s">
        <v>54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30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30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30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30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</row>
    <row r="34" spans="1:147" ht="13">
      <c r="A34" s="2" t="s">
        <v>698</v>
      </c>
      <c r="B34" s="2" t="s">
        <v>696</v>
      </c>
      <c r="C34" s="2" t="s">
        <v>241</v>
      </c>
      <c r="D34" s="2" t="s">
        <v>242</v>
      </c>
      <c r="E34" s="23" t="s">
        <v>55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30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30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30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30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</row>
    <row r="35" spans="1:147" ht="13">
      <c r="A35" s="2" t="s">
        <v>699</v>
      </c>
      <c r="B35" s="2" t="s">
        <v>695</v>
      </c>
      <c r="C35" s="2" t="s">
        <v>103</v>
      </c>
      <c r="D35" s="2" t="s">
        <v>244</v>
      </c>
      <c r="E35" s="6" t="s">
        <v>243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30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30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30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30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</row>
    <row r="36" spans="1:147" ht="13">
      <c r="A36" s="2" t="s">
        <v>700</v>
      </c>
      <c r="B36" s="2" t="s">
        <v>695</v>
      </c>
      <c r="C36" s="2" t="s">
        <v>104</v>
      </c>
      <c r="D36" s="2" t="s">
        <v>245</v>
      </c>
      <c r="E36" s="6" t="s">
        <v>56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3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30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30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30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</row>
    <row r="37" spans="1:147" ht="13">
      <c r="A37" s="2" t="s">
        <v>701</v>
      </c>
      <c r="B37" s="2" t="s">
        <v>695</v>
      </c>
      <c r="C37" s="2" t="s">
        <v>105</v>
      </c>
      <c r="D37" s="2" t="s">
        <v>247</v>
      </c>
      <c r="E37" s="11" t="s">
        <v>246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30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30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30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30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</row>
    <row r="38" spans="1:147" ht="13">
      <c r="A38" s="2" t="s">
        <v>702</v>
      </c>
      <c r="B38" s="2" t="s">
        <v>695</v>
      </c>
      <c r="C38" s="2" t="s">
        <v>249</v>
      </c>
      <c r="D38" s="2" t="s">
        <v>250</v>
      </c>
      <c r="E38" s="6" t="s">
        <v>248</v>
      </c>
      <c r="F38" s="20">
        <f t="shared" ref="F38:AG38" si="34">ROUND(SUM(F$39:F$41),2)</f>
        <v>0</v>
      </c>
      <c r="G38" s="20">
        <f t="shared" si="34"/>
        <v>0</v>
      </c>
      <c r="H38" s="20">
        <f t="shared" si="34"/>
        <v>0</v>
      </c>
      <c r="I38" s="20">
        <f t="shared" si="34"/>
        <v>0</v>
      </c>
      <c r="J38" s="20">
        <f t="shared" si="34"/>
        <v>0</v>
      </c>
      <c r="K38" s="20">
        <f t="shared" si="34"/>
        <v>0</v>
      </c>
      <c r="L38" s="20">
        <f t="shared" si="34"/>
        <v>0</v>
      </c>
      <c r="M38" s="20">
        <f t="shared" si="34"/>
        <v>0</v>
      </c>
      <c r="N38" s="20">
        <f t="shared" si="34"/>
        <v>0</v>
      </c>
      <c r="O38" s="20">
        <f t="shared" si="34"/>
        <v>0</v>
      </c>
      <c r="P38" s="20">
        <f t="shared" si="34"/>
        <v>0</v>
      </c>
      <c r="Q38" s="20">
        <f t="shared" si="34"/>
        <v>0</v>
      </c>
      <c r="R38" s="20">
        <f t="shared" si="34"/>
        <v>0</v>
      </c>
      <c r="S38" s="20">
        <f t="shared" si="34"/>
        <v>0</v>
      </c>
      <c r="T38" s="20">
        <f t="shared" si="34"/>
        <v>0</v>
      </c>
      <c r="U38" s="20">
        <f t="shared" si="34"/>
        <v>0</v>
      </c>
      <c r="V38" s="20">
        <f t="shared" si="34"/>
        <v>0</v>
      </c>
      <c r="W38" s="20">
        <f t="shared" si="34"/>
        <v>0</v>
      </c>
      <c r="X38" s="20">
        <f t="shared" si="34"/>
        <v>0</v>
      </c>
      <c r="Y38" s="20">
        <f t="shared" si="34"/>
        <v>0</v>
      </c>
      <c r="Z38" s="20">
        <f t="shared" si="34"/>
        <v>0</v>
      </c>
      <c r="AA38" s="20">
        <f t="shared" si="34"/>
        <v>0</v>
      </c>
      <c r="AB38" s="20">
        <f t="shared" si="34"/>
        <v>0</v>
      </c>
      <c r="AC38" s="20">
        <f t="shared" si="34"/>
        <v>0</v>
      </c>
      <c r="AD38" s="20">
        <f t="shared" si="34"/>
        <v>0</v>
      </c>
      <c r="AE38" s="20">
        <f t="shared" si="34"/>
        <v>0</v>
      </c>
      <c r="AF38" s="20">
        <f t="shared" si="34"/>
        <v>0</v>
      </c>
      <c r="AG38" s="20">
        <f t="shared" si="34"/>
        <v>0</v>
      </c>
      <c r="AH38" s="20">
        <f>ROUND(SUM(AH$39:AH$41),2)</f>
        <v>0</v>
      </c>
      <c r="AI38" s="20">
        <f t="shared" ref="AI38:BN38" si="35">ROUND(SUM(AI$39:AI$41),2)</f>
        <v>0</v>
      </c>
      <c r="AJ38" s="20">
        <f t="shared" si="35"/>
        <v>0</v>
      </c>
      <c r="AK38" s="20">
        <f t="shared" si="35"/>
        <v>0</v>
      </c>
      <c r="AL38" s="20">
        <f t="shared" si="35"/>
        <v>0</v>
      </c>
      <c r="AM38" s="20">
        <f t="shared" si="35"/>
        <v>0</v>
      </c>
      <c r="AN38" s="20">
        <f t="shared" si="35"/>
        <v>0</v>
      </c>
      <c r="AO38" s="20">
        <f t="shared" si="35"/>
        <v>0</v>
      </c>
      <c r="AP38" s="20">
        <f t="shared" si="35"/>
        <v>0</v>
      </c>
      <c r="AQ38" s="20">
        <f t="shared" si="35"/>
        <v>0</v>
      </c>
      <c r="AR38" s="20">
        <f t="shared" si="35"/>
        <v>0</v>
      </c>
      <c r="AS38" s="20">
        <f t="shared" si="35"/>
        <v>0</v>
      </c>
      <c r="AT38" s="20">
        <f t="shared" si="35"/>
        <v>0</v>
      </c>
      <c r="AU38" s="20">
        <f t="shared" si="35"/>
        <v>0</v>
      </c>
      <c r="AV38" s="20">
        <f t="shared" si="35"/>
        <v>0</v>
      </c>
      <c r="AW38" s="20">
        <f t="shared" si="35"/>
        <v>0</v>
      </c>
      <c r="AX38" s="20">
        <f t="shared" si="35"/>
        <v>0</v>
      </c>
      <c r="AY38" s="20">
        <f t="shared" si="35"/>
        <v>0</v>
      </c>
      <c r="AZ38" s="20">
        <f t="shared" si="35"/>
        <v>0</v>
      </c>
      <c r="BA38" s="20">
        <f t="shared" si="35"/>
        <v>0</v>
      </c>
      <c r="BB38" s="20">
        <f t="shared" si="35"/>
        <v>0</v>
      </c>
      <c r="BC38" s="20">
        <f t="shared" si="35"/>
        <v>0</v>
      </c>
      <c r="BD38" s="20">
        <f t="shared" si="35"/>
        <v>0</v>
      </c>
      <c r="BE38" s="20">
        <f t="shared" si="35"/>
        <v>0</v>
      </c>
      <c r="BF38" s="20">
        <f t="shared" si="35"/>
        <v>0</v>
      </c>
      <c r="BG38" s="20">
        <f t="shared" si="35"/>
        <v>0</v>
      </c>
      <c r="BH38" s="20">
        <f t="shared" si="35"/>
        <v>0</v>
      </c>
      <c r="BI38" s="20">
        <f t="shared" si="35"/>
        <v>0</v>
      </c>
      <c r="BJ38" s="20">
        <f t="shared" si="35"/>
        <v>0</v>
      </c>
      <c r="BK38" s="20">
        <f t="shared" si="35"/>
        <v>0</v>
      </c>
      <c r="BL38" s="20">
        <f t="shared" si="35"/>
        <v>0</v>
      </c>
      <c r="BM38" s="20">
        <f t="shared" si="35"/>
        <v>0</v>
      </c>
      <c r="BN38" s="20">
        <f t="shared" si="35"/>
        <v>0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30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30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30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30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</row>
    <row r="39" spans="1:147" ht="13">
      <c r="A39" s="2" t="s">
        <v>703</v>
      </c>
      <c r="B39" s="2" t="s">
        <v>702</v>
      </c>
      <c r="C39" s="2" t="s">
        <v>251</v>
      </c>
      <c r="D39" s="2" t="s">
        <v>240</v>
      </c>
      <c r="E39" s="24" t="s">
        <v>252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</row>
    <row r="40" spans="1:147" ht="13">
      <c r="A40" s="2" t="s">
        <v>704</v>
      </c>
      <c r="B40" s="2" t="s">
        <v>702</v>
      </c>
      <c r="C40" s="2" t="s">
        <v>253</v>
      </c>
      <c r="D40" s="2" t="s">
        <v>242</v>
      </c>
      <c r="E40" s="23" t="s">
        <v>254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</row>
    <row r="41" spans="1:147" ht="13">
      <c r="A41" s="2" t="s">
        <v>705</v>
      </c>
      <c r="B41" s="2" t="s">
        <v>702</v>
      </c>
      <c r="C41" s="2" t="s">
        <v>255</v>
      </c>
      <c r="D41" s="2" t="s">
        <v>256</v>
      </c>
      <c r="E41" s="24" t="s">
        <v>120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</row>
    <row r="42" spans="1:147" ht="13">
      <c r="A42" s="2" t="s">
        <v>706</v>
      </c>
      <c r="B42" s="2" t="s">
        <v>695</v>
      </c>
      <c r="C42" s="2" t="s">
        <v>257</v>
      </c>
      <c r="D42" s="2" t="s">
        <v>258</v>
      </c>
      <c r="E42" s="6" t="s">
        <v>259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</row>
    <row r="43" spans="1:147" ht="13">
      <c r="A43" s="2" t="s">
        <v>707</v>
      </c>
      <c r="B43" s="2" t="s">
        <v>695</v>
      </c>
      <c r="C43" s="2" t="s">
        <v>260</v>
      </c>
      <c r="D43" s="2" t="s">
        <v>261</v>
      </c>
      <c r="E43" s="6" t="s">
        <v>262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</row>
    <row r="44" spans="1:147" ht="13">
      <c r="A44" s="2" t="s">
        <v>708</v>
      </c>
      <c r="B44" s="2" t="s">
        <v>695</v>
      </c>
      <c r="C44" s="2" t="s">
        <v>263</v>
      </c>
      <c r="D44" s="2" t="s">
        <v>264</v>
      </c>
      <c r="E44" s="6" t="s">
        <v>265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</row>
    <row r="45" spans="1:147" ht="13">
      <c r="A45" s="2" t="s">
        <v>709</v>
      </c>
      <c r="B45" s="2" t="s">
        <v>695</v>
      </c>
      <c r="C45" s="2" t="s">
        <v>266</v>
      </c>
      <c r="D45" s="2" t="s">
        <v>267</v>
      </c>
      <c r="E45" s="6" t="s">
        <v>268</v>
      </c>
      <c r="F45" s="20">
        <f t="shared" ref="F45:AG45" si="36">ROUND(F36+F37+F44+F43+F42+F32+F35+F38,2)</f>
        <v>0</v>
      </c>
      <c r="G45" s="20">
        <f t="shared" si="36"/>
        <v>0</v>
      </c>
      <c r="H45" s="20">
        <f t="shared" si="36"/>
        <v>0</v>
      </c>
      <c r="I45" s="20">
        <f t="shared" si="36"/>
        <v>0</v>
      </c>
      <c r="J45" s="20">
        <f t="shared" si="36"/>
        <v>0</v>
      </c>
      <c r="K45" s="20">
        <f t="shared" si="36"/>
        <v>0</v>
      </c>
      <c r="L45" s="20">
        <f t="shared" si="36"/>
        <v>0</v>
      </c>
      <c r="M45" s="20">
        <f t="shared" si="36"/>
        <v>0</v>
      </c>
      <c r="N45" s="20">
        <f t="shared" si="36"/>
        <v>0</v>
      </c>
      <c r="O45" s="20">
        <f t="shared" si="36"/>
        <v>0</v>
      </c>
      <c r="P45" s="20">
        <f t="shared" si="36"/>
        <v>0</v>
      </c>
      <c r="Q45" s="20">
        <f t="shared" si="36"/>
        <v>0</v>
      </c>
      <c r="R45" s="20">
        <f t="shared" si="36"/>
        <v>0</v>
      </c>
      <c r="S45" s="20">
        <f t="shared" si="36"/>
        <v>0</v>
      </c>
      <c r="T45" s="20">
        <f t="shared" si="36"/>
        <v>0</v>
      </c>
      <c r="U45" s="20">
        <f t="shared" si="36"/>
        <v>0</v>
      </c>
      <c r="V45" s="20">
        <f t="shared" si="36"/>
        <v>0</v>
      </c>
      <c r="W45" s="20">
        <f t="shared" si="36"/>
        <v>0</v>
      </c>
      <c r="X45" s="20">
        <f t="shared" si="36"/>
        <v>0</v>
      </c>
      <c r="Y45" s="20">
        <f t="shared" si="36"/>
        <v>0</v>
      </c>
      <c r="Z45" s="20">
        <f t="shared" si="36"/>
        <v>0</v>
      </c>
      <c r="AA45" s="20">
        <f t="shared" si="36"/>
        <v>0</v>
      </c>
      <c r="AB45" s="20">
        <f t="shared" si="36"/>
        <v>0</v>
      </c>
      <c r="AC45" s="20">
        <f t="shared" si="36"/>
        <v>0</v>
      </c>
      <c r="AD45" s="20">
        <f t="shared" si="36"/>
        <v>0</v>
      </c>
      <c r="AE45" s="20">
        <f t="shared" si="36"/>
        <v>0</v>
      </c>
      <c r="AF45" s="20">
        <f t="shared" si="36"/>
        <v>0</v>
      </c>
      <c r="AG45" s="20">
        <f t="shared" si="36"/>
        <v>0</v>
      </c>
      <c r="AH45" s="20">
        <f t="shared" ref="AH45:BN45" si="37">ROUND(AH36+AH37+AH44+AH43+AH42+AH32+AH35+AH38,2)</f>
        <v>0</v>
      </c>
      <c r="AI45" s="20">
        <f t="shared" si="37"/>
        <v>0</v>
      </c>
      <c r="AJ45" s="20">
        <f t="shared" si="37"/>
        <v>0</v>
      </c>
      <c r="AK45" s="20">
        <f t="shared" si="37"/>
        <v>0</v>
      </c>
      <c r="AL45" s="20">
        <f t="shared" si="37"/>
        <v>0</v>
      </c>
      <c r="AM45" s="20">
        <f t="shared" si="37"/>
        <v>0</v>
      </c>
      <c r="AN45" s="20">
        <f t="shared" si="37"/>
        <v>0</v>
      </c>
      <c r="AO45" s="20">
        <f t="shared" si="37"/>
        <v>0</v>
      </c>
      <c r="AP45" s="20">
        <f t="shared" si="37"/>
        <v>0</v>
      </c>
      <c r="AQ45" s="20">
        <f t="shared" si="37"/>
        <v>0</v>
      </c>
      <c r="AR45" s="20">
        <f t="shared" si="37"/>
        <v>0</v>
      </c>
      <c r="AS45" s="20">
        <f t="shared" si="37"/>
        <v>0</v>
      </c>
      <c r="AT45" s="20">
        <f t="shared" si="37"/>
        <v>0</v>
      </c>
      <c r="AU45" s="20">
        <f t="shared" si="37"/>
        <v>0</v>
      </c>
      <c r="AV45" s="20">
        <f t="shared" si="37"/>
        <v>0</v>
      </c>
      <c r="AW45" s="20">
        <f t="shared" si="37"/>
        <v>0</v>
      </c>
      <c r="AX45" s="20">
        <f t="shared" si="37"/>
        <v>0</v>
      </c>
      <c r="AY45" s="20">
        <f t="shared" si="37"/>
        <v>0</v>
      </c>
      <c r="AZ45" s="20">
        <f t="shared" si="37"/>
        <v>0</v>
      </c>
      <c r="BA45" s="20">
        <f t="shared" si="37"/>
        <v>0</v>
      </c>
      <c r="BB45" s="20">
        <f t="shared" si="37"/>
        <v>0</v>
      </c>
      <c r="BC45" s="20">
        <f t="shared" si="37"/>
        <v>0</v>
      </c>
      <c r="BD45" s="20">
        <f t="shared" si="37"/>
        <v>0</v>
      </c>
      <c r="BE45" s="20">
        <f t="shared" si="37"/>
        <v>0</v>
      </c>
      <c r="BF45" s="20">
        <f t="shared" si="37"/>
        <v>0</v>
      </c>
      <c r="BG45" s="20">
        <f t="shared" si="37"/>
        <v>0</v>
      </c>
      <c r="BH45" s="20">
        <f t="shared" si="37"/>
        <v>0</v>
      </c>
      <c r="BI45" s="20">
        <f t="shared" si="37"/>
        <v>0</v>
      </c>
      <c r="BJ45" s="20">
        <f t="shared" si="37"/>
        <v>0</v>
      </c>
      <c r="BK45" s="20">
        <f t="shared" si="37"/>
        <v>0</v>
      </c>
      <c r="BL45" s="20">
        <f t="shared" si="37"/>
        <v>0</v>
      </c>
      <c r="BM45" s="20">
        <f t="shared" si="37"/>
        <v>0</v>
      </c>
      <c r="BN45" s="20">
        <f t="shared" si="37"/>
        <v>0</v>
      </c>
      <c r="BO45" s="2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</row>
    <row r="46" spans="1:147" ht="13">
      <c r="A46" s="2" t="s">
        <v>710</v>
      </c>
      <c r="B46" s="2" t="s">
        <v>685</v>
      </c>
      <c r="C46" s="2" t="s">
        <v>44</v>
      </c>
      <c r="D46" s="2" t="s">
        <v>52</v>
      </c>
      <c r="E46" s="9" t="s">
        <v>269</v>
      </c>
      <c r="F46" s="20">
        <f t="shared" ref="F46:AG46" si="38">ROUND(SUM(F$47:F$57),2)</f>
        <v>0</v>
      </c>
      <c r="G46" s="20">
        <f t="shared" si="38"/>
        <v>0</v>
      </c>
      <c r="H46" s="20">
        <f t="shared" si="38"/>
        <v>0</v>
      </c>
      <c r="I46" s="20">
        <f t="shared" si="38"/>
        <v>0</v>
      </c>
      <c r="J46" s="20">
        <f t="shared" si="38"/>
        <v>0</v>
      </c>
      <c r="K46" s="20">
        <f t="shared" si="38"/>
        <v>0</v>
      </c>
      <c r="L46" s="20">
        <f t="shared" si="38"/>
        <v>0</v>
      </c>
      <c r="M46" s="20">
        <f t="shared" si="38"/>
        <v>0</v>
      </c>
      <c r="N46" s="20">
        <f t="shared" si="38"/>
        <v>0</v>
      </c>
      <c r="O46" s="20">
        <f t="shared" si="38"/>
        <v>0</v>
      </c>
      <c r="P46" s="20">
        <f t="shared" si="38"/>
        <v>0</v>
      </c>
      <c r="Q46" s="20">
        <f t="shared" si="38"/>
        <v>0</v>
      </c>
      <c r="R46" s="20">
        <f t="shared" si="38"/>
        <v>0</v>
      </c>
      <c r="S46" s="20">
        <f t="shared" si="38"/>
        <v>0</v>
      </c>
      <c r="T46" s="20">
        <f t="shared" si="38"/>
        <v>0</v>
      </c>
      <c r="U46" s="20">
        <f t="shared" si="38"/>
        <v>0</v>
      </c>
      <c r="V46" s="20">
        <f t="shared" si="38"/>
        <v>0</v>
      </c>
      <c r="W46" s="20">
        <f t="shared" si="38"/>
        <v>0</v>
      </c>
      <c r="X46" s="20">
        <f t="shared" si="38"/>
        <v>0</v>
      </c>
      <c r="Y46" s="20">
        <f t="shared" si="38"/>
        <v>0</v>
      </c>
      <c r="Z46" s="20">
        <f t="shared" si="38"/>
        <v>0</v>
      </c>
      <c r="AA46" s="20">
        <f t="shared" si="38"/>
        <v>0</v>
      </c>
      <c r="AB46" s="20">
        <f t="shared" si="38"/>
        <v>0</v>
      </c>
      <c r="AC46" s="20">
        <f t="shared" si="38"/>
        <v>0</v>
      </c>
      <c r="AD46" s="20">
        <f t="shared" si="38"/>
        <v>0</v>
      </c>
      <c r="AE46" s="20">
        <f t="shared" si="38"/>
        <v>0</v>
      </c>
      <c r="AF46" s="20">
        <f t="shared" si="38"/>
        <v>0</v>
      </c>
      <c r="AG46" s="20">
        <f t="shared" si="38"/>
        <v>0</v>
      </c>
      <c r="AH46" s="20">
        <f>ROUND(SUM(AH$47:AH$57),2)</f>
        <v>0</v>
      </c>
      <c r="AI46" s="20">
        <f t="shared" ref="AI46:BN46" si="39">ROUND(SUM(AI$47:AI$57),2)</f>
        <v>0</v>
      </c>
      <c r="AJ46" s="20">
        <f t="shared" si="39"/>
        <v>0</v>
      </c>
      <c r="AK46" s="20">
        <f t="shared" si="39"/>
        <v>0</v>
      </c>
      <c r="AL46" s="20">
        <f t="shared" si="39"/>
        <v>0</v>
      </c>
      <c r="AM46" s="20">
        <f t="shared" si="39"/>
        <v>0</v>
      </c>
      <c r="AN46" s="20">
        <f t="shared" si="39"/>
        <v>0</v>
      </c>
      <c r="AO46" s="20">
        <f t="shared" si="39"/>
        <v>0</v>
      </c>
      <c r="AP46" s="20">
        <f t="shared" si="39"/>
        <v>0</v>
      </c>
      <c r="AQ46" s="20">
        <f t="shared" si="39"/>
        <v>0</v>
      </c>
      <c r="AR46" s="20">
        <f t="shared" si="39"/>
        <v>0</v>
      </c>
      <c r="AS46" s="20">
        <f t="shared" si="39"/>
        <v>0</v>
      </c>
      <c r="AT46" s="20">
        <f t="shared" si="39"/>
        <v>0</v>
      </c>
      <c r="AU46" s="20">
        <f t="shared" si="39"/>
        <v>0</v>
      </c>
      <c r="AV46" s="20">
        <f t="shared" si="39"/>
        <v>0</v>
      </c>
      <c r="AW46" s="20">
        <f t="shared" si="39"/>
        <v>0</v>
      </c>
      <c r="AX46" s="20">
        <f t="shared" si="39"/>
        <v>0</v>
      </c>
      <c r="AY46" s="20">
        <f t="shared" si="39"/>
        <v>0</v>
      </c>
      <c r="AZ46" s="20">
        <f t="shared" si="39"/>
        <v>0</v>
      </c>
      <c r="BA46" s="20">
        <f t="shared" si="39"/>
        <v>0</v>
      </c>
      <c r="BB46" s="20">
        <f t="shared" si="39"/>
        <v>0</v>
      </c>
      <c r="BC46" s="20">
        <f t="shared" si="39"/>
        <v>0</v>
      </c>
      <c r="BD46" s="20">
        <f t="shared" si="39"/>
        <v>0</v>
      </c>
      <c r="BE46" s="20">
        <f t="shared" si="39"/>
        <v>0</v>
      </c>
      <c r="BF46" s="20">
        <f t="shared" si="39"/>
        <v>0</v>
      </c>
      <c r="BG46" s="20">
        <f t="shared" si="39"/>
        <v>0</v>
      </c>
      <c r="BH46" s="20">
        <f t="shared" si="39"/>
        <v>0</v>
      </c>
      <c r="BI46" s="20">
        <f t="shared" si="39"/>
        <v>0</v>
      </c>
      <c r="BJ46" s="20">
        <f t="shared" si="39"/>
        <v>0</v>
      </c>
      <c r="BK46" s="20">
        <f t="shared" si="39"/>
        <v>0</v>
      </c>
      <c r="BL46" s="20">
        <f t="shared" si="39"/>
        <v>0</v>
      </c>
      <c r="BM46" s="20">
        <f t="shared" si="39"/>
        <v>0</v>
      </c>
      <c r="BN46" s="20">
        <f t="shared" si="39"/>
        <v>0</v>
      </c>
      <c r="BO46" s="2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</row>
    <row r="47" spans="1:147" ht="13">
      <c r="A47" s="2" t="s">
        <v>711</v>
      </c>
      <c r="B47" s="2" t="s">
        <v>710</v>
      </c>
      <c r="C47" s="2" t="s">
        <v>46</v>
      </c>
      <c r="D47" s="2" t="s">
        <v>240</v>
      </c>
      <c r="E47" s="6" t="s">
        <v>270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</row>
    <row r="48" spans="1:147" ht="13">
      <c r="A48" s="2" t="s">
        <v>712</v>
      </c>
      <c r="B48" s="2" t="s">
        <v>710</v>
      </c>
      <c r="C48" s="2" t="s">
        <v>47</v>
      </c>
      <c r="D48" s="2" t="s">
        <v>242</v>
      </c>
      <c r="E48" s="6" t="s">
        <v>271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</row>
    <row r="49" spans="1:147" ht="13">
      <c r="A49" s="2" t="s">
        <v>713</v>
      </c>
      <c r="B49" s="2" t="s">
        <v>710</v>
      </c>
      <c r="C49" s="2" t="s">
        <v>48</v>
      </c>
      <c r="D49" s="2" t="s">
        <v>256</v>
      </c>
      <c r="E49" s="6" t="s">
        <v>272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</row>
    <row r="50" spans="1:147" ht="13">
      <c r="A50" s="2" t="s">
        <v>714</v>
      </c>
      <c r="B50" s="2" t="s">
        <v>710</v>
      </c>
      <c r="C50" s="2" t="s">
        <v>49</v>
      </c>
      <c r="D50" s="2" t="s">
        <v>273</v>
      </c>
      <c r="E50" s="6" t="s">
        <v>274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</row>
    <row r="51" spans="1:147" ht="13">
      <c r="A51" s="2" t="s">
        <v>715</v>
      </c>
      <c r="B51" s="2" t="s">
        <v>710</v>
      </c>
      <c r="C51" s="2" t="s">
        <v>50</v>
      </c>
      <c r="D51" s="2" t="s">
        <v>275</v>
      </c>
      <c r="E51" s="6" t="s">
        <v>276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</row>
    <row r="52" spans="1:147" ht="13">
      <c r="A52" s="2" t="s">
        <v>716</v>
      </c>
      <c r="B52" s="2" t="s">
        <v>710</v>
      </c>
      <c r="C52" s="2" t="s">
        <v>277</v>
      </c>
      <c r="D52" s="2" t="s">
        <v>278</v>
      </c>
      <c r="E52" s="11" t="s">
        <v>279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</row>
    <row r="53" spans="1:147" ht="13">
      <c r="A53" s="2" t="s">
        <v>717</v>
      </c>
      <c r="B53" s="2" t="s">
        <v>710</v>
      </c>
      <c r="C53" s="2" t="s">
        <v>280</v>
      </c>
      <c r="D53" s="2" t="s">
        <v>281</v>
      </c>
      <c r="E53" s="11" t="s">
        <v>282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</row>
    <row r="54" spans="1:147" ht="13">
      <c r="A54" s="2" t="s">
        <v>718</v>
      </c>
      <c r="B54" s="2" t="s">
        <v>710</v>
      </c>
      <c r="C54" s="2" t="s">
        <v>283</v>
      </c>
      <c r="D54" s="2" t="s">
        <v>284</v>
      </c>
      <c r="E54" s="6" t="s">
        <v>285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</row>
    <row r="55" spans="1:147" ht="13">
      <c r="A55" s="2" t="s">
        <v>719</v>
      </c>
      <c r="B55" s="2" t="s">
        <v>710</v>
      </c>
      <c r="C55" s="2" t="s">
        <v>286</v>
      </c>
      <c r="D55" s="2" t="s">
        <v>238</v>
      </c>
      <c r="E55" s="6" t="s">
        <v>287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</row>
    <row r="56" spans="1:147" ht="13">
      <c r="A56" s="2" t="s">
        <v>720</v>
      </c>
      <c r="B56" s="2" t="s">
        <v>710</v>
      </c>
      <c r="C56" s="2" t="s">
        <v>288</v>
      </c>
      <c r="D56" s="2" t="s">
        <v>238</v>
      </c>
      <c r="E56" s="6" t="s">
        <v>289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</row>
    <row r="57" spans="1:147" ht="13">
      <c r="A57" s="2" t="s">
        <v>721</v>
      </c>
      <c r="B57" s="2" t="s">
        <v>710</v>
      </c>
      <c r="C57" s="2" t="s">
        <v>290</v>
      </c>
      <c r="D57" s="2" t="s">
        <v>291</v>
      </c>
      <c r="E57" s="6" t="s">
        <v>120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</row>
    <row r="58" spans="1:147" ht="13">
      <c r="A58" s="2" t="s">
        <v>722</v>
      </c>
      <c r="B58" s="2" t="s">
        <v>685</v>
      </c>
      <c r="C58" s="2" t="s">
        <v>51</v>
      </c>
      <c r="D58" s="2" t="s">
        <v>58</v>
      </c>
      <c r="E58" s="7" t="s">
        <v>292</v>
      </c>
      <c r="F58" s="20">
        <f t="shared" ref="F58:AG58" si="40">ROUND(F45+F46,2)</f>
        <v>0</v>
      </c>
      <c r="G58" s="20">
        <f t="shared" si="40"/>
        <v>0</v>
      </c>
      <c r="H58" s="20">
        <f t="shared" si="40"/>
        <v>0</v>
      </c>
      <c r="I58" s="20">
        <f t="shared" si="40"/>
        <v>0</v>
      </c>
      <c r="J58" s="20">
        <f t="shared" si="40"/>
        <v>0</v>
      </c>
      <c r="K58" s="20">
        <f t="shared" si="40"/>
        <v>0</v>
      </c>
      <c r="L58" s="20">
        <f t="shared" si="40"/>
        <v>0</v>
      </c>
      <c r="M58" s="20">
        <f t="shared" si="40"/>
        <v>0</v>
      </c>
      <c r="N58" s="20">
        <f t="shared" si="40"/>
        <v>0</v>
      </c>
      <c r="O58" s="20">
        <f t="shared" si="40"/>
        <v>0</v>
      </c>
      <c r="P58" s="20">
        <f t="shared" si="40"/>
        <v>0</v>
      </c>
      <c r="Q58" s="20">
        <f t="shared" si="40"/>
        <v>0</v>
      </c>
      <c r="R58" s="20">
        <f t="shared" si="40"/>
        <v>0</v>
      </c>
      <c r="S58" s="20">
        <f t="shared" si="40"/>
        <v>0</v>
      </c>
      <c r="T58" s="20">
        <f t="shared" si="40"/>
        <v>0</v>
      </c>
      <c r="U58" s="20">
        <f t="shared" si="40"/>
        <v>0</v>
      </c>
      <c r="V58" s="20">
        <f t="shared" si="40"/>
        <v>0</v>
      </c>
      <c r="W58" s="20">
        <f t="shared" si="40"/>
        <v>0</v>
      </c>
      <c r="X58" s="20">
        <f t="shared" si="40"/>
        <v>0</v>
      </c>
      <c r="Y58" s="20">
        <f t="shared" si="40"/>
        <v>0</v>
      </c>
      <c r="Z58" s="20">
        <f t="shared" si="40"/>
        <v>0</v>
      </c>
      <c r="AA58" s="20">
        <f t="shared" si="40"/>
        <v>0</v>
      </c>
      <c r="AB58" s="20">
        <f t="shared" si="40"/>
        <v>0</v>
      </c>
      <c r="AC58" s="20">
        <f t="shared" si="40"/>
        <v>0</v>
      </c>
      <c r="AD58" s="20">
        <f t="shared" si="40"/>
        <v>0</v>
      </c>
      <c r="AE58" s="20">
        <f t="shared" si="40"/>
        <v>0</v>
      </c>
      <c r="AF58" s="20">
        <f t="shared" si="40"/>
        <v>0</v>
      </c>
      <c r="AG58" s="20">
        <f t="shared" si="40"/>
        <v>0</v>
      </c>
      <c r="AH58" s="20">
        <f t="shared" ref="AH58:BN58" si="41">ROUND(AH45+AH46,2)</f>
        <v>0</v>
      </c>
      <c r="AI58" s="20">
        <f t="shared" si="41"/>
        <v>0</v>
      </c>
      <c r="AJ58" s="20">
        <f t="shared" si="41"/>
        <v>0</v>
      </c>
      <c r="AK58" s="20">
        <f t="shared" si="41"/>
        <v>0</v>
      </c>
      <c r="AL58" s="20">
        <f t="shared" si="41"/>
        <v>0</v>
      </c>
      <c r="AM58" s="20">
        <f t="shared" si="41"/>
        <v>0</v>
      </c>
      <c r="AN58" s="20">
        <f t="shared" si="41"/>
        <v>0</v>
      </c>
      <c r="AO58" s="20">
        <f t="shared" si="41"/>
        <v>0</v>
      </c>
      <c r="AP58" s="20">
        <f t="shared" si="41"/>
        <v>0</v>
      </c>
      <c r="AQ58" s="20">
        <f t="shared" si="41"/>
        <v>0</v>
      </c>
      <c r="AR58" s="20">
        <f t="shared" si="41"/>
        <v>0</v>
      </c>
      <c r="AS58" s="20">
        <f t="shared" si="41"/>
        <v>0</v>
      </c>
      <c r="AT58" s="20">
        <f t="shared" si="41"/>
        <v>0</v>
      </c>
      <c r="AU58" s="20">
        <f t="shared" si="41"/>
        <v>0</v>
      </c>
      <c r="AV58" s="20">
        <f t="shared" si="41"/>
        <v>0</v>
      </c>
      <c r="AW58" s="20">
        <f t="shared" si="41"/>
        <v>0</v>
      </c>
      <c r="AX58" s="20">
        <f t="shared" si="41"/>
        <v>0</v>
      </c>
      <c r="AY58" s="20">
        <f t="shared" si="41"/>
        <v>0</v>
      </c>
      <c r="AZ58" s="20">
        <f t="shared" si="41"/>
        <v>0</v>
      </c>
      <c r="BA58" s="20">
        <f t="shared" si="41"/>
        <v>0</v>
      </c>
      <c r="BB58" s="20">
        <f t="shared" si="41"/>
        <v>0</v>
      </c>
      <c r="BC58" s="20">
        <f t="shared" si="41"/>
        <v>0</v>
      </c>
      <c r="BD58" s="20">
        <f t="shared" si="41"/>
        <v>0</v>
      </c>
      <c r="BE58" s="20">
        <f t="shared" si="41"/>
        <v>0</v>
      </c>
      <c r="BF58" s="20">
        <f t="shared" si="41"/>
        <v>0</v>
      </c>
      <c r="BG58" s="20">
        <f t="shared" si="41"/>
        <v>0</v>
      </c>
      <c r="BH58" s="20">
        <f t="shared" si="41"/>
        <v>0</v>
      </c>
      <c r="BI58" s="20">
        <f t="shared" si="41"/>
        <v>0</v>
      </c>
      <c r="BJ58" s="20">
        <f t="shared" si="41"/>
        <v>0</v>
      </c>
      <c r="BK58" s="20">
        <f t="shared" si="41"/>
        <v>0</v>
      </c>
      <c r="BL58" s="20">
        <f t="shared" si="41"/>
        <v>0</v>
      </c>
      <c r="BM58" s="20">
        <f t="shared" si="41"/>
        <v>0</v>
      </c>
      <c r="BN58" s="20">
        <f t="shared" si="41"/>
        <v>0</v>
      </c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30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30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30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30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</row>
    <row r="59" spans="1:147" ht="13">
      <c r="A59" s="2" t="s">
        <v>723</v>
      </c>
      <c r="B59" s="2" t="s">
        <v>685</v>
      </c>
      <c r="C59" s="2" t="s">
        <v>57</v>
      </c>
      <c r="D59" s="2" t="s">
        <v>60</v>
      </c>
      <c r="E59" s="9" t="s">
        <v>293</v>
      </c>
      <c r="F59" s="20">
        <f t="shared" ref="F59:AG59" si="42">ROUND(F30-F58,2)</f>
        <v>0</v>
      </c>
      <c r="G59" s="20">
        <f t="shared" si="42"/>
        <v>0</v>
      </c>
      <c r="H59" s="20">
        <f t="shared" si="42"/>
        <v>0</v>
      </c>
      <c r="I59" s="20">
        <f t="shared" si="42"/>
        <v>0</v>
      </c>
      <c r="J59" s="20">
        <f t="shared" si="42"/>
        <v>0</v>
      </c>
      <c r="K59" s="20">
        <f t="shared" si="42"/>
        <v>0</v>
      </c>
      <c r="L59" s="20">
        <f t="shared" si="42"/>
        <v>0</v>
      </c>
      <c r="M59" s="20">
        <f t="shared" si="42"/>
        <v>0</v>
      </c>
      <c r="N59" s="20">
        <f t="shared" si="42"/>
        <v>0</v>
      </c>
      <c r="O59" s="20">
        <f t="shared" si="42"/>
        <v>0</v>
      </c>
      <c r="P59" s="20">
        <f t="shared" si="42"/>
        <v>0</v>
      </c>
      <c r="Q59" s="20">
        <f t="shared" si="42"/>
        <v>0</v>
      </c>
      <c r="R59" s="20">
        <f t="shared" si="42"/>
        <v>0</v>
      </c>
      <c r="S59" s="20">
        <f t="shared" si="42"/>
        <v>0</v>
      </c>
      <c r="T59" s="20">
        <f t="shared" si="42"/>
        <v>0</v>
      </c>
      <c r="U59" s="20">
        <f t="shared" si="42"/>
        <v>0</v>
      </c>
      <c r="V59" s="20">
        <f t="shared" si="42"/>
        <v>0</v>
      </c>
      <c r="W59" s="20">
        <f t="shared" si="42"/>
        <v>0</v>
      </c>
      <c r="X59" s="20">
        <f t="shared" si="42"/>
        <v>0</v>
      </c>
      <c r="Y59" s="20">
        <f t="shared" si="42"/>
        <v>0</v>
      </c>
      <c r="Z59" s="20">
        <f t="shared" si="42"/>
        <v>0</v>
      </c>
      <c r="AA59" s="20">
        <f t="shared" si="42"/>
        <v>0</v>
      </c>
      <c r="AB59" s="20">
        <f t="shared" si="42"/>
        <v>0</v>
      </c>
      <c r="AC59" s="20">
        <f t="shared" si="42"/>
        <v>0</v>
      </c>
      <c r="AD59" s="20">
        <f t="shared" si="42"/>
        <v>0</v>
      </c>
      <c r="AE59" s="20">
        <f t="shared" si="42"/>
        <v>0</v>
      </c>
      <c r="AF59" s="20">
        <f t="shared" si="42"/>
        <v>0</v>
      </c>
      <c r="AG59" s="20">
        <f t="shared" si="42"/>
        <v>0</v>
      </c>
      <c r="AH59" s="20">
        <f t="shared" ref="AH59:BN59" si="43">ROUND(AH30-AH58,2)</f>
        <v>0</v>
      </c>
      <c r="AI59" s="20">
        <f t="shared" si="43"/>
        <v>0</v>
      </c>
      <c r="AJ59" s="20">
        <f t="shared" si="43"/>
        <v>0</v>
      </c>
      <c r="AK59" s="20">
        <f t="shared" si="43"/>
        <v>0</v>
      </c>
      <c r="AL59" s="20">
        <f t="shared" si="43"/>
        <v>0</v>
      </c>
      <c r="AM59" s="20">
        <f t="shared" si="43"/>
        <v>0</v>
      </c>
      <c r="AN59" s="20">
        <f t="shared" si="43"/>
        <v>0</v>
      </c>
      <c r="AO59" s="20">
        <f t="shared" si="43"/>
        <v>0</v>
      </c>
      <c r="AP59" s="20">
        <f t="shared" si="43"/>
        <v>0</v>
      </c>
      <c r="AQ59" s="20">
        <f t="shared" si="43"/>
        <v>0</v>
      </c>
      <c r="AR59" s="20">
        <f t="shared" si="43"/>
        <v>0</v>
      </c>
      <c r="AS59" s="20">
        <f t="shared" si="43"/>
        <v>0</v>
      </c>
      <c r="AT59" s="20">
        <f t="shared" si="43"/>
        <v>0</v>
      </c>
      <c r="AU59" s="20">
        <f t="shared" si="43"/>
        <v>0</v>
      </c>
      <c r="AV59" s="20">
        <f t="shared" si="43"/>
        <v>0</v>
      </c>
      <c r="AW59" s="20">
        <f t="shared" si="43"/>
        <v>0</v>
      </c>
      <c r="AX59" s="20">
        <f t="shared" si="43"/>
        <v>0</v>
      </c>
      <c r="AY59" s="20">
        <f t="shared" si="43"/>
        <v>0</v>
      </c>
      <c r="AZ59" s="20">
        <f t="shared" si="43"/>
        <v>0</v>
      </c>
      <c r="BA59" s="20">
        <f t="shared" si="43"/>
        <v>0</v>
      </c>
      <c r="BB59" s="20">
        <f t="shared" si="43"/>
        <v>0</v>
      </c>
      <c r="BC59" s="20">
        <f t="shared" si="43"/>
        <v>0</v>
      </c>
      <c r="BD59" s="20">
        <f t="shared" si="43"/>
        <v>0</v>
      </c>
      <c r="BE59" s="20">
        <f t="shared" si="43"/>
        <v>0</v>
      </c>
      <c r="BF59" s="20">
        <f t="shared" si="43"/>
        <v>0</v>
      </c>
      <c r="BG59" s="20">
        <f t="shared" si="43"/>
        <v>0</v>
      </c>
      <c r="BH59" s="20">
        <f t="shared" si="43"/>
        <v>0</v>
      </c>
      <c r="BI59" s="20">
        <f t="shared" si="43"/>
        <v>0</v>
      </c>
      <c r="BJ59" s="20">
        <f t="shared" si="43"/>
        <v>0</v>
      </c>
      <c r="BK59" s="20">
        <f t="shared" si="43"/>
        <v>0</v>
      </c>
      <c r="BL59" s="20">
        <f t="shared" si="43"/>
        <v>0</v>
      </c>
      <c r="BM59" s="20">
        <f t="shared" si="43"/>
        <v>0</v>
      </c>
      <c r="BN59" s="20">
        <f t="shared" si="43"/>
        <v>0</v>
      </c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30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30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30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30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</row>
    <row r="60" spans="1:147" ht="13">
      <c r="A60" s="2" t="s">
        <v>724</v>
      </c>
      <c r="B60" s="2" t="s">
        <v>685</v>
      </c>
      <c r="C60" s="2" t="s">
        <v>59</v>
      </c>
      <c r="D60" s="2" t="s">
        <v>62</v>
      </c>
      <c r="E60" s="7" t="s">
        <v>294</v>
      </c>
      <c r="F60" s="20">
        <f t="shared" ref="F60:AG60" si="44">ROUND(SUM(F$61:F$63),2)</f>
        <v>0</v>
      </c>
      <c r="G60" s="20">
        <f t="shared" si="44"/>
        <v>0</v>
      </c>
      <c r="H60" s="20">
        <f t="shared" si="44"/>
        <v>0</v>
      </c>
      <c r="I60" s="20">
        <f t="shared" si="44"/>
        <v>0</v>
      </c>
      <c r="J60" s="20">
        <f t="shared" si="44"/>
        <v>0</v>
      </c>
      <c r="K60" s="20">
        <f t="shared" si="44"/>
        <v>0</v>
      </c>
      <c r="L60" s="20">
        <f t="shared" si="44"/>
        <v>0</v>
      </c>
      <c r="M60" s="20">
        <f t="shared" si="44"/>
        <v>0</v>
      </c>
      <c r="N60" s="20">
        <f t="shared" si="44"/>
        <v>0</v>
      </c>
      <c r="O60" s="20">
        <f t="shared" si="44"/>
        <v>0</v>
      </c>
      <c r="P60" s="20">
        <f t="shared" si="44"/>
        <v>0</v>
      </c>
      <c r="Q60" s="20">
        <f t="shared" si="44"/>
        <v>0</v>
      </c>
      <c r="R60" s="20">
        <f t="shared" si="44"/>
        <v>0</v>
      </c>
      <c r="S60" s="20">
        <f t="shared" si="44"/>
        <v>0</v>
      </c>
      <c r="T60" s="20">
        <f t="shared" si="44"/>
        <v>0</v>
      </c>
      <c r="U60" s="20">
        <f t="shared" si="44"/>
        <v>0</v>
      </c>
      <c r="V60" s="20">
        <f t="shared" si="44"/>
        <v>0</v>
      </c>
      <c r="W60" s="20">
        <f t="shared" si="44"/>
        <v>0</v>
      </c>
      <c r="X60" s="20">
        <f t="shared" si="44"/>
        <v>0</v>
      </c>
      <c r="Y60" s="20">
        <f t="shared" si="44"/>
        <v>0</v>
      </c>
      <c r="Z60" s="20">
        <f t="shared" si="44"/>
        <v>0</v>
      </c>
      <c r="AA60" s="20">
        <f t="shared" si="44"/>
        <v>0</v>
      </c>
      <c r="AB60" s="20">
        <f t="shared" si="44"/>
        <v>0</v>
      </c>
      <c r="AC60" s="20">
        <f t="shared" si="44"/>
        <v>0</v>
      </c>
      <c r="AD60" s="20">
        <f t="shared" si="44"/>
        <v>0</v>
      </c>
      <c r="AE60" s="20">
        <f t="shared" si="44"/>
        <v>0</v>
      </c>
      <c r="AF60" s="20">
        <f t="shared" si="44"/>
        <v>0</v>
      </c>
      <c r="AG60" s="20">
        <f t="shared" si="44"/>
        <v>0</v>
      </c>
      <c r="AH60" s="20">
        <f>ROUND(SUM(AH$61:AH$63),2)</f>
        <v>0</v>
      </c>
      <c r="AI60" s="20">
        <f t="shared" ref="AI60:BN60" si="45">ROUND(SUM(AI$61:AI$63),2)</f>
        <v>0</v>
      </c>
      <c r="AJ60" s="20">
        <f t="shared" si="45"/>
        <v>0</v>
      </c>
      <c r="AK60" s="20">
        <f t="shared" si="45"/>
        <v>0</v>
      </c>
      <c r="AL60" s="20">
        <f t="shared" si="45"/>
        <v>0</v>
      </c>
      <c r="AM60" s="20">
        <f t="shared" si="45"/>
        <v>0</v>
      </c>
      <c r="AN60" s="20">
        <f t="shared" si="45"/>
        <v>0</v>
      </c>
      <c r="AO60" s="20">
        <f t="shared" si="45"/>
        <v>0</v>
      </c>
      <c r="AP60" s="20">
        <f t="shared" si="45"/>
        <v>0</v>
      </c>
      <c r="AQ60" s="20">
        <f t="shared" si="45"/>
        <v>0</v>
      </c>
      <c r="AR60" s="20">
        <f t="shared" si="45"/>
        <v>0</v>
      </c>
      <c r="AS60" s="20">
        <f t="shared" si="45"/>
        <v>0</v>
      </c>
      <c r="AT60" s="20">
        <f t="shared" si="45"/>
        <v>0</v>
      </c>
      <c r="AU60" s="20">
        <f t="shared" si="45"/>
        <v>0</v>
      </c>
      <c r="AV60" s="20">
        <f t="shared" si="45"/>
        <v>0</v>
      </c>
      <c r="AW60" s="20">
        <f t="shared" si="45"/>
        <v>0</v>
      </c>
      <c r="AX60" s="20">
        <f t="shared" si="45"/>
        <v>0</v>
      </c>
      <c r="AY60" s="20">
        <f t="shared" si="45"/>
        <v>0</v>
      </c>
      <c r="AZ60" s="20">
        <f t="shared" si="45"/>
        <v>0</v>
      </c>
      <c r="BA60" s="20">
        <f t="shared" si="45"/>
        <v>0</v>
      </c>
      <c r="BB60" s="20">
        <f t="shared" si="45"/>
        <v>0</v>
      </c>
      <c r="BC60" s="20">
        <f t="shared" si="45"/>
        <v>0</v>
      </c>
      <c r="BD60" s="20">
        <f t="shared" si="45"/>
        <v>0</v>
      </c>
      <c r="BE60" s="20">
        <f t="shared" si="45"/>
        <v>0</v>
      </c>
      <c r="BF60" s="20">
        <f t="shared" si="45"/>
        <v>0</v>
      </c>
      <c r="BG60" s="20">
        <f t="shared" si="45"/>
        <v>0</v>
      </c>
      <c r="BH60" s="20">
        <f t="shared" si="45"/>
        <v>0</v>
      </c>
      <c r="BI60" s="20">
        <f t="shared" si="45"/>
        <v>0</v>
      </c>
      <c r="BJ60" s="20">
        <f t="shared" si="45"/>
        <v>0</v>
      </c>
      <c r="BK60" s="20">
        <f t="shared" si="45"/>
        <v>0</v>
      </c>
      <c r="BL60" s="20">
        <f t="shared" si="45"/>
        <v>0</v>
      </c>
      <c r="BM60" s="20">
        <f t="shared" si="45"/>
        <v>0</v>
      </c>
      <c r="BN60" s="20">
        <f t="shared" si="45"/>
        <v>0</v>
      </c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30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30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30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30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</row>
    <row r="61" spans="1:147" ht="13">
      <c r="A61" s="2" t="s">
        <v>725</v>
      </c>
      <c r="B61" s="2" t="s">
        <v>724</v>
      </c>
      <c r="C61" s="2" t="s">
        <v>295</v>
      </c>
      <c r="D61" s="2" t="s">
        <v>240</v>
      </c>
      <c r="E61" s="11" t="s">
        <v>296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</row>
    <row r="62" spans="1:147" ht="13">
      <c r="A62" s="2" t="s">
        <v>726</v>
      </c>
      <c r="B62" s="2" t="s">
        <v>724</v>
      </c>
      <c r="C62" s="2" t="s">
        <v>297</v>
      </c>
      <c r="D62" s="2" t="s">
        <v>242</v>
      </c>
      <c r="E62" s="6" t="s">
        <v>298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</row>
    <row r="63" spans="1:147" ht="13">
      <c r="A63" s="2" t="s">
        <v>727</v>
      </c>
      <c r="B63" s="2" t="s">
        <v>724</v>
      </c>
      <c r="C63" s="2" t="s">
        <v>299</v>
      </c>
      <c r="D63" s="2" t="s">
        <v>256</v>
      </c>
      <c r="E63" s="6" t="s">
        <v>300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</row>
    <row r="64" spans="1:147" ht="13">
      <c r="A64" s="2" t="s">
        <v>728</v>
      </c>
      <c r="B64" s="2" t="s">
        <v>685</v>
      </c>
      <c r="C64" s="2" t="s">
        <v>61</v>
      </c>
      <c r="D64" s="2" t="s">
        <v>64</v>
      </c>
      <c r="E64" s="9" t="s">
        <v>301</v>
      </c>
      <c r="F64" s="20">
        <f t="shared" ref="F64:BN64" si="46">ROUND(F59-F60,2)</f>
        <v>0</v>
      </c>
      <c r="G64" s="20">
        <f t="shared" si="46"/>
        <v>0</v>
      </c>
      <c r="H64" s="20">
        <f t="shared" si="46"/>
        <v>0</v>
      </c>
      <c r="I64" s="20">
        <f t="shared" si="46"/>
        <v>0</v>
      </c>
      <c r="J64" s="20">
        <f t="shared" si="46"/>
        <v>0</v>
      </c>
      <c r="K64" s="20">
        <f t="shared" si="46"/>
        <v>0</v>
      </c>
      <c r="L64" s="20">
        <f t="shared" si="46"/>
        <v>0</v>
      </c>
      <c r="M64" s="20">
        <f t="shared" si="46"/>
        <v>0</v>
      </c>
      <c r="N64" s="20">
        <f t="shared" si="46"/>
        <v>0</v>
      </c>
      <c r="O64" s="20">
        <f t="shared" si="46"/>
        <v>0</v>
      </c>
      <c r="P64" s="20">
        <f t="shared" si="46"/>
        <v>0</v>
      </c>
      <c r="Q64" s="20">
        <f t="shared" si="46"/>
        <v>0</v>
      </c>
      <c r="R64" s="20">
        <f t="shared" si="46"/>
        <v>0</v>
      </c>
      <c r="S64" s="20">
        <f t="shared" si="46"/>
        <v>0</v>
      </c>
      <c r="T64" s="20">
        <f t="shared" si="46"/>
        <v>0</v>
      </c>
      <c r="U64" s="20">
        <f t="shared" si="46"/>
        <v>0</v>
      </c>
      <c r="V64" s="20">
        <f t="shared" si="46"/>
        <v>0</v>
      </c>
      <c r="W64" s="20">
        <f t="shared" si="46"/>
        <v>0</v>
      </c>
      <c r="X64" s="20">
        <f t="shared" si="46"/>
        <v>0</v>
      </c>
      <c r="Y64" s="20">
        <f t="shared" si="46"/>
        <v>0</v>
      </c>
      <c r="Z64" s="20">
        <f t="shared" si="46"/>
        <v>0</v>
      </c>
      <c r="AA64" s="20">
        <f t="shared" si="46"/>
        <v>0</v>
      </c>
      <c r="AB64" s="20">
        <f t="shared" si="46"/>
        <v>0</v>
      </c>
      <c r="AC64" s="20">
        <f t="shared" si="46"/>
        <v>0</v>
      </c>
      <c r="AD64" s="20">
        <f t="shared" si="46"/>
        <v>0</v>
      </c>
      <c r="AE64" s="20">
        <f t="shared" si="46"/>
        <v>0</v>
      </c>
      <c r="AF64" s="20">
        <f t="shared" si="46"/>
        <v>0</v>
      </c>
      <c r="AG64" s="20">
        <f t="shared" si="46"/>
        <v>0</v>
      </c>
      <c r="AH64" s="20">
        <f t="shared" si="46"/>
        <v>0</v>
      </c>
      <c r="AI64" s="20">
        <f t="shared" si="46"/>
        <v>0</v>
      </c>
      <c r="AJ64" s="20">
        <f t="shared" si="46"/>
        <v>0</v>
      </c>
      <c r="AK64" s="20">
        <f t="shared" si="46"/>
        <v>0</v>
      </c>
      <c r="AL64" s="20">
        <f t="shared" si="46"/>
        <v>0</v>
      </c>
      <c r="AM64" s="20">
        <f t="shared" si="46"/>
        <v>0</v>
      </c>
      <c r="AN64" s="20">
        <f t="shared" si="46"/>
        <v>0</v>
      </c>
      <c r="AO64" s="20">
        <f t="shared" si="46"/>
        <v>0</v>
      </c>
      <c r="AP64" s="20">
        <f t="shared" si="46"/>
        <v>0</v>
      </c>
      <c r="AQ64" s="20">
        <f t="shared" si="46"/>
        <v>0</v>
      </c>
      <c r="AR64" s="20">
        <f t="shared" si="46"/>
        <v>0</v>
      </c>
      <c r="AS64" s="20">
        <f t="shared" si="46"/>
        <v>0</v>
      </c>
      <c r="AT64" s="20">
        <f t="shared" si="46"/>
        <v>0</v>
      </c>
      <c r="AU64" s="20">
        <f t="shared" si="46"/>
        <v>0</v>
      </c>
      <c r="AV64" s="20">
        <f t="shared" si="46"/>
        <v>0</v>
      </c>
      <c r="AW64" s="20">
        <f t="shared" si="46"/>
        <v>0</v>
      </c>
      <c r="AX64" s="20">
        <f t="shared" si="46"/>
        <v>0</v>
      </c>
      <c r="AY64" s="20">
        <f t="shared" si="46"/>
        <v>0</v>
      </c>
      <c r="AZ64" s="20">
        <f t="shared" si="46"/>
        <v>0</v>
      </c>
      <c r="BA64" s="20">
        <f t="shared" si="46"/>
        <v>0</v>
      </c>
      <c r="BB64" s="20">
        <f t="shared" si="46"/>
        <v>0</v>
      </c>
      <c r="BC64" s="20">
        <f t="shared" si="46"/>
        <v>0</v>
      </c>
      <c r="BD64" s="20">
        <f t="shared" si="46"/>
        <v>0</v>
      </c>
      <c r="BE64" s="20">
        <f t="shared" si="46"/>
        <v>0</v>
      </c>
      <c r="BF64" s="20">
        <f t="shared" si="46"/>
        <v>0</v>
      </c>
      <c r="BG64" s="20">
        <f t="shared" si="46"/>
        <v>0</v>
      </c>
      <c r="BH64" s="20">
        <f t="shared" si="46"/>
        <v>0</v>
      </c>
      <c r="BI64" s="20">
        <f t="shared" si="46"/>
        <v>0</v>
      </c>
      <c r="BJ64" s="20">
        <f t="shared" si="46"/>
        <v>0</v>
      </c>
      <c r="BK64" s="20">
        <f t="shared" si="46"/>
        <v>0</v>
      </c>
      <c r="BL64" s="20">
        <f t="shared" si="46"/>
        <v>0</v>
      </c>
      <c r="BM64" s="20">
        <f t="shared" si="46"/>
        <v>0</v>
      </c>
      <c r="BN64" s="20">
        <f t="shared" si="46"/>
        <v>0</v>
      </c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0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30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30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30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</row>
    <row r="65" spans="1:147" ht="13">
      <c r="A65" s="2" t="s">
        <v>729</v>
      </c>
      <c r="B65" s="2" t="s">
        <v>685</v>
      </c>
      <c r="C65" s="2" t="s">
        <v>63</v>
      </c>
      <c r="D65" s="2" t="s">
        <v>66</v>
      </c>
      <c r="E65" s="7" t="s">
        <v>302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30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30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30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30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</row>
    <row r="66" spans="1:147" ht="13">
      <c r="A66" s="2" t="s">
        <v>730</v>
      </c>
      <c r="B66" s="2" t="s">
        <v>685</v>
      </c>
      <c r="C66" s="2" t="s">
        <v>65</v>
      </c>
      <c r="D66" s="2" t="s">
        <v>238</v>
      </c>
      <c r="E66" s="7" t="s">
        <v>303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2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</row>
    <row r="67" spans="1:147" ht="13">
      <c r="A67" s="2" t="s">
        <v>731</v>
      </c>
      <c r="B67" s="2" t="s">
        <v>730</v>
      </c>
      <c r="C67" s="2" t="s">
        <v>107</v>
      </c>
      <c r="D67" s="2" t="s">
        <v>240</v>
      </c>
      <c r="E67" s="6" t="s">
        <v>304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</row>
    <row r="68" spans="1:147" ht="13">
      <c r="A68" s="2" t="s">
        <v>732</v>
      </c>
      <c r="B68" s="2" t="s">
        <v>730</v>
      </c>
      <c r="C68" s="2" t="s">
        <v>108</v>
      </c>
      <c r="D68" s="2" t="s">
        <v>242</v>
      </c>
      <c r="E68" s="6" t="s">
        <v>305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</row>
    <row r="69" spans="1:147" ht="13">
      <c r="A69" s="2" t="s">
        <v>733</v>
      </c>
      <c r="B69" s="2" t="s">
        <v>730</v>
      </c>
      <c r="C69" s="2" t="s">
        <v>109</v>
      </c>
      <c r="D69" s="2" t="s">
        <v>306</v>
      </c>
      <c r="E69" s="11" t="s">
        <v>307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</row>
    <row r="70" spans="1:147" ht="13">
      <c r="A70" s="2" t="s">
        <v>734</v>
      </c>
      <c r="B70" s="2" t="s">
        <v>730</v>
      </c>
      <c r="C70" s="2" t="s">
        <v>110</v>
      </c>
      <c r="D70" s="2" t="s">
        <v>308</v>
      </c>
      <c r="E70" s="6" t="s">
        <v>309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</row>
    <row r="71" spans="1:147" ht="13">
      <c r="A71" s="2" t="s">
        <v>735</v>
      </c>
      <c r="B71" s="2" t="s">
        <v>730</v>
      </c>
      <c r="C71" s="2" t="s">
        <v>111</v>
      </c>
      <c r="D71" s="2" t="s">
        <v>25</v>
      </c>
      <c r="E71" s="11" t="s">
        <v>310</v>
      </c>
      <c r="F71" s="20">
        <f t="shared" ref="F71:AG71" si="47">ROUND(SUM(F$67:F$70),2)</f>
        <v>0</v>
      </c>
      <c r="G71" s="20">
        <f t="shared" si="47"/>
        <v>0</v>
      </c>
      <c r="H71" s="20">
        <f t="shared" si="47"/>
        <v>0</v>
      </c>
      <c r="I71" s="20">
        <f t="shared" si="47"/>
        <v>0</v>
      </c>
      <c r="J71" s="20">
        <f t="shared" si="47"/>
        <v>0</v>
      </c>
      <c r="K71" s="20">
        <f t="shared" si="47"/>
        <v>0</v>
      </c>
      <c r="L71" s="20">
        <f t="shared" si="47"/>
        <v>0</v>
      </c>
      <c r="M71" s="20">
        <f t="shared" si="47"/>
        <v>0</v>
      </c>
      <c r="N71" s="20">
        <f t="shared" si="47"/>
        <v>0</v>
      </c>
      <c r="O71" s="20">
        <f t="shared" si="47"/>
        <v>0</v>
      </c>
      <c r="P71" s="20">
        <f t="shared" si="47"/>
        <v>0</v>
      </c>
      <c r="Q71" s="20">
        <f t="shared" si="47"/>
        <v>0</v>
      </c>
      <c r="R71" s="20">
        <f t="shared" si="47"/>
        <v>0</v>
      </c>
      <c r="S71" s="20">
        <f t="shared" si="47"/>
        <v>0</v>
      </c>
      <c r="T71" s="20">
        <f t="shared" si="47"/>
        <v>0</v>
      </c>
      <c r="U71" s="20">
        <f t="shared" si="47"/>
        <v>0</v>
      </c>
      <c r="V71" s="20">
        <f t="shared" si="47"/>
        <v>0</v>
      </c>
      <c r="W71" s="20">
        <f t="shared" si="47"/>
        <v>0</v>
      </c>
      <c r="X71" s="20">
        <f t="shared" si="47"/>
        <v>0</v>
      </c>
      <c r="Y71" s="20">
        <f t="shared" si="47"/>
        <v>0</v>
      </c>
      <c r="Z71" s="20">
        <f t="shared" si="47"/>
        <v>0</v>
      </c>
      <c r="AA71" s="20">
        <f t="shared" si="47"/>
        <v>0</v>
      </c>
      <c r="AB71" s="20">
        <f t="shared" si="47"/>
        <v>0</v>
      </c>
      <c r="AC71" s="20">
        <f t="shared" si="47"/>
        <v>0</v>
      </c>
      <c r="AD71" s="20">
        <f t="shared" si="47"/>
        <v>0</v>
      </c>
      <c r="AE71" s="20">
        <f t="shared" si="47"/>
        <v>0</v>
      </c>
      <c r="AF71" s="20">
        <f t="shared" si="47"/>
        <v>0</v>
      </c>
      <c r="AG71" s="20">
        <f t="shared" si="47"/>
        <v>0</v>
      </c>
      <c r="AH71" s="20">
        <f>ROUND(SUM(AH$67:AH$70),2)</f>
        <v>0</v>
      </c>
      <c r="AI71" s="20">
        <f t="shared" ref="AI71:BN71" si="48">ROUND(SUM(AI$67:AI$70),2)</f>
        <v>0</v>
      </c>
      <c r="AJ71" s="20">
        <f t="shared" si="48"/>
        <v>0</v>
      </c>
      <c r="AK71" s="20">
        <f t="shared" si="48"/>
        <v>0</v>
      </c>
      <c r="AL71" s="20">
        <f t="shared" si="48"/>
        <v>0</v>
      </c>
      <c r="AM71" s="20">
        <f t="shared" si="48"/>
        <v>0</v>
      </c>
      <c r="AN71" s="20">
        <f t="shared" si="48"/>
        <v>0</v>
      </c>
      <c r="AO71" s="20">
        <f t="shared" si="48"/>
        <v>0</v>
      </c>
      <c r="AP71" s="20">
        <f t="shared" si="48"/>
        <v>0</v>
      </c>
      <c r="AQ71" s="20">
        <f t="shared" si="48"/>
        <v>0</v>
      </c>
      <c r="AR71" s="20">
        <f t="shared" si="48"/>
        <v>0</v>
      </c>
      <c r="AS71" s="20">
        <f t="shared" si="48"/>
        <v>0</v>
      </c>
      <c r="AT71" s="20">
        <f t="shared" si="48"/>
        <v>0</v>
      </c>
      <c r="AU71" s="20">
        <f t="shared" si="48"/>
        <v>0</v>
      </c>
      <c r="AV71" s="20">
        <f t="shared" si="48"/>
        <v>0</v>
      </c>
      <c r="AW71" s="20">
        <f t="shared" si="48"/>
        <v>0</v>
      </c>
      <c r="AX71" s="20">
        <f t="shared" si="48"/>
        <v>0</v>
      </c>
      <c r="AY71" s="20">
        <f t="shared" si="48"/>
        <v>0</v>
      </c>
      <c r="AZ71" s="20">
        <f t="shared" si="48"/>
        <v>0</v>
      </c>
      <c r="BA71" s="20">
        <f t="shared" si="48"/>
        <v>0</v>
      </c>
      <c r="BB71" s="20">
        <f t="shared" si="48"/>
        <v>0</v>
      </c>
      <c r="BC71" s="20">
        <f t="shared" si="48"/>
        <v>0</v>
      </c>
      <c r="BD71" s="20">
        <f t="shared" si="48"/>
        <v>0</v>
      </c>
      <c r="BE71" s="20">
        <f t="shared" si="48"/>
        <v>0</v>
      </c>
      <c r="BF71" s="20">
        <f t="shared" si="48"/>
        <v>0</v>
      </c>
      <c r="BG71" s="20">
        <f t="shared" si="48"/>
        <v>0</v>
      </c>
      <c r="BH71" s="20">
        <f t="shared" si="48"/>
        <v>0</v>
      </c>
      <c r="BI71" s="20">
        <f t="shared" si="48"/>
        <v>0</v>
      </c>
      <c r="BJ71" s="20">
        <f t="shared" si="48"/>
        <v>0</v>
      </c>
      <c r="BK71" s="20">
        <f t="shared" si="48"/>
        <v>0</v>
      </c>
      <c r="BL71" s="20">
        <f t="shared" si="48"/>
        <v>0</v>
      </c>
      <c r="BM71" s="20">
        <f t="shared" si="48"/>
        <v>0</v>
      </c>
      <c r="BN71" s="20">
        <f t="shared" si="48"/>
        <v>0</v>
      </c>
      <c r="BO71" s="2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</row>
    <row r="72" spans="1:147" ht="13">
      <c r="A72" s="2" t="s">
        <v>736</v>
      </c>
      <c r="B72" s="2" t="s">
        <v>730</v>
      </c>
      <c r="C72" s="2" t="s">
        <v>112</v>
      </c>
      <c r="D72" s="2" t="s">
        <v>25</v>
      </c>
      <c r="E72" s="6" t="s">
        <v>311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2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</row>
    <row r="73" spans="1:147" ht="13">
      <c r="A73" s="2" t="s">
        <v>737</v>
      </c>
      <c r="B73" s="2" t="s">
        <v>736</v>
      </c>
      <c r="C73" s="2" t="s">
        <v>312</v>
      </c>
      <c r="D73" s="2" t="s">
        <v>240</v>
      </c>
      <c r="E73" s="24" t="s">
        <v>313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</row>
    <row r="74" spans="1:147" ht="13">
      <c r="A74" s="2" t="s">
        <v>738</v>
      </c>
      <c r="B74" s="2" t="s">
        <v>736</v>
      </c>
      <c r="C74" s="2" t="s">
        <v>314</v>
      </c>
      <c r="D74" s="2" t="s">
        <v>25</v>
      </c>
      <c r="E74" s="23" t="s">
        <v>315</v>
      </c>
      <c r="F74" s="20">
        <f t="shared" ref="F74:AG74" si="49">ROUND(SUM(F$73),2)</f>
        <v>0</v>
      </c>
      <c r="G74" s="20">
        <f t="shared" si="49"/>
        <v>0</v>
      </c>
      <c r="H74" s="20">
        <f t="shared" si="49"/>
        <v>0</v>
      </c>
      <c r="I74" s="20">
        <f t="shared" si="49"/>
        <v>0</v>
      </c>
      <c r="J74" s="20">
        <f t="shared" si="49"/>
        <v>0</v>
      </c>
      <c r="K74" s="20">
        <f t="shared" si="49"/>
        <v>0</v>
      </c>
      <c r="L74" s="20">
        <f t="shared" si="49"/>
        <v>0</v>
      </c>
      <c r="M74" s="20">
        <f t="shared" si="49"/>
        <v>0</v>
      </c>
      <c r="N74" s="20">
        <f t="shared" si="49"/>
        <v>0</v>
      </c>
      <c r="O74" s="20">
        <f t="shared" si="49"/>
        <v>0</v>
      </c>
      <c r="P74" s="20">
        <f t="shared" si="49"/>
        <v>0</v>
      </c>
      <c r="Q74" s="20">
        <f t="shared" si="49"/>
        <v>0</v>
      </c>
      <c r="R74" s="20">
        <f t="shared" si="49"/>
        <v>0</v>
      </c>
      <c r="S74" s="20">
        <f t="shared" si="49"/>
        <v>0</v>
      </c>
      <c r="T74" s="20">
        <f t="shared" si="49"/>
        <v>0</v>
      </c>
      <c r="U74" s="20">
        <f t="shared" si="49"/>
        <v>0</v>
      </c>
      <c r="V74" s="20">
        <f t="shared" si="49"/>
        <v>0</v>
      </c>
      <c r="W74" s="20">
        <f t="shared" si="49"/>
        <v>0</v>
      </c>
      <c r="X74" s="20">
        <f t="shared" si="49"/>
        <v>0</v>
      </c>
      <c r="Y74" s="20">
        <f t="shared" si="49"/>
        <v>0</v>
      </c>
      <c r="Z74" s="20">
        <f t="shared" si="49"/>
        <v>0</v>
      </c>
      <c r="AA74" s="20">
        <f t="shared" si="49"/>
        <v>0</v>
      </c>
      <c r="AB74" s="20">
        <f t="shared" si="49"/>
        <v>0</v>
      </c>
      <c r="AC74" s="20">
        <f t="shared" si="49"/>
        <v>0</v>
      </c>
      <c r="AD74" s="20">
        <f t="shared" si="49"/>
        <v>0</v>
      </c>
      <c r="AE74" s="20">
        <f t="shared" si="49"/>
        <v>0</v>
      </c>
      <c r="AF74" s="20">
        <f t="shared" si="49"/>
        <v>0</v>
      </c>
      <c r="AG74" s="20">
        <f t="shared" si="49"/>
        <v>0</v>
      </c>
      <c r="AH74" s="20">
        <f>ROUND(SUM(AH$73),2)</f>
        <v>0</v>
      </c>
      <c r="AI74" s="20">
        <f t="shared" ref="AI74:BN74" si="50">ROUND(SUM(AI$73),2)</f>
        <v>0</v>
      </c>
      <c r="AJ74" s="20">
        <f t="shared" si="50"/>
        <v>0</v>
      </c>
      <c r="AK74" s="20">
        <f t="shared" si="50"/>
        <v>0</v>
      </c>
      <c r="AL74" s="20">
        <f t="shared" si="50"/>
        <v>0</v>
      </c>
      <c r="AM74" s="20">
        <f t="shared" si="50"/>
        <v>0</v>
      </c>
      <c r="AN74" s="20">
        <f t="shared" si="50"/>
        <v>0</v>
      </c>
      <c r="AO74" s="20">
        <f t="shared" si="50"/>
        <v>0</v>
      </c>
      <c r="AP74" s="20">
        <f t="shared" si="50"/>
        <v>0</v>
      </c>
      <c r="AQ74" s="20">
        <f t="shared" si="50"/>
        <v>0</v>
      </c>
      <c r="AR74" s="20">
        <f t="shared" si="50"/>
        <v>0</v>
      </c>
      <c r="AS74" s="20">
        <f t="shared" si="50"/>
        <v>0</v>
      </c>
      <c r="AT74" s="20">
        <f t="shared" si="50"/>
        <v>0</v>
      </c>
      <c r="AU74" s="20">
        <f t="shared" si="50"/>
        <v>0</v>
      </c>
      <c r="AV74" s="20">
        <f t="shared" si="50"/>
        <v>0</v>
      </c>
      <c r="AW74" s="20">
        <f t="shared" si="50"/>
        <v>0</v>
      </c>
      <c r="AX74" s="20">
        <f t="shared" si="50"/>
        <v>0</v>
      </c>
      <c r="AY74" s="20">
        <f t="shared" si="50"/>
        <v>0</v>
      </c>
      <c r="AZ74" s="20">
        <f t="shared" si="50"/>
        <v>0</v>
      </c>
      <c r="BA74" s="20">
        <f t="shared" si="50"/>
        <v>0</v>
      </c>
      <c r="BB74" s="20">
        <f t="shared" si="50"/>
        <v>0</v>
      </c>
      <c r="BC74" s="20">
        <f t="shared" si="50"/>
        <v>0</v>
      </c>
      <c r="BD74" s="20">
        <f t="shared" si="50"/>
        <v>0</v>
      </c>
      <c r="BE74" s="20">
        <f t="shared" si="50"/>
        <v>0</v>
      </c>
      <c r="BF74" s="20">
        <f t="shared" si="50"/>
        <v>0</v>
      </c>
      <c r="BG74" s="20">
        <f t="shared" si="50"/>
        <v>0</v>
      </c>
      <c r="BH74" s="20">
        <f t="shared" si="50"/>
        <v>0</v>
      </c>
      <c r="BI74" s="20">
        <f t="shared" si="50"/>
        <v>0</v>
      </c>
      <c r="BJ74" s="20">
        <f t="shared" si="50"/>
        <v>0</v>
      </c>
      <c r="BK74" s="20">
        <f t="shared" si="50"/>
        <v>0</v>
      </c>
      <c r="BL74" s="20">
        <f t="shared" si="50"/>
        <v>0</v>
      </c>
      <c r="BM74" s="20">
        <f t="shared" si="50"/>
        <v>0</v>
      </c>
      <c r="BN74" s="20">
        <f t="shared" si="50"/>
        <v>0</v>
      </c>
      <c r="BO74" s="2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</row>
    <row r="75" spans="1:147" ht="13">
      <c r="A75" s="2" t="s">
        <v>739</v>
      </c>
      <c r="B75" s="2" t="s">
        <v>736</v>
      </c>
      <c r="C75" s="2" t="s">
        <v>316</v>
      </c>
      <c r="D75" s="2" t="s">
        <v>25</v>
      </c>
      <c r="E75" s="24" t="s">
        <v>317</v>
      </c>
      <c r="F75" s="20">
        <f t="shared" ref="F75:AG75" si="51">ROUND(F71+F74,2)</f>
        <v>0</v>
      </c>
      <c r="G75" s="20">
        <f t="shared" si="51"/>
        <v>0</v>
      </c>
      <c r="H75" s="20">
        <f t="shared" si="51"/>
        <v>0</v>
      </c>
      <c r="I75" s="20">
        <f t="shared" si="51"/>
        <v>0</v>
      </c>
      <c r="J75" s="20">
        <f t="shared" si="51"/>
        <v>0</v>
      </c>
      <c r="K75" s="20">
        <f t="shared" si="51"/>
        <v>0</v>
      </c>
      <c r="L75" s="20">
        <f t="shared" si="51"/>
        <v>0</v>
      </c>
      <c r="M75" s="20">
        <f t="shared" si="51"/>
        <v>0</v>
      </c>
      <c r="N75" s="20">
        <f t="shared" si="51"/>
        <v>0</v>
      </c>
      <c r="O75" s="20">
        <f t="shared" si="51"/>
        <v>0</v>
      </c>
      <c r="P75" s="20">
        <f t="shared" si="51"/>
        <v>0</v>
      </c>
      <c r="Q75" s="20">
        <f t="shared" si="51"/>
        <v>0</v>
      </c>
      <c r="R75" s="20">
        <f t="shared" si="51"/>
        <v>0</v>
      </c>
      <c r="S75" s="20">
        <f t="shared" si="51"/>
        <v>0</v>
      </c>
      <c r="T75" s="20">
        <f t="shared" si="51"/>
        <v>0</v>
      </c>
      <c r="U75" s="20">
        <f t="shared" si="51"/>
        <v>0</v>
      </c>
      <c r="V75" s="20">
        <f t="shared" si="51"/>
        <v>0</v>
      </c>
      <c r="W75" s="20">
        <f t="shared" si="51"/>
        <v>0</v>
      </c>
      <c r="X75" s="20">
        <f t="shared" si="51"/>
        <v>0</v>
      </c>
      <c r="Y75" s="20">
        <f t="shared" si="51"/>
        <v>0</v>
      </c>
      <c r="Z75" s="20">
        <f t="shared" si="51"/>
        <v>0</v>
      </c>
      <c r="AA75" s="20">
        <f t="shared" si="51"/>
        <v>0</v>
      </c>
      <c r="AB75" s="20">
        <f t="shared" si="51"/>
        <v>0</v>
      </c>
      <c r="AC75" s="20">
        <f t="shared" si="51"/>
        <v>0</v>
      </c>
      <c r="AD75" s="20">
        <f t="shared" si="51"/>
        <v>0</v>
      </c>
      <c r="AE75" s="20">
        <f t="shared" si="51"/>
        <v>0</v>
      </c>
      <c r="AF75" s="20">
        <f t="shared" si="51"/>
        <v>0</v>
      </c>
      <c r="AG75" s="20">
        <f t="shared" si="51"/>
        <v>0</v>
      </c>
      <c r="AH75" s="20">
        <f t="shared" ref="AH75:BN75" si="52">ROUND(AH71+AH74,2)</f>
        <v>0</v>
      </c>
      <c r="AI75" s="20">
        <f t="shared" si="52"/>
        <v>0</v>
      </c>
      <c r="AJ75" s="20">
        <f t="shared" si="52"/>
        <v>0</v>
      </c>
      <c r="AK75" s="20">
        <f t="shared" si="52"/>
        <v>0</v>
      </c>
      <c r="AL75" s="20">
        <f t="shared" si="52"/>
        <v>0</v>
      </c>
      <c r="AM75" s="20">
        <f t="shared" si="52"/>
        <v>0</v>
      </c>
      <c r="AN75" s="20">
        <f t="shared" si="52"/>
        <v>0</v>
      </c>
      <c r="AO75" s="20">
        <f t="shared" si="52"/>
        <v>0</v>
      </c>
      <c r="AP75" s="20">
        <f t="shared" si="52"/>
        <v>0</v>
      </c>
      <c r="AQ75" s="20">
        <f t="shared" si="52"/>
        <v>0</v>
      </c>
      <c r="AR75" s="20">
        <f t="shared" si="52"/>
        <v>0</v>
      </c>
      <c r="AS75" s="20">
        <f t="shared" si="52"/>
        <v>0</v>
      </c>
      <c r="AT75" s="20">
        <f t="shared" si="52"/>
        <v>0</v>
      </c>
      <c r="AU75" s="20">
        <f t="shared" si="52"/>
        <v>0</v>
      </c>
      <c r="AV75" s="20">
        <f t="shared" si="52"/>
        <v>0</v>
      </c>
      <c r="AW75" s="20">
        <f t="shared" si="52"/>
        <v>0</v>
      </c>
      <c r="AX75" s="20">
        <f t="shared" si="52"/>
        <v>0</v>
      </c>
      <c r="AY75" s="20">
        <f t="shared" si="52"/>
        <v>0</v>
      </c>
      <c r="AZ75" s="20">
        <f t="shared" si="52"/>
        <v>0</v>
      </c>
      <c r="BA75" s="20">
        <f t="shared" si="52"/>
        <v>0</v>
      </c>
      <c r="BB75" s="20">
        <f t="shared" si="52"/>
        <v>0</v>
      </c>
      <c r="BC75" s="20">
        <f t="shared" si="52"/>
        <v>0</v>
      </c>
      <c r="BD75" s="20">
        <f t="shared" si="52"/>
        <v>0</v>
      </c>
      <c r="BE75" s="20">
        <f t="shared" si="52"/>
        <v>0</v>
      </c>
      <c r="BF75" s="20">
        <f t="shared" si="52"/>
        <v>0</v>
      </c>
      <c r="BG75" s="20">
        <f t="shared" si="52"/>
        <v>0</v>
      </c>
      <c r="BH75" s="20">
        <f t="shared" si="52"/>
        <v>0</v>
      </c>
      <c r="BI75" s="20">
        <f t="shared" si="52"/>
        <v>0</v>
      </c>
      <c r="BJ75" s="20">
        <f t="shared" si="52"/>
        <v>0</v>
      </c>
      <c r="BK75" s="20">
        <f t="shared" si="52"/>
        <v>0</v>
      </c>
      <c r="BL75" s="20">
        <f t="shared" si="52"/>
        <v>0</v>
      </c>
      <c r="BM75" s="20">
        <f t="shared" si="52"/>
        <v>0</v>
      </c>
      <c r="BN75" s="20">
        <f t="shared" si="52"/>
        <v>0</v>
      </c>
      <c r="BO75" s="2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</row>
    <row r="76" spans="1:147" ht="13">
      <c r="A76" s="2" t="s">
        <v>740</v>
      </c>
      <c r="B76" s="2" t="s">
        <v>730</v>
      </c>
      <c r="C76" s="2" t="s">
        <v>113</v>
      </c>
      <c r="D76" s="2" t="s">
        <v>244</v>
      </c>
      <c r="E76" s="11" t="s">
        <v>318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2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</row>
    <row r="77" spans="1:147" ht="13">
      <c r="A77" s="2" t="s">
        <v>741</v>
      </c>
      <c r="B77" s="2" t="s">
        <v>730</v>
      </c>
      <c r="C77" s="2" t="s">
        <v>114</v>
      </c>
      <c r="D77" s="2" t="s">
        <v>25</v>
      </c>
      <c r="E77" s="6" t="s">
        <v>303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2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</row>
    <row r="78" spans="1:147" ht="13">
      <c r="A78" s="2" t="s">
        <v>742</v>
      </c>
      <c r="B78" s="2" t="s">
        <v>741</v>
      </c>
      <c r="C78" s="2" t="s">
        <v>319</v>
      </c>
      <c r="D78" s="2" t="s">
        <v>240</v>
      </c>
      <c r="E78" s="24" t="s">
        <v>320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</row>
    <row r="79" spans="1:147" ht="13">
      <c r="A79" s="2" t="s">
        <v>743</v>
      </c>
      <c r="B79" s="2" t="s">
        <v>741</v>
      </c>
      <c r="C79" s="2" t="s">
        <v>321</v>
      </c>
      <c r="D79" s="2" t="s">
        <v>242</v>
      </c>
      <c r="E79" s="24" t="s">
        <v>322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</row>
    <row r="80" spans="1:147" ht="13">
      <c r="A80" s="2" t="s">
        <v>744</v>
      </c>
      <c r="B80" s="2" t="s">
        <v>741</v>
      </c>
      <c r="C80" s="2" t="s">
        <v>323</v>
      </c>
      <c r="D80" s="2" t="s">
        <v>256</v>
      </c>
      <c r="E80" s="24" t="s">
        <v>324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</row>
    <row r="81" spans="1:147" ht="13">
      <c r="A81" s="2" t="s">
        <v>745</v>
      </c>
      <c r="B81" s="2" t="s">
        <v>741</v>
      </c>
      <c r="C81" s="2" t="s">
        <v>325</v>
      </c>
      <c r="D81" s="2" t="s">
        <v>273</v>
      </c>
      <c r="E81" s="23" t="s">
        <v>326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</row>
    <row r="82" spans="1:147" ht="13">
      <c r="A82" s="2" t="s">
        <v>746</v>
      </c>
      <c r="B82" s="2" t="s">
        <v>741</v>
      </c>
      <c r="C82" s="2" t="s">
        <v>327</v>
      </c>
      <c r="D82" s="2" t="s">
        <v>275</v>
      </c>
      <c r="E82" s="23" t="s">
        <v>328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</row>
    <row r="83" spans="1:147" ht="13">
      <c r="A83" s="2" t="s">
        <v>747</v>
      </c>
      <c r="B83" s="2" t="s">
        <v>741</v>
      </c>
      <c r="C83" s="2" t="s">
        <v>329</v>
      </c>
      <c r="D83" s="2" t="s">
        <v>330</v>
      </c>
      <c r="E83" s="24" t="s">
        <v>331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</row>
    <row r="84" spans="1:147" ht="13">
      <c r="A84" s="2" t="s">
        <v>748</v>
      </c>
      <c r="B84" s="2" t="s">
        <v>741</v>
      </c>
      <c r="C84" s="2" t="s">
        <v>332</v>
      </c>
      <c r="D84" s="2" t="s">
        <v>25</v>
      </c>
      <c r="E84" s="23" t="s">
        <v>333</v>
      </c>
      <c r="F84" s="20">
        <f t="shared" ref="F84:AG84" si="53">ROUND(SUM(F$78:F$83),2)</f>
        <v>0</v>
      </c>
      <c r="G84" s="20">
        <f t="shared" si="53"/>
        <v>0</v>
      </c>
      <c r="H84" s="20">
        <f t="shared" si="53"/>
        <v>0</v>
      </c>
      <c r="I84" s="20">
        <f t="shared" si="53"/>
        <v>0</v>
      </c>
      <c r="J84" s="20">
        <f t="shared" si="53"/>
        <v>0</v>
      </c>
      <c r="K84" s="20">
        <f t="shared" si="53"/>
        <v>0</v>
      </c>
      <c r="L84" s="20">
        <f t="shared" si="53"/>
        <v>0</v>
      </c>
      <c r="M84" s="20">
        <f t="shared" si="53"/>
        <v>0</v>
      </c>
      <c r="N84" s="20">
        <f t="shared" si="53"/>
        <v>0</v>
      </c>
      <c r="O84" s="20">
        <f t="shared" si="53"/>
        <v>0</v>
      </c>
      <c r="P84" s="20">
        <f t="shared" si="53"/>
        <v>0</v>
      </c>
      <c r="Q84" s="20">
        <f t="shared" si="53"/>
        <v>0</v>
      </c>
      <c r="R84" s="20">
        <f t="shared" si="53"/>
        <v>0</v>
      </c>
      <c r="S84" s="20">
        <f t="shared" si="53"/>
        <v>0</v>
      </c>
      <c r="T84" s="20">
        <f t="shared" si="53"/>
        <v>0</v>
      </c>
      <c r="U84" s="20">
        <f t="shared" si="53"/>
        <v>0</v>
      </c>
      <c r="V84" s="20">
        <f t="shared" si="53"/>
        <v>0</v>
      </c>
      <c r="W84" s="20">
        <f t="shared" si="53"/>
        <v>0</v>
      </c>
      <c r="X84" s="20">
        <f t="shared" si="53"/>
        <v>0</v>
      </c>
      <c r="Y84" s="20">
        <f t="shared" si="53"/>
        <v>0</v>
      </c>
      <c r="Z84" s="20">
        <f t="shared" si="53"/>
        <v>0</v>
      </c>
      <c r="AA84" s="20">
        <f t="shared" si="53"/>
        <v>0</v>
      </c>
      <c r="AB84" s="20">
        <f t="shared" si="53"/>
        <v>0</v>
      </c>
      <c r="AC84" s="20">
        <f t="shared" si="53"/>
        <v>0</v>
      </c>
      <c r="AD84" s="20">
        <f t="shared" si="53"/>
        <v>0</v>
      </c>
      <c r="AE84" s="20">
        <f t="shared" si="53"/>
        <v>0</v>
      </c>
      <c r="AF84" s="20">
        <f t="shared" si="53"/>
        <v>0</v>
      </c>
      <c r="AG84" s="20">
        <f t="shared" si="53"/>
        <v>0</v>
      </c>
      <c r="AH84" s="20">
        <f>ROUND(SUM(AH$78:AH$83),2)</f>
        <v>0</v>
      </c>
      <c r="AI84" s="20">
        <f t="shared" ref="AI84:BN84" si="54">ROUND(SUM(AI$78:AI$83),2)</f>
        <v>0</v>
      </c>
      <c r="AJ84" s="20">
        <f t="shared" si="54"/>
        <v>0</v>
      </c>
      <c r="AK84" s="20">
        <f t="shared" si="54"/>
        <v>0</v>
      </c>
      <c r="AL84" s="20">
        <f t="shared" si="54"/>
        <v>0</v>
      </c>
      <c r="AM84" s="20">
        <f t="shared" si="54"/>
        <v>0</v>
      </c>
      <c r="AN84" s="20">
        <f t="shared" si="54"/>
        <v>0</v>
      </c>
      <c r="AO84" s="20">
        <f t="shared" si="54"/>
        <v>0</v>
      </c>
      <c r="AP84" s="20">
        <f t="shared" si="54"/>
        <v>0</v>
      </c>
      <c r="AQ84" s="20">
        <f t="shared" si="54"/>
        <v>0</v>
      </c>
      <c r="AR84" s="20">
        <f t="shared" si="54"/>
        <v>0</v>
      </c>
      <c r="AS84" s="20">
        <f t="shared" si="54"/>
        <v>0</v>
      </c>
      <c r="AT84" s="20">
        <f t="shared" si="54"/>
        <v>0</v>
      </c>
      <c r="AU84" s="20">
        <f t="shared" si="54"/>
        <v>0</v>
      </c>
      <c r="AV84" s="20">
        <f t="shared" si="54"/>
        <v>0</v>
      </c>
      <c r="AW84" s="20">
        <f t="shared" si="54"/>
        <v>0</v>
      </c>
      <c r="AX84" s="20">
        <f t="shared" si="54"/>
        <v>0</v>
      </c>
      <c r="AY84" s="20">
        <f t="shared" si="54"/>
        <v>0</v>
      </c>
      <c r="AZ84" s="20">
        <f t="shared" si="54"/>
        <v>0</v>
      </c>
      <c r="BA84" s="20">
        <f t="shared" si="54"/>
        <v>0</v>
      </c>
      <c r="BB84" s="20">
        <f t="shared" si="54"/>
        <v>0</v>
      </c>
      <c r="BC84" s="20">
        <f t="shared" si="54"/>
        <v>0</v>
      </c>
      <c r="BD84" s="20">
        <f t="shared" si="54"/>
        <v>0</v>
      </c>
      <c r="BE84" s="20">
        <f t="shared" si="54"/>
        <v>0</v>
      </c>
      <c r="BF84" s="20">
        <f t="shared" si="54"/>
        <v>0</v>
      </c>
      <c r="BG84" s="20">
        <f t="shared" si="54"/>
        <v>0</v>
      </c>
      <c r="BH84" s="20">
        <f t="shared" si="54"/>
        <v>0</v>
      </c>
      <c r="BI84" s="20">
        <f t="shared" si="54"/>
        <v>0</v>
      </c>
      <c r="BJ84" s="20">
        <f t="shared" si="54"/>
        <v>0</v>
      </c>
      <c r="BK84" s="20">
        <f t="shared" si="54"/>
        <v>0</v>
      </c>
      <c r="BL84" s="20">
        <f t="shared" si="54"/>
        <v>0</v>
      </c>
      <c r="BM84" s="20">
        <f t="shared" si="54"/>
        <v>0</v>
      </c>
      <c r="BN84" s="20">
        <f t="shared" si="54"/>
        <v>0</v>
      </c>
      <c r="BO84" s="2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</row>
    <row r="85" spans="1:147" ht="13">
      <c r="A85" s="2" t="s">
        <v>749</v>
      </c>
      <c r="B85" s="2" t="s">
        <v>741</v>
      </c>
      <c r="C85" s="2" t="s">
        <v>334</v>
      </c>
      <c r="D85" s="2" t="s">
        <v>25</v>
      </c>
      <c r="E85" s="24" t="s">
        <v>311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2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</row>
    <row r="86" spans="1:147" ht="13">
      <c r="A86" s="2" t="s">
        <v>750</v>
      </c>
      <c r="B86" s="2" t="s">
        <v>749</v>
      </c>
      <c r="C86" s="2" t="s">
        <v>335</v>
      </c>
      <c r="D86" s="2" t="s">
        <v>240</v>
      </c>
      <c r="E86" s="26" t="s">
        <v>336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</row>
    <row r="87" spans="1:147" ht="13">
      <c r="A87" s="2" t="s">
        <v>751</v>
      </c>
      <c r="B87" s="2" t="s">
        <v>749</v>
      </c>
      <c r="C87" s="2" t="s">
        <v>337</v>
      </c>
      <c r="D87" s="2" t="s">
        <v>242</v>
      </c>
      <c r="E87" s="26" t="s">
        <v>313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</row>
    <row r="88" spans="1:147" ht="13">
      <c r="A88" s="2" t="s">
        <v>752</v>
      </c>
      <c r="B88" s="2" t="s">
        <v>749</v>
      </c>
      <c r="C88" s="2" t="s">
        <v>338</v>
      </c>
      <c r="D88" s="2" t="s">
        <v>25</v>
      </c>
      <c r="E88" s="27" t="s">
        <v>339</v>
      </c>
      <c r="F88" s="20">
        <f t="shared" ref="F88:AG88" si="55">ROUND(SUM(F$86:F$87),2)</f>
        <v>0</v>
      </c>
      <c r="G88" s="20">
        <f t="shared" si="55"/>
        <v>0</v>
      </c>
      <c r="H88" s="20">
        <f t="shared" si="55"/>
        <v>0</v>
      </c>
      <c r="I88" s="20">
        <f t="shared" si="55"/>
        <v>0</v>
      </c>
      <c r="J88" s="20">
        <f t="shared" si="55"/>
        <v>0</v>
      </c>
      <c r="K88" s="20">
        <f t="shared" si="55"/>
        <v>0</v>
      </c>
      <c r="L88" s="20">
        <f t="shared" si="55"/>
        <v>0</v>
      </c>
      <c r="M88" s="20">
        <f t="shared" si="55"/>
        <v>0</v>
      </c>
      <c r="N88" s="20">
        <f t="shared" si="55"/>
        <v>0</v>
      </c>
      <c r="O88" s="20">
        <f t="shared" si="55"/>
        <v>0</v>
      </c>
      <c r="P88" s="20">
        <f t="shared" si="55"/>
        <v>0</v>
      </c>
      <c r="Q88" s="20">
        <f t="shared" si="55"/>
        <v>0</v>
      </c>
      <c r="R88" s="20">
        <f t="shared" si="55"/>
        <v>0</v>
      </c>
      <c r="S88" s="20">
        <f t="shared" si="55"/>
        <v>0</v>
      </c>
      <c r="T88" s="20">
        <f t="shared" si="55"/>
        <v>0</v>
      </c>
      <c r="U88" s="20">
        <f t="shared" si="55"/>
        <v>0</v>
      </c>
      <c r="V88" s="20">
        <f t="shared" si="55"/>
        <v>0</v>
      </c>
      <c r="W88" s="20">
        <f t="shared" si="55"/>
        <v>0</v>
      </c>
      <c r="X88" s="20">
        <f t="shared" si="55"/>
        <v>0</v>
      </c>
      <c r="Y88" s="20">
        <f t="shared" si="55"/>
        <v>0</v>
      </c>
      <c r="Z88" s="20">
        <f t="shared" si="55"/>
        <v>0</v>
      </c>
      <c r="AA88" s="20">
        <f t="shared" si="55"/>
        <v>0</v>
      </c>
      <c r="AB88" s="20">
        <f t="shared" si="55"/>
        <v>0</v>
      </c>
      <c r="AC88" s="20">
        <f t="shared" si="55"/>
        <v>0</v>
      </c>
      <c r="AD88" s="20">
        <f t="shared" si="55"/>
        <v>0</v>
      </c>
      <c r="AE88" s="20">
        <f t="shared" si="55"/>
        <v>0</v>
      </c>
      <c r="AF88" s="20">
        <f t="shared" si="55"/>
        <v>0</v>
      </c>
      <c r="AG88" s="20">
        <f t="shared" si="55"/>
        <v>0</v>
      </c>
      <c r="AH88" s="20">
        <f>ROUND(SUM(AH$86:AH$87),2)</f>
        <v>0</v>
      </c>
      <c r="AI88" s="20">
        <f t="shared" ref="AI88:BN88" si="56">ROUND(SUM(AI$86:AI$87),2)</f>
        <v>0</v>
      </c>
      <c r="AJ88" s="20">
        <f t="shared" si="56"/>
        <v>0</v>
      </c>
      <c r="AK88" s="20">
        <f t="shared" si="56"/>
        <v>0</v>
      </c>
      <c r="AL88" s="20">
        <f t="shared" si="56"/>
        <v>0</v>
      </c>
      <c r="AM88" s="20">
        <f t="shared" si="56"/>
        <v>0</v>
      </c>
      <c r="AN88" s="20">
        <f t="shared" si="56"/>
        <v>0</v>
      </c>
      <c r="AO88" s="20">
        <f t="shared" si="56"/>
        <v>0</v>
      </c>
      <c r="AP88" s="20">
        <f t="shared" si="56"/>
        <v>0</v>
      </c>
      <c r="AQ88" s="20">
        <f t="shared" si="56"/>
        <v>0</v>
      </c>
      <c r="AR88" s="20">
        <f t="shared" si="56"/>
        <v>0</v>
      </c>
      <c r="AS88" s="20">
        <f t="shared" si="56"/>
        <v>0</v>
      </c>
      <c r="AT88" s="20">
        <f t="shared" si="56"/>
        <v>0</v>
      </c>
      <c r="AU88" s="20">
        <f t="shared" si="56"/>
        <v>0</v>
      </c>
      <c r="AV88" s="20">
        <f t="shared" si="56"/>
        <v>0</v>
      </c>
      <c r="AW88" s="20">
        <f t="shared" si="56"/>
        <v>0</v>
      </c>
      <c r="AX88" s="20">
        <f t="shared" si="56"/>
        <v>0</v>
      </c>
      <c r="AY88" s="20">
        <f t="shared" si="56"/>
        <v>0</v>
      </c>
      <c r="AZ88" s="20">
        <f t="shared" si="56"/>
        <v>0</v>
      </c>
      <c r="BA88" s="20">
        <f t="shared" si="56"/>
        <v>0</v>
      </c>
      <c r="BB88" s="20">
        <f t="shared" si="56"/>
        <v>0</v>
      </c>
      <c r="BC88" s="20">
        <f t="shared" si="56"/>
        <v>0</v>
      </c>
      <c r="BD88" s="20">
        <f t="shared" si="56"/>
        <v>0</v>
      </c>
      <c r="BE88" s="20">
        <f t="shared" si="56"/>
        <v>0</v>
      </c>
      <c r="BF88" s="20">
        <f t="shared" si="56"/>
        <v>0</v>
      </c>
      <c r="BG88" s="20">
        <f t="shared" si="56"/>
        <v>0</v>
      </c>
      <c r="BH88" s="20">
        <f t="shared" si="56"/>
        <v>0</v>
      </c>
      <c r="BI88" s="20">
        <f t="shared" si="56"/>
        <v>0</v>
      </c>
      <c r="BJ88" s="20">
        <f t="shared" si="56"/>
        <v>0</v>
      </c>
      <c r="BK88" s="20">
        <f t="shared" si="56"/>
        <v>0</v>
      </c>
      <c r="BL88" s="20">
        <f t="shared" si="56"/>
        <v>0</v>
      </c>
      <c r="BM88" s="20">
        <f t="shared" si="56"/>
        <v>0</v>
      </c>
      <c r="BN88" s="20">
        <f t="shared" si="56"/>
        <v>0</v>
      </c>
      <c r="BO88" s="2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</row>
    <row r="89" spans="1:147" ht="13">
      <c r="A89" s="2" t="s">
        <v>753</v>
      </c>
      <c r="B89" s="2" t="s">
        <v>749</v>
      </c>
      <c r="C89" s="2" t="s">
        <v>340</v>
      </c>
      <c r="D89" s="2" t="s">
        <v>25</v>
      </c>
      <c r="E89" s="27" t="s">
        <v>341</v>
      </c>
      <c r="F89" s="20">
        <f t="shared" ref="F89:AG89" si="57">ROUND(F84+F88,2)</f>
        <v>0</v>
      </c>
      <c r="G89" s="20">
        <f t="shared" si="57"/>
        <v>0</v>
      </c>
      <c r="H89" s="20">
        <f t="shared" si="57"/>
        <v>0</v>
      </c>
      <c r="I89" s="20">
        <f t="shared" si="57"/>
        <v>0</v>
      </c>
      <c r="J89" s="20">
        <f t="shared" si="57"/>
        <v>0</v>
      </c>
      <c r="K89" s="20">
        <f t="shared" si="57"/>
        <v>0</v>
      </c>
      <c r="L89" s="20">
        <f t="shared" si="57"/>
        <v>0</v>
      </c>
      <c r="M89" s="20">
        <f t="shared" si="57"/>
        <v>0</v>
      </c>
      <c r="N89" s="20">
        <f t="shared" si="57"/>
        <v>0</v>
      </c>
      <c r="O89" s="20">
        <f t="shared" si="57"/>
        <v>0</v>
      </c>
      <c r="P89" s="20">
        <f t="shared" si="57"/>
        <v>0</v>
      </c>
      <c r="Q89" s="20">
        <f t="shared" si="57"/>
        <v>0</v>
      </c>
      <c r="R89" s="20">
        <f t="shared" si="57"/>
        <v>0</v>
      </c>
      <c r="S89" s="20">
        <f t="shared" si="57"/>
        <v>0</v>
      </c>
      <c r="T89" s="20">
        <f t="shared" si="57"/>
        <v>0</v>
      </c>
      <c r="U89" s="20">
        <f t="shared" si="57"/>
        <v>0</v>
      </c>
      <c r="V89" s="20">
        <f t="shared" si="57"/>
        <v>0</v>
      </c>
      <c r="W89" s="20">
        <f t="shared" si="57"/>
        <v>0</v>
      </c>
      <c r="X89" s="20">
        <f t="shared" si="57"/>
        <v>0</v>
      </c>
      <c r="Y89" s="20">
        <f t="shared" si="57"/>
        <v>0</v>
      </c>
      <c r="Z89" s="20">
        <f t="shared" si="57"/>
        <v>0</v>
      </c>
      <c r="AA89" s="20">
        <f t="shared" si="57"/>
        <v>0</v>
      </c>
      <c r="AB89" s="20">
        <f t="shared" si="57"/>
        <v>0</v>
      </c>
      <c r="AC89" s="20">
        <f t="shared" si="57"/>
        <v>0</v>
      </c>
      <c r="AD89" s="20">
        <f t="shared" si="57"/>
        <v>0</v>
      </c>
      <c r="AE89" s="20">
        <f t="shared" si="57"/>
        <v>0</v>
      </c>
      <c r="AF89" s="20">
        <f t="shared" si="57"/>
        <v>0</v>
      </c>
      <c r="AG89" s="20">
        <f t="shared" si="57"/>
        <v>0</v>
      </c>
      <c r="AH89" s="20">
        <f t="shared" ref="AH89:BN89" si="58">ROUND(AH84+AH88,2)</f>
        <v>0</v>
      </c>
      <c r="AI89" s="20">
        <f t="shared" si="58"/>
        <v>0</v>
      </c>
      <c r="AJ89" s="20">
        <f t="shared" si="58"/>
        <v>0</v>
      </c>
      <c r="AK89" s="20">
        <f t="shared" si="58"/>
        <v>0</v>
      </c>
      <c r="AL89" s="20">
        <f t="shared" si="58"/>
        <v>0</v>
      </c>
      <c r="AM89" s="20">
        <f t="shared" si="58"/>
        <v>0</v>
      </c>
      <c r="AN89" s="20">
        <f t="shared" si="58"/>
        <v>0</v>
      </c>
      <c r="AO89" s="20">
        <f t="shared" si="58"/>
        <v>0</v>
      </c>
      <c r="AP89" s="20">
        <f t="shared" si="58"/>
        <v>0</v>
      </c>
      <c r="AQ89" s="20">
        <f t="shared" si="58"/>
        <v>0</v>
      </c>
      <c r="AR89" s="20">
        <f t="shared" si="58"/>
        <v>0</v>
      </c>
      <c r="AS89" s="20">
        <f t="shared" si="58"/>
        <v>0</v>
      </c>
      <c r="AT89" s="20">
        <f t="shared" si="58"/>
        <v>0</v>
      </c>
      <c r="AU89" s="20">
        <f t="shared" si="58"/>
        <v>0</v>
      </c>
      <c r="AV89" s="20">
        <f t="shared" si="58"/>
        <v>0</v>
      </c>
      <c r="AW89" s="20">
        <f t="shared" si="58"/>
        <v>0</v>
      </c>
      <c r="AX89" s="20">
        <f t="shared" si="58"/>
        <v>0</v>
      </c>
      <c r="AY89" s="20">
        <f t="shared" si="58"/>
        <v>0</v>
      </c>
      <c r="AZ89" s="20">
        <f t="shared" si="58"/>
        <v>0</v>
      </c>
      <c r="BA89" s="20">
        <f t="shared" si="58"/>
        <v>0</v>
      </c>
      <c r="BB89" s="20">
        <f t="shared" si="58"/>
        <v>0</v>
      </c>
      <c r="BC89" s="20">
        <f t="shared" si="58"/>
        <v>0</v>
      </c>
      <c r="BD89" s="20">
        <f t="shared" si="58"/>
        <v>0</v>
      </c>
      <c r="BE89" s="20">
        <f t="shared" si="58"/>
        <v>0</v>
      </c>
      <c r="BF89" s="20">
        <f t="shared" si="58"/>
        <v>0</v>
      </c>
      <c r="BG89" s="20">
        <f t="shared" si="58"/>
        <v>0</v>
      </c>
      <c r="BH89" s="20">
        <f t="shared" si="58"/>
        <v>0</v>
      </c>
      <c r="BI89" s="20">
        <f t="shared" si="58"/>
        <v>0</v>
      </c>
      <c r="BJ89" s="20">
        <f t="shared" si="58"/>
        <v>0</v>
      </c>
      <c r="BK89" s="20">
        <f t="shared" si="58"/>
        <v>0</v>
      </c>
      <c r="BL89" s="20">
        <f t="shared" si="58"/>
        <v>0</v>
      </c>
      <c r="BM89" s="20">
        <f t="shared" si="58"/>
        <v>0</v>
      </c>
      <c r="BN89" s="20">
        <f t="shared" si="58"/>
        <v>0</v>
      </c>
      <c r="BO89" s="2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</row>
    <row r="90" spans="1:147" ht="13">
      <c r="A90" s="2" t="s">
        <v>754</v>
      </c>
      <c r="B90" s="2" t="s">
        <v>741</v>
      </c>
      <c r="C90" s="2" t="s">
        <v>342</v>
      </c>
      <c r="D90" s="2" t="s">
        <v>343</v>
      </c>
      <c r="E90" s="23" t="s">
        <v>344</v>
      </c>
      <c r="F90" s="20">
        <f t="shared" ref="F90:AG90" si="59">ROUND(F75-F89,2)</f>
        <v>0</v>
      </c>
      <c r="G90" s="20">
        <f t="shared" si="59"/>
        <v>0</v>
      </c>
      <c r="H90" s="20">
        <f t="shared" si="59"/>
        <v>0</v>
      </c>
      <c r="I90" s="20">
        <f t="shared" si="59"/>
        <v>0</v>
      </c>
      <c r="J90" s="20">
        <f t="shared" si="59"/>
        <v>0</v>
      </c>
      <c r="K90" s="20">
        <f t="shared" si="59"/>
        <v>0</v>
      </c>
      <c r="L90" s="20">
        <f t="shared" si="59"/>
        <v>0</v>
      </c>
      <c r="M90" s="20">
        <f t="shared" si="59"/>
        <v>0</v>
      </c>
      <c r="N90" s="20">
        <f t="shared" si="59"/>
        <v>0</v>
      </c>
      <c r="O90" s="20">
        <f t="shared" si="59"/>
        <v>0</v>
      </c>
      <c r="P90" s="20">
        <f t="shared" si="59"/>
        <v>0</v>
      </c>
      <c r="Q90" s="20">
        <f t="shared" si="59"/>
        <v>0</v>
      </c>
      <c r="R90" s="20">
        <f t="shared" si="59"/>
        <v>0</v>
      </c>
      <c r="S90" s="20">
        <f t="shared" si="59"/>
        <v>0</v>
      </c>
      <c r="T90" s="20">
        <f t="shared" si="59"/>
        <v>0</v>
      </c>
      <c r="U90" s="20">
        <f t="shared" si="59"/>
        <v>0</v>
      </c>
      <c r="V90" s="20">
        <f t="shared" si="59"/>
        <v>0</v>
      </c>
      <c r="W90" s="20">
        <f t="shared" si="59"/>
        <v>0</v>
      </c>
      <c r="X90" s="20">
        <f t="shared" si="59"/>
        <v>0</v>
      </c>
      <c r="Y90" s="20">
        <f t="shared" si="59"/>
        <v>0</v>
      </c>
      <c r="Z90" s="20">
        <f t="shared" si="59"/>
        <v>0</v>
      </c>
      <c r="AA90" s="20">
        <f t="shared" si="59"/>
        <v>0</v>
      </c>
      <c r="AB90" s="20">
        <f t="shared" si="59"/>
        <v>0</v>
      </c>
      <c r="AC90" s="20">
        <f t="shared" si="59"/>
        <v>0</v>
      </c>
      <c r="AD90" s="20">
        <f t="shared" si="59"/>
        <v>0</v>
      </c>
      <c r="AE90" s="20">
        <f t="shared" si="59"/>
        <v>0</v>
      </c>
      <c r="AF90" s="20">
        <f t="shared" si="59"/>
        <v>0</v>
      </c>
      <c r="AG90" s="20">
        <f t="shared" si="59"/>
        <v>0</v>
      </c>
      <c r="AH90" s="20">
        <f t="shared" ref="AH90:BN90" si="60">ROUND(AH75-AH89,2)</f>
        <v>0</v>
      </c>
      <c r="AI90" s="20">
        <f t="shared" si="60"/>
        <v>0</v>
      </c>
      <c r="AJ90" s="20">
        <f t="shared" si="60"/>
        <v>0</v>
      </c>
      <c r="AK90" s="20">
        <f t="shared" si="60"/>
        <v>0</v>
      </c>
      <c r="AL90" s="20">
        <f t="shared" si="60"/>
        <v>0</v>
      </c>
      <c r="AM90" s="20">
        <f t="shared" si="60"/>
        <v>0</v>
      </c>
      <c r="AN90" s="20">
        <f t="shared" si="60"/>
        <v>0</v>
      </c>
      <c r="AO90" s="20">
        <f t="shared" si="60"/>
        <v>0</v>
      </c>
      <c r="AP90" s="20">
        <f t="shared" si="60"/>
        <v>0</v>
      </c>
      <c r="AQ90" s="20">
        <f t="shared" si="60"/>
        <v>0</v>
      </c>
      <c r="AR90" s="20">
        <f t="shared" si="60"/>
        <v>0</v>
      </c>
      <c r="AS90" s="20">
        <f t="shared" si="60"/>
        <v>0</v>
      </c>
      <c r="AT90" s="20">
        <f t="shared" si="60"/>
        <v>0</v>
      </c>
      <c r="AU90" s="20">
        <f t="shared" si="60"/>
        <v>0</v>
      </c>
      <c r="AV90" s="20">
        <f t="shared" si="60"/>
        <v>0</v>
      </c>
      <c r="AW90" s="20">
        <f t="shared" si="60"/>
        <v>0</v>
      </c>
      <c r="AX90" s="20">
        <f t="shared" si="60"/>
        <v>0</v>
      </c>
      <c r="AY90" s="20">
        <f t="shared" si="60"/>
        <v>0</v>
      </c>
      <c r="AZ90" s="20">
        <f t="shared" si="60"/>
        <v>0</v>
      </c>
      <c r="BA90" s="20">
        <f t="shared" si="60"/>
        <v>0</v>
      </c>
      <c r="BB90" s="20">
        <f t="shared" si="60"/>
        <v>0</v>
      </c>
      <c r="BC90" s="20">
        <f t="shared" si="60"/>
        <v>0</v>
      </c>
      <c r="BD90" s="20">
        <f t="shared" si="60"/>
        <v>0</v>
      </c>
      <c r="BE90" s="20">
        <f t="shared" si="60"/>
        <v>0</v>
      </c>
      <c r="BF90" s="20">
        <f t="shared" si="60"/>
        <v>0</v>
      </c>
      <c r="BG90" s="20">
        <f t="shared" si="60"/>
        <v>0</v>
      </c>
      <c r="BH90" s="20">
        <f t="shared" si="60"/>
        <v>0</v>
      </c>
      <c r="BI90" s="20">
        <f t="shared" si="60"/>
        <v>0</v>
      </c>
      <c r="BJ90" s="20">
        <f t="shared" si="60"/>
        <v>0</v>
      </c>
      <c r="BK90" s="20">
        <f t="shared" si="60"/>
        <v>0</v>
      </c>
      <c r="BL90" s="20">
        <f t="shared" si="60"/>
        <v>0</v>
      </c>
      <c r="BM90" s="20">
        <f t="shared" si="60"/>
        <v>0</v>
      </c>
      <c r="BN90" s="20">
        <f t="shared" si="60"/>
        <v>0</v>
      </c>
      <c r="BO90" s="2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</row>
    <row r="91" spans="1:147" ht="13">
      <c r="A91" s="2" t="s">
        <v>755</v>
      </c>
      <c r="B91" s="2" t="s">
        <v>685</v>
      </c>
      <c r="C91" s="2" t="s">
        <v>67</v>
      </c>
      <c r="D91" s="2" t="s">
        <v>68</v>
      </c>
      <c r="E91" s="9" t="s">
        <v>345</v>
      </c>
      <c r="F91" s="20">
        <f t="shared" ref="F91:AG91" si="61">ROUND(F64+F90,2)</f>
        <v>0</v>
      </c>
      <c r="G91" s="20">
        <f t="shared" si="61"/>
        <v>0</v>
      </c>
      <c r="H91" s="20">
        <f t="shared" si="61"/>
        <v>0</v>
      </c>
      <c r="I91" s="20">
        <f t="shared" si="61"/>
        <v>0</v>
      </c>
      <c r="J91" s="20">
        <f t="shared" si="61"/>
        <v>0</v>
      </c>
      <c r="K91" s="20">
        <f t="shared" si="61"/>
        <v>0</v>
      </c>
      <c r="L91" s="20">
        <f t="shared" si="61"/>
        <v>0</v>
      </c>
      <c r="M91" s="20">
        <f t="shared" si="61"/>
        <v>0</v>
      </c>
      <c r="N91" s="20">
        <f t="shared" si="61"/>
        <v>0</v>
      </c>
      <c r="O91" s="20">
        <f t="shared" si="61"/>
        <v>0</v>
      </c>
      <c r="P91" s="20">
        <f t="shared" si="61"/>
        <v>0</v>
      </c>
      <c r="Q91" s="20">
        <f t="shared" si="61"/>
        <v>0</v>
      </c>
      <c r="R91" s="20">
        <f t="shared" si="61"/>
        <v>0</v>
      </c>
      <c r="S91" s="20">
        <f t="shared" si="61"/>
        <v>0</v>
      </c>
      <c r="T91" s="20">
        <f t="shared" si="61"/>
        <v>0</v>
      </c>
      <c r="U91" s="20">
        <f t="shared" si="61"/>
        <v>0</v>
      </c>
      <c r="V91" s="20">
        <f t="shared" si="61"/>
        <v>0</v>
      </c>
      <c r="W91" s="20">
        <f t="shared" si="61"/>
        <v>0</v>
      </c>
      <c r="X91" s="20">
        <f t="shared" si="61"/>
        <v>0</v>
      </c>
      <c r="Y91" s="20">
        <f t="shared" si="61"/>
        <v>0</v>
      </c>
      <c r="Z91" s="20">
        <f t="shared" si="61"/>
        <v>0</v>
      </c>
      <c r="AA91" s="20">
        <f t="shared" si="61"/>
        <v>0</v>
      </c>
      <c r="AB91" s="20">
        <f t="shared" si="61"/>
        <v>0</v>
      </c>
      <c r="AC91" s="20">
        <f t="shared" si="61"/>
        <v>0</v>
      </c>
      <c r="AD91" s="20">
        <f t="shared" si="61"/>
        <v>0</v>
      </c>
      <c r="AE91" s="20">
        <f t="shared" si="61"/>
        <v>0</v>
      </c>
      <c r="AF91" s="20">
        <f t="shared" si="61"/>
        <v>0</v>
      </c>
      <c r="AG91" s="20">
        <f t="shared" si="61"/>
        <v>0</v>
      </c>
      <c r="AH91" s="20">
        <f t="shared" ref="AH91:BN91" si="62">ROUND(AH64+AH90,2)</f>
        <v>0</v>
      </c>
      <c r="AI91" s="20">
        <f t="shared" si="62"/>
        <v>0</v>
      </c>
      <c r="AJ91" s="20">
        <f t="shared" si="62"/>
        <v>0</v>
      </c>
      <c r="AK91" s="20">
        <f t="shared" si="62"/>
        <v>0</v>
      </c>
      <c r="AL91" s="20">
        <f t="shared" si="62"/>
        <v>0</v>
      </c>
      <c r="AM91" s="20">
        <f t="shared" si="62"/>
        <v>0</v>
      </c>
      <c r="AN91" s="20">
        <f t="shared" si="62"/>
        <v>0</v>
      </c>
      <c r="AO91" s="20">
        <f t="shared" si="62"/>
        <v>0</v>
      </c>
      <c r="AP91" s="20">
        <f t="shared" si="62"/>
        <v>0</v>
      </c>
      <c r="AQ91" s="20">
        <f t="shared" si="62"/>
        <v>0</v>
      </c>
      <c r="AR91" s="20">
        <f t="shared" si="62"/>
        <v>0</v>
      </c>
      <c r="AS91" s="20">
        <f t="shared" si="62"/>
        <v>0</v>
      </c>
      <c r="AT91" s="20">
        <f t="shared" si="62"/>
        <v>0</v>
      </c>
      <c r="AU91" s="20">
        <f t="shared" si="62"/>
        <v>0</v>
      </c>
      <c r="AV91" s="20">
        <f t="shared" si="62"/>
        <v>0</v>
      </c>
      <c r="AW91" s="20">
        <f t="shared" si="62"/>
        <v>0</v>
      </c>
      <c r="AX91" s="20">
        <f t="shared" si="62"/>
        <v>0</v>
      </c>
      <c r="AY91" s="20">
        <f t="shared" si="62"/>
        <v>0</v>
      </c>
      <c r="AZ91" s="20">
        <f t="shared" si="62"/>
        <v>0</v>
      </c>
      <c r="BA91" s="20">
        <f t="shared" si="62"/>
        <v>0</v>
      </c>
      <c r="BB91" s="20">
        <f t="shared" si="62"/>
        <v>0</v>
      </c>
      <c r="BC91" s="20">
        <f t="shared" si="62"/>
        <v>0</v>
      </c>
      <c r="BD91" s="20">
        <f t="shared" si="62"/>
        <v>0</v>
      </c>
      <c r="BE91" s="20">
        <f t="shared" si="62"/>
        <v>0</v>
      </c>
      <c r="BF91" s="20">
        <f t="shared" si="62"/>
        <v>0</v>
      </c>
      <c r="BG91" s="20">
        <f t="shared" si="62"/>
        <v>0</v>
      </c>
      <c r="BH91" s="20">
        <f t="shared" si="62"/>
        <v>0</v>
      </c>
      <c r="BI91" s="20">
        <f t="shared" si="62"/>
        <v>0</v>
      </c>
      <c r="BJ91" s="20">
        <f t="shared" si="62"/>
        <v>0</v>
      </c>
      <c r="BK91" s="20">
        <f t="shared" si="62"/>
        <v>0</v>
      </c>
      <c r="BL91" s="20">
        <f t="shared" si="62"/>
        <v>0</v>
      </c>
      <c r="BM91" s="20">
        <f t="shared" si="62"/>
        <v>0</v>
      </c>
      <c r="BN91" s="20">
        <f t="shared" si="62"/>
        <v>0</v>
      </c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30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30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30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30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</row>
    <row r="92" spans="1:147" ht="13">
      <c r="A92" s="2" t="s">
        <v>756</v>
      </c>
      <c r="B92" s="2" t="s">
        <v>685</v>
      </c>
      <c r="C92" s="2" t="s">
        <v>69</v>
      </c>
      <c r="D92" s="2" t="s">
        <v>70</v>
      </c>
      <c r="E92" s="7" t="s">
        <v>346</v>
      </c>
      <c r="F92" s="20">
        <f t="shared" ref="F92:AG92" si="63">(ROUND(SUM(F$93:F$94),2))</f>
        <v>0</v>
      </c>
      <c r="G92" s="20">
        <f t="shared" si="63"/>
        <v>0</v>
      </c>
      <c r="H92" s="20">
        <f t="shared" si="63"/>
        <v>0</v>
      </c>
      <c r="I92" s="20">
        <f t="shared" si="63"/>
        <v>0</v>
      </c>
      <c r="J92" s="20">
        <f t="shared" si="63"/>
        <v>0</v>
      </c>
      <c r="K92" s="20">
        <f t="shared" si="63"/>
        <v>0</v>
      </c>
      <c r="L92" s="20">
        <f t="shared" si="63"/>
        <v>0</v>
      </c>
      <c r="M92" s="20">
        <f t="shared" si="63"/>
        <v>0</v>
      </c>
      <c r="N92" s="20">
        <f t="shared" si="63"/>
        <v>0</v>
      </c>
      <c r="O92" s="20">
        <f t="shared" si="63"/>
        <v>0</v>
      </c>
      <c r="P92" s="20">
        <f t="shared" si="63"/>
        <v>0</v>
      </c>
      <c r="Q92" s="20">
        <f t="shared" si="63"/>
        <v>0</v>
      </c>
      <c r="R92" s="20">
        <f t="shared" si="63"/>
        <v>0</v>
      </c>
      <c r="S92" s="20">
        <f t="shared" si="63"/>
        <v>0</v>
      </c>
      <c r="T92" s="20">
        <f t="shared" si="63"/>
        <v>0</v>
      </c>
      <c r="U92" s="20">
        <f t="shared" si="63"/>
        <v>0</v>
      </c>
      <c r="V92" s="20">
        <f t="shared" si="63"/>
        <v>0</v>
      </c>
      <c r="W92" s="20">
        <f t="shared" si="63"/>
        <v>0</v>
      </c>
      <c r="X92" s="20">
        <f t="shared" si="63"/>
        <v>0</v>
      </c>
      <c r="Y92" s="20">
        <f t="shared" si="63"/>
        <v>0</v>
      </c>
      <c r="Z92" s="20">
        <f t="shared" si="63"/>
        <v>0</v>
      </c>
      <c r="AA92" s="20">
        <f t="shared" si="63"/>
        <v>0</v>
      </c>
      <c r="AB92" s="20">
        <f t="shared" si="63"/>
        <v>0</v>
      </c>
      <c r="AC92" s="20">
        <f t="shared" si="63"/>
        <v>0</v>
      </c>
      <c r="AD92" s="20">
        <f t="shared" si="63"/>
        <v>0</v>
      </c>
      <c r="AE92" s="20">
        <f t="shared" si="63"/>
        <v>0</v>
      </c>
      <c r="AF92" s="20">
        <f t="shared" si="63"/>
        <v>0</v>
      </c>
      <c r="AG92" s="20">
        <f t="shared" si="63"/>
        <v>0</v>
      </c>
      <c r="AH92" s="20">
        <f>(ROUND(SUM(AH$93:AH$94),2))</f>
        <v>0</v>
      </c>
      <c r="AI92" s="20">
        <f t="shared" ref="AI92:BN92" si="64">(ROUND(SUM(AI$93:AI$94),2))</f>
        <v>0</v>
      </c>
      <c r="AJ92" s="20">
        <f t="shared" si="64"/>
        <v>0</v>
      </c>
      <c r="AK92" s="20">
        <f t="shared" si="64"/>
        <v>0</v>
      </c>
      <c r="AL92" s="20">
        <f t="shared" si="64"/>
        <v>0</v>
      </c>
      <c r="AM92" s="20">
        <f t="shared" si="64"/>
        <v>0</v>
      </c>
      <c r="AN92" s="20">
        <f t="shared" si="64"/>
        <v>0</v>
      </c>
      <c r="AO92" s="20">
        <f t="shared" si="64"/>
        <v>0</v>
      </c>
      <c r="AP92" s="20">
        <f t="shared" si="64"/>
        <v>0</v>
      </c>
      <c r="AQ92" s="20">
        <f t="shared" si="64"/>
        <v>0</v>
      </c>
      <c r="AR92" s="20">
        <f t="shared" si="64"/>
        <v>0</v>
      </c>
      <c r="AS92" s="20">
        <f t="shared" si="64"/>
        <v>0</v>
      </c>
      <c r="AT92" s="20">
        <f t="shared" si="64"/>
        <v>0</v>
      </c>
      <c r="AU92" s="20">
        <f t="shared" si="64"/>
        <v>0</v>
      </c>
      <c r="AV92" s="20">
        <f t="shared" si="64"/>
        <v>0</v>
      </c>
      <c r="AW92" s="20">
        <f t="shared" si="64"/>
        <v>0</v>
      </c>
      <c r="AX92" s="20">
        <f t="shared" si="64"/>
        <v>0</v>
      </c>
      <c r="AY92" s="20">
        <f t="shared" si="64"/>
        <v>0</v>
      </c>
      <c r="AZ92" s="20">
        <f t="shared" si="64"/>
        <v>0</v>
      </c>
      <c r="BA92" s="20">
        <f t="shared" si="64"/>
        <v>0</v>
      </c>
      <c r="BB92" s="20">
        <f t="shared" si="64"/>
        <v>0</v>
      </c>
      <c r="BC92" s="20">
        <f t="shared" si="64"/>
        <v>0</v>
      </c>
      <c r="BD92" s="20">
        <f t="shared" si="64"/>
        <v>0</v>
      </c>
      <c r="BE92" s="20">
        <f t="shared" si="64"/>
        <v>0</v>
      </c>
      <c r="BF92" s="20">
        <f t="shared" si="64"/>
        <v>0</v>
      </c>
      <c r="BG92" s="20">
        <f t="shared" si="64"/>
        <v>0</v>
      </c>
      <c r="BH92" s="20">
        <f t="shared" si="64"/>
        <v>0</v>
      </c>
      <c r="BI92" s="20">
        <f t="shared" si="64"/>
        <v>0</v>
      </c>
      <c r="BJ92" s="20">
        <f t="shared" si="64"/>
        <v>0</v>
      </c>
      <c r="BK92" s="20">
        <f t="shared" si="64"/>
        <v>0</v>
      </c>
      <c r="BL92" s="20">
        <f t="shared" si="64"/>
        <v>0</v>
      </c>
      <c r="BM92" s="20">
        <f t="shared" si="64"/>
        <v>0</v>
      </c>
      <c r="BN92" s="20">
        <f t="shared" si="64"/>
        <v>0</v>
      </c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30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30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30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30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</row>
    <row r="93" spans="1:147" ht="13">
      <c r="A93" s="2" t="s">
        <v>757</v>
      </c>
      <c r="B93" s="2" t="s">
        <v>756</v>
      </c>
      <c r="C93" s="2" t="s">
        <v>116</v>
      </c>
      <c r="D93" s="2" t="s">
        <v>240</v>
      </c>
      <c r="E93" s="6" t="s">
        <v>347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</row>
    <row r="94" spans="1:147" ht="13">
      <c r="A94" s="2" t="s">
        <v>758</v>
      </c>
      <c r="B94" s="2" t="s">
        <v>756</v>
      </c>
      <c r="C94" s="2" t="s">
        <v>117</v>
      </c>
      <c r="D94" s="2" t="s">
        <v>242</v>
      </c>
      <c r="E94" s="6" t="s">
        <v>348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</row>
    <row r="95" spans="1:147" ht="13">
      <c r="A95" s="2" t="s">
        <v>759</v>
      </c>
      <c r="B95" s="2" t="s">
        <v>685</v>
      </c>
      <c r="C95" s="2" t="s">
        <v>71</v>
      </c>
      <c r="D95" s="2" t="s">
        <v>73</v>
      </c>
      <c r="E95" s="7" t="s">
        <v>349</v>
      </c>
      <c r="F95" s="20">
        <f t="shared" ref="F95:BN95" si="65">ROUND(F91-F92,2)</f>
        <v>0</v>
      </c>
      <c r="G95" s="20">
        <f t="shared" si="65"/>
        <v>0</v>
      </c>
      <c r="H95" s="20">
        <f t="shared" si="65"/>
        <v>0</v>
      </c>
      <c r="I95" s="20">
        <f t="shared" si="65"/>
        <v>0</v>
      </c>
      <c r="J95" s="20">
        <f t="shared" si="65"/>
        <v>0</v>
      </c>
      <c r="K95" s="20">
        <f t="shared" si="65"/>
        <v>0</v>
      </c>
      <c r="L95" s="20">
        <f t="shared" si="65"/>
        <v>0</v>
      </c>
      <c r="M95" s="20">
        <f t="shared" si="65"/>
        <v>0</v>
      </c>
      <c r="N95" s="20">
        <f t="shared" si="65"/>
        <v>0</v>
      </c>
      <c r="O95" s="20">
        <f t="shared" si="65"/>
        <v>0</v>
      </c>
      <c r="P95" s="20">
        <f t="shared" si="65"/>
        <v>0</v>
      </c>
      <c r="Q95" s="20">
        <f t="shared" si="65"/>
        <v>0</v>
      </c>
      <c r="R95" s="20">
        <f t="shared" si="65"/>
        <v>0</v>
      </c>
      <c r="S95" s="20">
        <f t="shared" si="65"/>
        <v>0</v>
      </c>
      <c r="T95" s="20">
        <f t="shared" si="65"/>
        <v>0</v>
      </c>
      <c r="U95" s="20">
        <f t="shared" si="65"/>
        <v>0</v>
      </c>
      <c r="V95" s="20">
        <f t="shared" si="65"/>
        <v>0</v>
      </c>
      <c r="W95" s="20">
        <f t="shared" si="65"/>
        <v>0</v>
      </c>
      <c r="X95" s="20">
        <f t="shared" si="65"/>
        <v>0</v>
      </c>
      <c r="Y95" s="20">
        <f t="shared" si="65"/>
        <v>0</v>
      </c>
      <c r="Z95" s="20">
        <f t="shared" si="65"/>
        <v>0</v>
      </c>
      <c r="AA95" s="20">
        <f t="shared" si="65"/>
        <v>0</v>
      </c>
      <c r="AB95" s="20">
        <f t="shared" si="65"/>
        <v>0</v>
      </c>
      <c r="AC95" s="20">
        <f t="shared" si="65"/>
        <v>0</v>
      </c>
      <c r="AD95" s="20">
        <f t="shared" si="65"/>
        <v>0</v>
      </c>
      <c r="AE95" s="20">
        <f t="shared" si="65"/>
        <v>0</v>
      </c>
      <c r="AF95" s="20">
        <f t="shared" si="65"/>
        <v>0</v>
      </c>
      <c r="AG95" s="20">
        <f t="shared" si="65"/>
        <v>0</v>
      </c>
      <c r="AH95" s="20">
        <f t="shared" si="65"/>
        <v>0</v>
      </c>
      <c r="AI95" s="20">
        <f t="shared" si="65"/>
        <v>0</v>
      </c>
      <c r="AJ95" s="20">
        <f t="shared" si="65"/>
        <v>0</v>
      </c>
      <c r="AK95" s="20">
        <f t="shared" si="65"/>
        <v>0</v>
      </c>
      <c r="AL95" s="20">
        <f t="shared" si="65"/>
        <v>0</v>
      </c>
      <c r="AM95" s="20">
        <f t="shared" si="65"/>
        <v>0</v>
      </c>
      <c r="AN95" s="20">
        <f t="shared" si="65"/>
        <v>0</v>
      </c>
      <c r="AO95" s="20">
        <f t="shared" si="65"/>
        <v>0</v>
      </c>
      <c r="AP95" s="20">
        <f t="shared" si="65"/>
        <v>0</v>
      </c>
      <c r="AQ95" s="20">
        <f t="shared" si="65"/>
        <v>0</v>
      </c>
      <c r="AR95" s="20">
        <f t="shared" si="65"/>
        <v>0</v>
      </c>
      <c r="AS95" s="20">
        <f t="shared" si="65"/>
        <v>0</v>
      </c>
      <c r="AT95" s="20">
        <f t="shared" si="65"/>
        <v>0</v>
      </c>
      <c r="AU95" s="20">
        <f t="shared" si="65"/>
        <v>0</v>
      </c>
      <c r="AV95" s="20">
        <f t="shared" si="65"/>
        <v>0</v>
      </c>
      <c r="AW95" s="20">
        <f t="shared" si="65"/>
        <v>0</v>
      </c>
      <c r="AX95" s="20">
        <f t="shared" si="65"/>
        <v>0</v>
      </c>
      <c r="AY95" s="20">
        <f t="shared" si="65"/>
        <v>0</v>
      </c>
      <c r="AZ95" s="20">
        <f t="shared" si="65"/>
        <v>0</v>
      </c>
      <c r="BA95" s="20">
        <f t="shared" si="65"/>
        <v>0</v>
      </c>
      <c r="BB95" s="20">
        <f t="shared" si="65"/>
        <v>0</v>
      </c>
      <c r="BC95" s="20">
        <f t="shared" si="65"/>
        <v>0</v>
      </c>
      <c r="BD95" s="20">
        <f t="shared" si="65"/>
        <v>0</v>
      </c>
      <c r="BE95" s="20">
        <f t="shared" si="65"/>
        <v>0</v>
      </c>
      <c r="BF95" s="20">
        <f t="shared" si="65"/>
        <v>0</v>
      </c>
      <c r="BG95" s="20">
        <f t="shared" si="65"/>
        <v>0</v>
      </c>
      <c r="BH95" s="20">
        <f t="shared" si="65"/>
        <v>0</v>
      </c>
      <c r="BI95" s="20">
        <f t="shared" si="65"/>
        <v>0</v>
      </c>
      <c r="BJ95" s="20">
        <f t="shared" si="65"/>
        <v>0</v>
      </c>
      <c r="BK95" s="20">
        <f t="shared" si="65"/>
        <v>0</v>
      </c>
      <c r="BL95" s="20">
        <f t="shared" si="65"/>
        <v>0</v>
      </c>
      <c r="BM95" s="20">
        <f t="shared" si="65"/>
        <v>0</v>
      </c>
      <c r="BN95" s="20">
        <f t="shared" si="65"/>
        <v>0</v>
      </c>
      <c r="BO95" s="2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</row>
    <row r="96" spans="1:147" ht="13">
      <c r="A96" s="2" t="s">
        <v>760</v>
      </c>
      <c r="B96" s="2" t="s">
        <v>685</v>
      </c>
      <c r="C96" s="2" t="s">
        <v>72</v>
      </c>
      <c r="D96" s="2" t="s">
        <v>350</v>
      </c>
      <c r="E96" s="7" t="s">
        <v>351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</row>
    <row r="97" spans="1:147" ht="13">
      <c r="A97" s="2" t="s">
        <v>761</v>
      </c>
      <c r="B97" s="2" t="s">
        <v>685</v>
      </c>
      <c r="C97" s="2" t="s">
        <v>74</v>
      </c>
      <c r="D97" s="2" t="s">
        <v>242</v>
      </c>
      <c r="E97" s="7" t="s">
        <v>352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</row>
    <row r="98" spans="1:147" ht="13">
      <c r="A98" s="2" t="s">
        <v>762</v>
      </c>
      <c r="B98" s="2" t="s">
        <v>685</v>
      </c>
      <c r="C98" s="2" t="s">
        <v>76</v>
      </c>
      <c r="D98" s="2" t="s">
        <v>77</v>
      </c>
      <c r="E98" s="7" t="s">
        <v>353</v>
      </c>
      <c r="F98" s="20">
        <f t="shared" ref="F98:AG98" si="66">ROUND(F95-F96,2)</f>
        <v>0</v>
      </c>
      <c r="G98" s="20">
        <f t="shared" si="66"/>
        <v>0</v>
      </c>
      <c r="H98" s="20">
        <f t="shared" si="66"/>
        <v>0</v>
      </c>
      <c r="I98" s="20">
        <f t="shared" si="66"/>
        <v>0</v>
      </c>
      <c r="J98" s="20">
        <f t="shared" si="66"/>
        <v>0</v>
      </c>
      <c r="K98" s="20">
        <f t="shared" si="66"/>
        <v>0</v>
      </c>
      <c r="L98" s="20">
        <f t="shared" si="66"/>
        <v>0</v>
      </c>
      <c r="M98" s="20">
        <f t="shared" si="66"/>
        <v>0</v>
      </c>
      <c r="N98" s="20">
        <f t="shared" si="66"/>
        <v>0</v>
      </c>
      <c r="O98" s="20">
        <f t="shared" si="66"/>
        <v>0</v>
      </c>
      <c r="P98" s="20">
        <f t="shared" si="66"/>
        <v>0</v>
      </c>
      <c r="Q98" s="20">
        <f t="shared" si="66"/>
        <v>0</v>
      </c>
      <c r="R98" s="20">
        <f t="shared" si="66"/>
        <v>0</v>
      </c>
      <c r="S98" s="20">
        <f t="shared" si="66"/>
        <v>0</v>
      </c>
      <c r="T98" s="20">
        <f t="shared" si="66"/>
        <v>0</v>
      </c>
      <c r="U98" s="20">
        <f t="shared" si="66"/>
        <v>0</v>
      </c>
      <c r="V98" s="20">
        <f t="shared" si="66"/>
        <v>0</v>
      </c>
      <c r="W98" s="20">
        <f t="shared" si="66"/>
        <v>0</v>
      </c>
      <c r="X98" s="20">
        <f t="shared" si="66"/>
        <v>0</v>
      </c>
      <c r="Y98" s="20">
        <f t="shared" si="66"/>
        <v>0</v>
      </c>
      <c r="Z98" s="20">
        <f t="shared" si="66"/>
        <v>0</v>
      </c>
      <c r="AA98" s="20">
        <f t="shared" si="66"/>
        <v>0</v>
      </c>
      <c r="AB98" s="20">
        <f t="shared" si="66"/>
        <v>0</v>
      </c>
      <c r="AC98" s="20">
        <f t="shared" si="66"/>
        <v>0</v>
      </c>
      <c r="AD98" s="20">
        <f t="shared" si="66"/>
        <v>0</v>
      </c>
      <c r="AE98" s="20">
        <f t="shared" si="66"/>
        <v>0</v>
      </c>
      <c r="AF98" s="20">
        <f t="shared" si="66"/>
        <v>0</v>
      </c>
      <c r="AG98" s="20">
        <f t="shared" si="66"/>
        <v>0</v>
      </c>
      <c r="AH98" s="20">
        <f t="shared" ref="AH98:BN98" si="67">ROUND(AH95-AH96,2)</f>
        <v>0</v>
      </c>
      <c r="AI98" s="20">
        <f t="shared" si="67"/>
        <v>0</v>
      </c>
      <c r="AJ98" s="20">
        <f t="shared" si="67"/>
        <v>0</v>
      </c>
      <c r="AK98" s="20">
        <f t="shared" si="67"/>
        <v>0</v>
      </c>
      <c r="AL98" s="20">
        <f t="shared" si="67"/>
        <v>0</v>
      </c>
      <c r="AM98" s="20">
        <f t="shared" si="67"/>
        <v>0</v>
      </c>
      <c r="AN98" s="20">
        <f t="shared" si="67"/>
        <v>0</v>
      </c>
      <c r="AO98" s="20">
        <f t="shared" si="67"/>
        <v>0</v>
      </c>
      <c r="AP98" s="20">
        <f t="shared" si="67"/>
        <v>0</v>
      </c>
      <c r="AQ98" s="20">
        <f t="shared" si="67"/>
        <v>0</v>
      </c>
      <c r="AR98" s="20">
        <f t="shared" si="67"/>
        <v>0</v>
      </c>
      <c r="AS98" s="20">
        <f t="shared" si="67"/>
        <v>0</v>
      </c>
      <c r="AT98" s="20">
        <f t="shared" si="67"/>
        <v>0</v>
      </c>
      <c r="AU98" s="20">
        <f t="shared" si="67"/>
        <v>0</v>
      </c>
      <c r="AV98" s="20">
        <f t="shared" si="67"/>
        <v>0</v>
      </c>
      <c r="AW98" s="20">
        <f t="shared" si="67"/>
        <v>0</v>
      </c>
      <c r="AX98" s="20">
        <f t="shared" si="67"/>
        <v>0</v>
      </c>
      <c r="AY98" s="20">
        <f t="shared" si="67"/>
        <v>0</v>
      </c>
      <c r="AZ98" s="20">
        <f t="shared" si="67"/>
        <v>0</v>
      </c>
      <c r="BA98" s="20">
        <f t="shared" si="67"/>
        <v>0</v>
      </c>
      <c r="BB98" s="20">
        <f t="shared" si="67"/>
        <v>0</v>
      </c>
      <c r="BC98" s="20">
        <f t="shared" si="67"/>
        <v>0</v>
      </c>
      <c r="BD98" s="20">
        <f t="shared" si="67"/>
        <v>0</v>
      </c>
      <c r="BE98" s="20">
        <f t="shared" si="67"/>
        <v>0</v>
      </c>
      <c r="BF98" s="20">
        <f t="shared" si="67"/>
        <v>0</v>
      </c>
      <c r="BG98" s="20">
        <f t="shared" si="67"/>
        <v>0</v>
      </c>
      <c r="BH98" s="20">
        <f t="shared" si="67"/>
        <v>0</v>
      </c>
      <c r="BI98" s="20">
        <f t="shared" si="67"/>
        <v>0</v>
      </c>
      <c r="BJ98" s="20">
        <f t="shared" si="67"/>
        <v>0</v>
      </c>
      <c r="BK98" s="20">
        <f t="shared" si="67"/>
        <v>0</v>
      </c>
      <c r="BL98" s="20">
        <f t="shared" si="67"/>
        <v>0</v>
      </c>
      <c r="BM98" s="20">
        <f t="shared" si="67"/>
        <v>0</v>
      </c>
      <c r="BN98" s="20">
        <f t="shared" si="67"/>
        <v>0</v>
      </c>
      <c r="BO98" s="2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</row>
    <row r="99" spans="1:147" ht="13">
      <c r="A99" s="2" t="s">
        <v>763</v>
      </c>
      <c r="B99" s="2" t="s">
        <v>685</v>
      </c>
      <c r="C99" s="2" t="s">
        <v>78</v>
      </c>
      <c r="D99" s="2" t="s">
        <v>79</v>
      </c>
      <c r="E99" s="9" t="s">
        <v>354</v>
      </c>
      <c r="F99" s="20" t="e">
        <f t="shared" ref="F99:AG99" si="68">IF(F95&lt;&gt;0,(F98/F95),"")*100</f>
        <v>#VALUE!</v>
      </c>
      <c r="G99" s="20" t="e">
        <f t="shared" si="68"/>
        <v>#VALUE!</v>
      </c>
      <c r="H99" s="20" t="e">
        <f t="shared" si="68"/>
        <v>#VALUE!</v>
      </c>
      <c r="I99" s="20" t="e">
        <f t="shared" si="68"/>
        <v>#VALUE!</v>
      </c>
      <c r="J99" s="20" t="e">
        <f t="shared" si="68"/>
        <v>#VALUE!</v>
      </c>
      <c r="K99" s="20" t="e">
        <f t="shared" si="68"/>
        <v>#VALUE!</v>
      </c>
      <c r="L99" s="20" t="e">
        <f t="shared" si="68"/>
        <v>#VALUE!</v>
      </c>
      <c r="M99" s="20" t="e">
        <f t="shared" si="68"/>
        <v>#VALUE!</v>
      </c>
      <c r="N99" s="20" t="e">
        <f t="shared" si="68"/>
        <v>#VALUE!</v>
      </c>
      <c r="O99" s="20" t="e">
        <f t="shared" si="68"/>
        <v>#VALUE!</v>
      </c>
      <c r="P99" s="20" t="e">
        <f t="shared" si="68"/>
        <v>#VALUE!</v>
      </c>
      <c r="Q99" s="20" t="e">
        <f t="shared" si="68"/>
        <v>#VALUE!</v>
      </c>
      <c r="R99" s="20" t="e">
        <f t="shared" si="68"/>
        <v>#VALUE!</v>
      </c>
      <c r="S99" s="20" t="e">
        <f t="shared" si="68"/>
        <v>#VALUE!</v>
      </c>
      <c r="T99" s="20" t="e">
        <f t="shared" si="68"/>
        <v>#VALUE!</v>
      </c>
      <c r="U99" s="20" t="e">
        <f t="shared" si="68"/>
        <v>#VALUE!</v>
      </c>
      <c r="V99" s="20" t="e">
        <f t="shared" si="68"/>
        <v>#VALUE!</v>
      </c>
      <c r="W99" s="20" t="e">
        <f t="shared" si="68"/>
        <v>#VALUE!</v>
      </c>
      <c r="X99" s="20" t="e">
        <f t="shared" si="68"/>
        <v>#VALUE!</v>
      </c>
      <c r="Y99" s="20" t="e">
        <f t="shared" si="68"/>
        <v>#VALUE!</v>
      </c>
      <c r="Z99" s="20" t="e">
        <f t="shared" si="68"/>
        <v>#VALUE!</v>
      </c>
      <c r="AA99" s="20" t="e">
        <f t="shared" si="68"/>
        <v>#VALUE!</v>
      </c>
      <c r="AB99" s="20" t="e">
        <f t="shared" si="68"/>
        <v>#VALUE!</v>
      </c>
      <c r="AC99" s="20" t="e">
        <f t="shared" si="68"/>
        <v>#VALUE!</v>
      </c>
      <c r="AD99" s="20" t="e">
        <f t="shared" si="68"/>
        <v>#VALUE!</v>
      </c>
      <c r="AE99" s="20" t="e">
        <f t="shared" si="68"/>
        <v>#VALUE!</v>
      </c>
      <c r="AF99" s="20" t="e">
        <f t="shared" si="68"/>
        <v>#VALUE!</v>
      </c>
      <c r="AG99" s="20" t="e">
        <f t="shared" si="68"/>
        <v>#VALUE!</v>
      </c>
      <c r="AH99" s="20" t="e">
        <f>IF(AH95&lt;&gt;0,(AH98/AH95),"")*100</f>
        <v>#VALUE!</v>
      </c>
      <c r="AI99" s="20" t="e">
        <f t="shared" ref="AI99:BN99" si="69">IF(AI95&lt;&gt;0,(AI98/AI95),"")*100</f>
        <v>#VALUE!</v>
      </c>
      <c r="AJ99" s="20" t="e">
        <f t="shared" si="69"/>
        <v>#VALUE!</v>
      </c>
      <c r="AK99" s="20" t="e">
        <f t="shared" si="69"/>
        <v>#VALUE!</v>
      </c>
      <c r="AL99" s="20" t="e">
        <f t="shared" si="69"/>
        <v>#VALUE!</v>
      </c>
      <c r="AM99" s="20" t="e">
        <f t="shared" si="69"/>
        <v>#VALUE!</v>
      </c>
      <c r="AN99" s="20" t="e">
        <f t="shared" si="69"/>
        <v>#VALUE!</v>
      </c>
      <c r="AO99" s="20" t="e">
        <f t="shared" si="69"/>
        <v>#VALUE!</v>
      </c>
      <c r="AP99" s="20" t="e">
        <f t="shared" si="69"/>
        <v>#VALUE!</v>
      </c>
      <c r="AQ99" s="20" t="e">
        <f t="shared" si="69"/>
        <v>#VALUE!</v>
      </c>
      <c r="AR99" s="20" t="e">
        <f t="shared" si="69"/>
        <v>#VALUE!</v>
      </c>
      <c r="AS99" s="20" t="e">
        <f t="shared" si="69"/>
        <v>#VALUE!</v>
      </c>
      <c r="AT99" s="20" t="e">
        <f t="shared" si="69"/>
        <v>#VALUE!</v>
      </c>
      <c r="AU99" s="20" t="e">
        <f t="shared" si="69"/>
        <v>#VALUE!</v>
      </c>
      <c r="AV99" s="20" t="e">
        <f t="shared" si="69"/>
        <v>#VALUE!</v>
      </c>
      <c r="AW99" s="20" t="e">
        <f t="shared" si="69"/>
        <v>#VALUE!</v>
      </c>
      <c r="AX99" s="20" t="e">
        <f t="shared" si="69"/>
        <v>#VALUE!</v>
      </c>
      <c r="AY99" s="20" t="e">
        <f t="shared" si="69"/>
        <v>#VALUE!</v>
      </c>
      <c r="AZ99" s="20" t="e">
        <f t="shared" si="69"/>
        <v>#VALUE!</v>
      </c>
      <c r="BA99" s="20" t="e">
        <f t="shared" si="69"/>
        <v>#VALUE!</v>
      </c>
      <c r="BB99" s="20" t="e">
        <f t="shared" si="69"/>
        <v>#VALUE!</v>
      </c>
      <c r="BC99" s="20" t="e">
        <f t="shared" si="69"/>
        <v>#VALUE!</v>
      </c>
      <c r="BD99" s="20" t="e">
        <f t="shared" si="69"/>
        <v>#VALUE!</v>
      </c>
      <c r="BE99" s="20" t="e">
        <f t="shared" si="69"/>
        <v>#VALUE!</v>
      </c>
      <c r="BF99" s="20" t="e">
        <f t="shared" si="69"/>
        <v>#VALUE!</v>
      </c>
      <c r="BG99" s="20" t="e">
        <f t="shared" si="69"/>
        <v>#VALUE!</v>
      </c>
      <c r="BH99" s="20" t="e">
        <f t="shared" si="69"/>
        <v>#VALUE!</v>
      </c>
      <c r="BI99" s="20" t="e">
        <f t="shared" si="69"/>
        <v>#VALUE!</v>
      </c>
      <c r="BJ99" s="20" t="e">
        <f t="shared" si="69"/>
        <v>#VALUE!</v>
      </c>
      <c r="BK99" s="20" t="e">
        <f t="shared" si="69"/>
        <v>#VALUE!</v>
      </c>
      <c r="BL99" s="20" t="e">
        <f t="shared" si="69"/>
        <v>#VALUE!</v>
      </c>
      <c r="BM99" s="20" t="e">
        <f t="shared" si="69"/>
        <v>#VALUE!</v>
      </c>
      <c r="BN99" s="20" t="e">
        <f t="shared" si="69"/>
        <v>#VALUE!</v>
      </c>
      <c r="BO99" s="2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</row>
    <row r="100" spans="1:147" ht="28">
      <c r="A100" s="2" t="s">
        <v>764</v>
      </c>
      <c r="B100" s="2" t="s">
        <v>25</v>
      </c>
      <c r="C100" s="2" t="s">
        <v>36</v>
      </c>
      <c r="D100" s="2" t="s">
        <v>25</v>
      </c>
      <c r="E100" s="10" t="s">
        <v>92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30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30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30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30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</row>
    <row r="101" spans="1:147" ht="13">
      <c r="A101" s="2" t="s">
        <v>765</v>
      </c>
      <c r="B101" s="2" t="s">
        <v>764</v>
      </c>
      <c r="C101" s="2" t="s">
        <v>93</v>
      </c>
      <c r="D101" s="2"/>
      <c r="E101" s="7" t="s">
        <v>94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30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30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30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30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</row>
    <row r="102" spans="1:147" ht="13">
      <c r="A102" s="2" t="s">
        <v>766</v>
      </c>
      <c r="B102" s="2" t="s">
        <v>765</v>
      </c>
      <c r="C102" s="2" t="s">
        <v>95</v>
      </c>
      <c r="D102" s="2"/>
      <c r="E102" s="6" t="s">
        <v>96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30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30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30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30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</row>
    <row r="103" spans="1:147" ht="13">
      <c r="A103" s="2" t="s">
        <v>767</v>
      </c>
      <c r="B103" s="2" t="s">
        <v>766</v>
      </c>
      <c r="C103" s="2" t="s">
        <v>97</v>
      </c>
      <c r="D103" s="2" t="s">
        <v>356</v>
      </c>
      <c r="E103" s="24" t="s">
        <v>355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30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30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30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30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</row>
    <row r="104" spans="1:147" ht="13">
      <c r="A104" s="2" t="s">
        <v>768</v>
      </c>
      <c r="B104" s="2" t="s">
        <v>767</v>
      </c>
      <c r="C104" s="2" t="s">
        <v>357</v>
      </c>
      <c r="D104" s="2" t="s">
        <v>238</v>
      </c>
      <c r="E104" s="26" t="s">
        <v>358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2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</row>
    <row r="105" spans="1:147" ht="13">
      <c r="A105" s="2" t="s">
        <v>769</v>
      </c>
      <c r="B105" s="2" t="s">
        <v>767</v>
      </c>
      <c r="C105" s="2" t="s">
        <v>359</v>
      </c>
      <c r="D105" s="2" t="s">
        <v>244</v>
      </c>
      <c r="E105" s="26" t="s">
        <v>360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2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</row>
    <row r="106" spans="1:147" ht="13">
      <c r="A106" s="2" t="s">
        <v>770</v>
      </c>
      <c r="B106" s="2" t="s">
        <v>767</v>
      </c>
      <c r="C106" s="2" t="s">
        <v>361</v>
      </c>
      <c r="D106" s="2" t="s">
        <v>25</v>
      </c>
      <c r="E106" s="26" t="s">
        <v>362</v>
      </c>
      <c r="F106" s="20">
        <f t="shared" ref="F106:AG106" si="70">ROUND(F104+F105,2)</f>
        <v>0</v>
      </c>
      <c r="G106" s="20">
        <f t="shared" si="70"/>
        <v>0</v>
      </c>
      <c r="H106" s="20">
        <f t="shared" si="70"/>
        <v>0</v>
      </c>
      <c r="I106" s="20">
        <f t="shared" si="70"/>
        <v>0</v>
      </c>
      <c r="J106" s="20">
        <f t="shared" si="70"/>
        <v>0</v>
      </c>
      <c r="K106" s="20">
        <f t="shared" si="70"/>
        <v>0</v>
      </c>
      <c r="L106" s="20">
        <f t="shared" si="70"/>
        <v>0</v>
      </c>
      <c r="M106" s="20">
        <f t="shared" si="70"/>
        <v>0</v>
      </c>
      <c r="N106" s="20">
        <f t="shared" si="70"/>
        <v>0</v>
      </c>
      <c r="O106" s="20">
        <f t="shared" si="70"/>
        <v>0</v>
      </c>
      <c r="P106" s="20">
        <f t="shared" si="70"/>
        <v>0</v>
      </c>
      <c r="Q106" s="20">
        <f t="shared" si="70"/>
        <v>0</v>
      </c>
      <c r="R106" s="20">
        <f t="shared" si="70"/>
        <v>0</v>
      </c>
      <c r="S106" s="20">
        <f t="shared" si="70"/>
        <v>0</v>
      </c>
      <c r="T106" s="20">
        <f t="shared" si="70"/>
        <v>0</v>
      </c>
      <c r="U106" s="20">
        <f t="shared" si="70"/>
        <v>0</v>
      </c>
      <c r="V106" s="20">
        <f t="shared" si="70"/>
        <v>0</v>
      </c>
      <c r="W106" s="20">
        <f t="shared" si="70"/>
        <v>0</v>
      </c>
      <c r="X106" s="20">
        <f t="shared" si="70"/>
        <v>0</v>
      </c>
      <c r="Y106" s="20">
        <f t="shared" si="70"/>
        <v>0</v>
      </c>
      <c r="Z106" s="20">
        <f t="shared" si="70"/>
        <v>0</v>
      </c>
      <c r="AA106" s="20">
        <f t="shared" si="70"/>
        <v>0</v>
      </c>
      <c r="AB106" s="20">
        <f t="shared" si="70"/>
        <v>0</v>
      </c>
      <c r="AC106" s="20">
        <f t="shared" si="70"/>
        <v>0</v>
      </c>
      <c r="AD106" s="20">
        <f t="shared" si="70"/>
        <v>0</v>
      </c>
      <c r="AE106" s="20">
        <f t="shared" si="70"/>
        <v>0</v>
      </c>
      <c r="AF106" s="20">
        <f t="shared" si="70"/>
        <v>0</v>
      </c>
      <c r="AG106" s="20">
        <f t="shared" si="70"/>
        <v>0</v>
      </c>
      <c r="AH106" s="20">
        <f>ROUND(AH104+AH105,2)</f>
        <v>0</v>
      </c>
      <c r="AI106" s="20">
        <f t="shared" ref="AI106:BN106" si="71">ROUND(AI104+AI105,2)</f>
        <v>0</v>
      </c>
      <c r="AJ106" s="20">
        <f t="shared" si="71"/>
        <v>0</v>
      </c>
      <c r="AK106" s="20">
        <f t="shared" si="71"/>
        <v>0</v>
      </c>
      <c r="AL106" s="20">
        <f t="shared" si="71"/>
        <v>0</v>
      </c>
      <c r="AM106" s="20">
        <f t="shared" si="71"/>
        <v>0</v>
      </c>
      <c r="AN106" s="20">
        <f t="shared" si="71"/>
        <v>0</v>
      </c>
      <c r="AO106" s="20">
        <f t="shared" si="71"/>
        <v>0</v>
      </c>
      <c r="AP106" s="20">
        <f t="shared" si="71"/>
        <v>0</v>
      </c>
      <c r="AQ106" s="20">
        <f t="shared" si="71"/>
        <v>0</v>
      </c>
      <c r="AR106" s="20">
        <f t="shared" si="71"/>
        <v>0</v>
      </c>
      <c r="AS106" s="20">
        <f t="shared" si="71"/>
        <v>0</v>
      </c>
      <c r="AT106" s="20">
        <f t="shared" si="71"/>
        <v>0</v>
      </c>
      <c r="AU106" s="20">
        <f t="shared" si="71"/>
        <v>0</v>
      </c>
      <c r="AV106" s="20">
        <f t="shared" si="71"/>
        <v>0</v>
      </c>
      <c r="AW106" s="20">
        <f t="shared" si="71"/>
        <v>0</v>
      </c>
      <c r="AX106" s="20">
        <f t="shared" si="71"/>
        <v>0</v>
      </c>
      <c r="AY106" s="20">
        <f t="shared" si="71"/>
        <v>0</v>
      </c>
      <c r="AZ106" s="20">
        <f t="shared" si="71"/>
        <v>0</v>
      </c>
      <c r="BA106" s="20">
        <f t="shared" si="71"/>
        <v>0</v>
      </c>
      <c r="BB106" s="20">
        <f t="shared" si="71"/>
        <v>0</v>
      </c>
      <c r="BC106" s="20">
        <f t="shared" si="71"/>
        <v>0</v>
      </c>
      <c r="BD106" s="20">
        <f t="shared" si="71"/>
        <v>0</v>
      </c>
      <c r="BE106" s="20">
        <f t="shared" si="71"/>
        <v>0</v>
      </c>
      <c r="BF106" s="20">
        <f t="shared" si="71"/>
        <v>0</v>
      </c>
      <c r="BG106" s="20">
        <f t="shared" si="71"/>
        <v>0</v>
      </c>
      <c r="BH106" s="20">
        <f t="shared" si="71"/>
        <v>0</v>
      </c>
      <c r="BI106" s="20">
        <f t="shared" si="71"/>
        <v>0</v>
      </c>
      <c r="BJ106" s="20">
        <f t="shared" si="71"/>
        <v>0</v>
      </c>
      <c r="BK106" s="20">
        <f t="shared" si="71"/>
        <v>0</v>
      </c>
      <c r="BL106" s="20">
        <f t="shared" si="71"/>
        <v>0</v>
      </c>
      <c r="BM106" s="20">
        <f t="shared" si="71"/>
        <v>0</v>
      </c>
      <c r="BN106" s="20">
        <f t="shared" si="71"/>
        <v>0</v>
      </c>
      <c r="BO106" s="2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</row>
    <row r="107" spans="1:147" ht="13">
      <c r="A107" s="2" t="s">
        <v>771</v>
      </c>
      <c r="B107" s="2" t="s">
        <v>766</v>
      </c>
      <c r="C107" s="2" t="s">
        <v>98</v>
      </c>
      <c r="D107" s="2" t="s">
        <v>363</v>
      </c>
      <c r="E107" s="23" t="s">
        <v>364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2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</row>
    <row r="108" spans="1:147" ht="13">
      <c r="A108" s="2" t="s">
        <v>772</v>
      </c>
      <c r="B108" s="2" t="s">
        <v>766</v>
      </c>
      <c r="C108" s="2" t="s">
        <v>365</v>
      </c>
      <c r="D108" s="2" t="s">
        <v>244</v>
      </c>
      <c r="E108" s="23" t="s">
        <v>366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2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</row>
    <row r="109" spans="1:147" ht="13">
      <c r="A109" s="2" t="s">
        <v>773</v>
      </c>
      <c r="B109" s="2" t="s">
        <v>766</v>
      </c>
      <c r="C109" s="2" t="s">
        <v>367</v>
      </c>
      <c r="D109" s="2" t="s">
        <v>39</v>
      </c>
      <c r="E109" s="24" t="s">
        <v>368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2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</row>
    <row r="110" spans="1:147" ht="13">
      <c r="A110" s="2" t="s">
        <v>774</v>
      </c>
      <c r="B110" s="2" t="s">
        <v>766</v>
      </c>
      <c r="C110" s="2" t="s">
        <v>369</v>
      </c>
      <c r="D110" s="2" t="s">
        <v>42</v>
      </c>
      <c r="E110" s="24" t="s">
        <v>370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2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</row>
    <row r="111" spans="1:147" ht="13">
      <c r="A111" s="2" t="s">
        <v>775</v>
      </c>
      <c r="B111" s="2" t="s">
        <v>766</v>
      </c>
      <c r="C111" s="2" t="s">
        <v>371</v>
      </c>
      <c r="D111" s="2" t="s">
        <v>45</v>
      </c>
      <c r="E111" s="24" t="s">
        <v>372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2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</row>
    <row r="112" spans="1:147" ht="13">
      <c r="A112" s="2" t="s">
        <v>776</v>
      </c>
      <c r="B112" s="2" t="s">
        <v>766</v>
      </c>
      <c r="C112" s="2" t="s">
        <v>373</v>
      </c>
      <c r="D112" s="2" t="s">
        <v>52</v>
      </c>
      <c r="E112" s="24" t="s">
        <v>374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2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</row>
    <row r="113" spans="1:147" ht="13">
      <c r="A113" s="2" t="s">
        <v>777</v>
      </c>
      <c r="B113" s="2" t="s">
        <v>766</v>
      </c>
      <c r="C113" s="2" t="s">
        <v>375</v>
      </c>
      <c r="D113" s="2" t="s">
        <v>58</v>
      </c>
      <c r="E113" s="23" t="s">
        <v>376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2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</row>
    <row r="114" spans="1:147" ht="13">
      <c r="A114" s="2" t="s">
        <v>778</v>
      </c>
      <c r="B114" s="2" t="s">
        <v>766</v>
      </c>
      <c r="C114" s="2" t="s">
        <v>377</v>
      </c>
      <c r="D114" s="2" t="s">
        <v>60</v>
      </c>
      <c r="E114" s="23" t="s">
        <v>378</v>
      </c>
      <c r="F114" s="20">
        <f t="shared" ref="F114:AG114" si="72">SUM(F$115:F$119)</f>
        <v>0</v>
      </c>
      <c r="G114" s="20">
        <f t="shared" si="72"/>
        <v>0</v>
      </c>
      <c r="H114" s="20">
        <f t="shared" si="72"/>
        <v>0</v>
      </c>
      <c r="I114" s="20">
        <f t="shared" si="72"/>
        <v>0</v>
      </c>
      <c r="J114" s="20">
        <f t="shared" si="72"/>
        <v>0</v>
      </c>
      <c r="K114" s="20">
        <f t="shared" si="72"/>
        <v>0</v>
      </c>
      <c r="L114" s="20">
        <f t="shared" si="72"/>
        <v>0</v>
      </c>
      <c r="M114" s="20">
        <f t="shared" si="72"/>
        <v>0</v>
      </c>
      <c r="N114" s="20">
        <f t="shared" si="72"/>
        <v>0</v>
      </c>
      <c r="O114" s="20">
        <f t="shared" si="72"/>
        <v>0</v>
      </c>
      <c r="P114" s="20">
        <f t="shared" si="72"/>
        <v>0</v>
      </c>
      <c r="Q114" s="20">
        <f t="shared" si="72"/>
        <v>0</v>
      </c>
      <c r="R114" s="20">
        <f t="shared" si="72"/>
        <v>0</v>
      </c>
      <c r="S114" s="20">
        <f t="shared" si="72"/>
        <v>0</v>
      </c>
      <c r="T114" s="20">
        <f t="shared" si="72"/>
        <v>0</v>
      </c>
      <c r="U114" s="20">
        <f t="shared" si="72"/>
        <v>0</v>
      </c>
      <c r="V114" s="20">
        <f t="shared" si="72"/>
        <v>0</v>
      </c>
      <c r="W114" s="20">
        <f t="shared" si="72"/>
        <v>0</v>
      </c>
      <c r="X114" s="20">
        <f t="shared" si="72"/>
        <v>0</v>
      </c>
      <c r="Y114" s="20">
        <f t="shared" si="72"/>
        <v>0</v>
      </c>
      <c r="Z114" s="20">
        <f t="shared" si="72"/>
        <v>0</v>
      </c>
      <c r="AA114" s="20">
        <f t="shared" si="72"/>
        <v>0</v>
      </c>
      <c r="AB114" s="20">
        <f t="shared" si="72"/>
        <v>0</v>
      </c>
      <c r="AC114" s="20">
        <f t="shared" si="72"/>
        <v>0</v>
      </c>
      <c r="AD114" s="20">
        <f t="shared" si="72"/>
        <v>0</v>
      </c>
      <c r="AE114" s="20">
        <f t="shared" si="72"/>
        <v>0</v>
      </c>
      <c r="AF114" s="20">
        <f t="shared" si="72"/>
        <v>0</v>
      </c>
      <c r="AG114" s="20">
        <f t="shared" si="72"/>
        <v>0</v>
      </c>
      <c r="AH114" s="20">
        <f>SUM(AH$115:AH$119)</f>
        <v>0</v>
      </c>
      <c r="AI114" s="20">
        <f t="shared" ref="AI114:BN114" si="73">SUM(AI$115:AI$119)</f>
        <v>0</v>
      </c>
      <c r="AJ114" s="20">
        <f t="shared" si="73"/>
        <v>0</v>
      </c>
      <c r="AK114" s="20">
        <f t="shared" si="73"/>
        <v>0</v>
      </c>
      <c r="AL114" s="20">
        <f t="shared" si="73"/>
        <v>0</v>
      </c>
      <c r="AM114" s="20">
        <f t="shared" si="73"/>
        <v>0</v>
      </c>
      <c r="AN114" s="20">
        <f t="shared" si="73"/>
        <v>0</v>
      </c>
      <c r="AO114" s="20">
        <f t="shared" si="73"/>
        <v>0</v>
      </c>
      <c r="AP114" s="20">
        <f t="shared" si="73"/>
        <v>0</v>
      </c>
      <c r="AQ114" s="20">
        <f t="shared" si="73"/>
        <v>0</v>
      </c>
      <c r="AR114" s="20">
        <f t="shared" si="73"/>
        <v>0</v>
      </c>
      <c r="AS114" s="20">
        <f t="shared" si="73"/>
        <v>0</v>
      </c>
      <c r="AT114" s="20">
        <f t="shared" si="73"/>
        <v>0</v>
      </c>
      <c r="AU114" s="20">
        <f t="shared" si="73"/>
        <v>0</v>
      </c>
      <c r="AV114" s="20">
        <f t="shared" si="73"/>
        <v>0</v>
      </c>
      <c r="AW114" s="20">
        <f t="shared" si="73"/>
        <v>0</v>
      </c>
      <c r="AX114" s="20">
        <f t="shared" si="73"/>
        <v>0</v>
      </c>
      <c r="AY114" s="20">
        <f t="shared" si="73"/>
        <v>0</v>
      </c>
      <c r="AZ114" s="20">
        <f t="shared" si="73"/>
        <v>0</v>
      </c>
      <c r="BA114" s="20">
        <f t="shared" si="73"/>
        <v>0</v>
      </c>
      <c r="BB114" s="20">
        <f t="shared" si="73"/>
        <v>0</v>
      </c>
      <c r="BC114" s="20">
        <f t="shared" si="73"/>
        <v>0</v>
      </c>
      <c r="BD114" s="20">
        <f t="shared" si="73"/>
        <v>0</v>
      </c>
      <c r="BE114" s="20">
        <f t="shared" si="73"/>
        <v>0</v>
      </c>
      <c r="BF114" s="20">
        <f t="shared" si="73"/>
        <v>0</v>
      </c>
      <c r="BG114" s="20">
        <f t="shared" si="73"/>
        <v>0</v>
      </c>
      <c r="BH114" s="20">
        <f t="shared" si="73"/>
        <v>0</v>
      </c>
      <c r="BI114" s="20">
        <f t="shared" si="73"/>
        <v>0</v>
      </c>
      <c r="BJ114" s="20">
        <f t="shared" si="73"/>
        <v>0</v>
      </c>
      <c r="BK114" s="20">
        <f t="shared" si="73"/>
        <v>0</v>
      </c>
      <c r="BL114" s="20">
        <f t="shared" si="73"/>
        <v>0</v>
      </c>
      <c r="BM114" s="20">
        <f t="shared" si="73"/>
        <v>0</v>
      </c>
      <c r="BN114" s="20">
        <f t="shared" si="73"/>
        <v>0</v>
      </c>
      <c r="BO114" s="2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</row>
    <row r="115" spans="1:147" ht="13">
      <c r="A115" s="2" t="s">
        <v>779</v>
      </c>
      <c r="B115" s="2" t="s">
        <v>778</v>
      </c>
      <c r="C115" s="2" t="s">
        <v>379</v>
      </c>
      <c r="D115" s="2" t="s">
        <v>240</v>
      </c>
      <c r="E115" s="26" t="s">
        <v>380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2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</row>
    <row r="116" spans="1:147" ht="13">
      <c r="A116" s="2" t="s">
        <v>780</v>
      </c>
      <c r="B116" s="2" t="s">
        <v>778</v>
      </c>
      <c r="C116" s="2" t="s">
        <v>381</v>
      </c>
      <c r="D116" s="2" t="s">
        <v>242</v>
      </c>
      <c r="E116" s="26" t="s">
        <v>382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2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</row>
    <row r="117" spans="1:147" ht="13">
      <c r="A117" s="2" t="s">
        <v>781</v>
      </c>
      <c r="B117" s="2" t="s">
        <v>778</v>
      </c>
      <c r="C117" s="2" t="s">
        <v>383</v>
      </c>
      <c r="D117" s="2" t="s">
        <v>256</v>
      </c>
      <c r="E117" s="26" t="s">
        <v>384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2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</row>
    <row r="118" spans="1:147" ht="13">
      <c r="A118" s="2" t="s">
        <v>782</v>
      </c>
      <c r="B118" s="2" t="s">
        <v>778</v>
      </c>
      <c r="C118" s="2" t="s">
        <v>385</v>
      </c>
      <c r="D118" s="2" t="s">
        <v>273</v>
      </c>
      <c r="E118" s="26" t="s">
        <v>386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2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</row>
    <row r="119" spans="1:147" ht="13">
      <c r="A119" s="2" t="s">
        <v>783</v>
      </c>
      <c r="B119" s="2" t="s">
        <v>778</v>
      </c>
      <c r="C119" s="2" t="s">
        <v>387</v>
      </c>
      <c r="D119" s="2" t="s">
        <v>275</v>
      </c>
      <c r="E119" s="26" t="s">
        <v>120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2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</row>
    <row r="120" spans="1:147" ht="13">
      <c r="A120" s="2" t="s">
        <v>784</v>
      </c>
      <c r="B120" s="2" t="s">
        <v>766</v>
      </c>
      <c r="C120" s="2" t="s">
        <v>388</v>
      </c>
      <c r="D120" s="2" t="s">
        <v>62</v>
      </c>
      <c r="E120" s="23" t="s">
        <v>389</v>
      </c>
      <c r="F120" s="20">
        <f t="shared" ref="F120:AG120" si="74">ROUND(SUM(F$121:F$126),2)</f>
        <v>0</v>
      </c>
      <c r="G120" s="20">
        <f t="shared" si="74"/>
        <v>0</v>
      </c>
      <c r="H120" s="20">
        <f t="shared" si="74"/>
        <v>0</v>
      </c>
      <c r="I120" s="20">
        <f t="shared" si="74"/>
        <v>0</v>
      </c>
      <c r="J120" s="20">
        <f t="shared" si="74"/>
        <v>0</v>
      </c>
      <c r="K120" s="20">
        <f t="shared" si="74"/>
        <v>0</v>
      </c>
      <c r="L120" s="20">
        <f t="shared" si="74"/>
        <v>0</v>
      </c>
      <c r="M120" s="20">
        <f t="shared" si="74"/>
        <v>0</v>
      </c>
      <c r="N120" s="20">
        <f t="shared" si="74"/>
        <v>0</v>
      </c>
      <c r="O120" s="20">
        <f t="shared" si="74"/>
        <v>0</v>
      </c>
      <c r="P120" s="20">
        <f t="shared" si="74"/>
        <v>0</v>
      </c>
      <c r="Q120" s="20">
        <f t="shared" si="74"/>
        <v>0</v>
      </c>
      <c r="R120" s="20">
        <f t="shared" si="74"/>
        <v>0</v>
      </c>
      <c r="S120" s="20">
        <f t="shared" si="74"/>
        <v>0</v>
      </c>
      <c r="T120" s="20">
        <f t="shared" si="74"/>
        <v>0</v>
      </c>
      <c r="U120" s="20">
        <f t="shared" si="74"/>
        <v>0</v>
      </c>
      <c r="V120" s="20">
        <f t="shared" si="74"/>
        <v>0</v>
      </c>
      <c r="W120" s="20">
        <f t="shared" si="74"/>
        <v>0</v>
      </c>
      <c r="X120" s="20">
        <f t="shared" si="74"/>
        <v>0</v>
      </c>
      <c r="Y120" s="20">
        <f t="shared" si="74"/>
        <v>0</v>
      </c>
      <c r="Z120" s="20">
        <f t="shared" si="74"/>
        <v>0</v>
      </c>
      <c r="AA120" s="20">
        <f t="shared" si="74"/>
        <v>0</v>
      </c>
      <c r="AB120" s="20">
        <f t="shared" si="74"/>
        <v>0</v>
      </c>
      <c r="AC120" s="20">
        <f t="shared" si="74"/>
        <v>0</v>
      </c>
      <c r="AD120" s="20">
        <f t="shared" si="74"/>
        <v>0</v>
      </c>
      <c r="AE120" s="20">
        <f t="shared" si="74"/>
        <v>0</v>
      </c>
      <c r="AF120" s="20">
        <f t="shared" si="74"/>
        <v>0</v>
      </c>
      <c r="AG120" s="20">
        <f t="shared" si="74"/>
        <v>0</v>
      </c>
      <c r="AH120" s="20">
        <f>ROUND(SUM(AH$121:AH$126),2)</f>
        <v>0</v>
      </c>
      <c r="AI120" s="20">
        <f t="shared" ref="AI120:BN120" si="75">ROUND(SUM(AI$121:AI$126),2)</f>
        <v>0</v>
      </c>
      <c r="AJ120" s="20">
        <f t="shared" si="75"/>
        <v>0</v>
      </c>
      <c r="AK120" s="20">
        <f t="shared" si="75"/>
        <v>0</v>
      </c>
      <c r="AL120" s="20">
        <f t="shared" si="75"/>
        <v>0</v>
      </c>
      <c r="AM120" s="20">
        <f t="shared" si="75"/>
        <v>0</v>
      </c>
      <c r="AN120" s="20">
        <f t="shared" si="75"/>
        <v>0</v>
      </c>
      <c r="AO120" s="20">
        <f t="shared" si="75"/>
        <v>0</v>
      </c>
      <c r="AP120" s="20">
        <f t="shared" si="75"/>
        <v>0</v>
      </c>
      <c r="AQ120" s="20">
        <f t="shared" si="75"/>
        <v>0</v>
      </c>
      <c r="AR120" s="20">
        <f t="shared" si="75"/>
        <v>0</v>
      </c>
      <c r="AS120" s="20">
        <f t="shared" si="75"/>
        <v>0</v>
      </c>
      <c r="AT120" s="20">
        <f t="shared" si="75"/>
        <v>0</v>
      </c>
      <c r="AU120" s="20">
        <f t="shared" si="75"/>
        <v>0</v>
      </c>
      <c r="AV120" s="20">
        <f t="shared" si="75"/>
        <v>0</v>
      </c>
      <c r="AW120" s="20">
        <f t="shared" si="75"/>
        <v>0</v>
      </c>
      <c r="AX120" s="20">
        <f t="shared" si="75"/>
        <v>0</v>
      </c>
      <c r="AY120" s="20">
        <f t="shared" si="75"/>
        <v>0</v>
      </c>
      <c r="AZ120" s="20">
        <f t="shared" si="75"/>
        <v>0</v>
      </c>
      <c r="BA120" s="20">
        <f t="shared" si="75"/>
        <v>0</v>
      </c>
      <c r="BB120" s="20">
        <f t="shared" si="75"/>
        <v>0</v>
      </c>
      <c r="BC120" s="20">
        <f t="shared" si="75"/>
        <v>0</v>
      </c>
      <c r="BD120" s="20">
        <f t="shared" si="75"/>
        <v>0</v>
      </c>
      <c r="BE120" s="20">
        <f t="shared" si="75"/>
        <v>0</v>
      </c>
      <c r="BF120" s="20">
        <f t="shared" si="75"/>
        <v>0</v>
      </c>
      <c r="BG120" s="20">
        <f t="shared" si="75"/>
        <v>0</v>
      </c>
      <c r="BH120" s="20">
        <f t="shared" si="75"/>
        <v>0</v>
      </c>
      <c r="BI120" s="20">
        <f t="shared" si="75"/>
        <v>0</v>
      </c>
      <c r="BJ120" s="20">
        <f t="shared" si="75"/>
        <v>0</v>
      </c>
      <c r="BK120" s="20">
        <f t="shared" si="75"/>
        <v>0</v>
      </c>
      <c r="BL120" s="20">
        <f t="shared" si="75"/>
        <v>0</v>
      </c>
      <c r="BM120" s="20">
        <f t="shared" si="75"/>
        <v>0</v>
      </c>
      <c r="BN120" s="20">
        <f t="shared" si="75"/>
        <v>0</v>
      </c>
      <c r="BO120" s="2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</row>
    <row r="121" spans="1:147" ht="13">
      <c r="A121" s="2" t="s">
        <v>785</v>
      </c>
      <c r="B121" s="2" t="s">
        <v>784</v>
      </c>
      <c r="C121" s="2" t="s">
        <v>390</v>
      </c>
      <c r="D121" s="2" t="s">
        <v>240</v>
      </c>
      <c r="E121" s="26" t="s">
        <v>101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2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</row>
    <row r="122" spans="1:147" ht="13">
      <c r="A122" s="2" t="s">
        <v>786</v>
      </c>
      <c r="B122" s="2" t="s">
        <v>784</v>
      </c>
      <c r="C122" s="2" t="s">
        <v>391</v>
      </c>
      <c r="D122" s="2" t="s">
        <v>242</v>
      </c>
      <c r="E122" s="26" t="s">
        <v>392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2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</row>
    <row r="123" spans="1:147" ht="13">
      <c r="A123" s="2" t="s">
        <v>787</v>
      </c>
      <c r="B123" s="2" t="s">
        <v>784</v>
      </c>
      <c r="C123" s="2" t="s">
        <v>393</v>
      </c>
      <c r="D123" s="2" t="s">
        <v>256</v>
      </c>
      <c r="E123" s="26" t="s">
        <v>336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2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</row>
    <row r="124" spans="1:147" ht="13">
      <c r="A124" s="2" t="s">
        <v>788</v>
      </c>
      <c r="B124" s="2" t="s">
        <v>784</v>
      </c>
      <c r="C124" s="2" t="s">
        <v>394</v>
      </c>
      <c r="D124" s="2" t="s">
        <v>273</v>
      </c>
      <c r="E124" s="26" t="s">
        <v>395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2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</row>
    <row r="125" spans="1:147" ht="13">
      <c r="A125" s="2" t="s">
        <v>789</v>
      </c>
      <c r="B125" s="2" t="s">
        <v>784</v>
      </c>
      <c r="C125" s="2" t="s">
        <v>396</v>
      </c>
      <c r="D125" s="2" t="s">
        <v>275</v>
      </c>
      <c r="E125" s="26" t="s">
        <v>397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2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</row>
    <row r="126" spans="1:147" ht="13">
      <c r="A126" s="2" t="s">
        <v>790</v>
      </c>
      <c r="B126" s="2" t="s">
        <v>784</v>
      </c>
      <c r="C126" s="2" t="s">
        <v>398</v>
      </c>
      <c r="D126" s="2" t="s">
        <v>278</v>
      </c>
      <c r="E126" s="26" t="s">
        <v>313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2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</row>
    <row r="127" spans="1:147" ht="13">
      <c r="A127" s="2" t="s">
        <v>791</v>
      </c>
      <c r="B127" s="2" t="s">
        <v>784</v>
      </c>
      <c r="C127" s="2" t="s">
        <v>399</v>
      </c>
      <c r="D127" s="2" t="s">
        <v>25</v>
      </c>
      <c r="E127" s="26" t="s">
        <v>400</v>
      </c>
      <c r="F127" s="20">
        <f t="shared" ref="F127:AG127" si="76">SUM(F$107:F$114)+F120</f>
        <v>0</v>
      </c>
      <c r="G127" s="20">
        <f t="shared" si="76"/>
        <v>0</v>
      </c>
      <c r="H127" s="20">
        <f t="shared" si="76"/>
        <v>0</v>
      </c>
      <c r="I127" s="20">
        <f t="shared" si="76"/>
        <v>0</v>
      </c>
      <c r="J127" s="20">
        <f t="shared" si="76"/>
        <v>0</v>
      </c>
      <c r="K127" s="20">
        <f t="shared" si="76"/>
        <v>0</v>
      </c>
      <c r="L127" s="20">
        <f t="shared" si="76"/>
        <v>0</v>
      </c>
      <c r="M127" s="20">
        <f t="shared" si="76"/>
        <v>0</v>
      </c>
      <c r="N127" s="20">
        <f t="shared" si="76"/>
        <v>0</v>
      </c>
      <c r="O127" s="20">
        <f t="shared" si="76"/>
        <v>0</v>
      </c>
      <c r="P127" s="20">
        <f t="shared" si="76"/>
        <v>0</v>
      </c>
      <c r="Q127" s="20">
        <f t="shared" si="76"/>
        <v>0</v>
      </c>
      <c r="R127" s="20">
        <f t="shared" si="76"/>
        <v>0</v>
      </c>
      <c r="S127" s="20">
        <f t="shared" si="76"/>
        <v>0</v>
      </c>
      <c r="T127" s="20">
        <f t="shared" si="76"/>
        <v>0</v>
      </c>
      <c r="U127" s="20">
        <f t="shared" si="76"/>
        <v>0</v>
      </c>
      <c r="V127" s="20">
        <f t="shared" si="76"/>
        <v>0</v>
      </c>
      <c r="W127" s="20">
        <f t="shared" si="76"/>
        <v>0</v>
      </c>
      <c r="X127" s="20">
        <f t="shared" si="76"/>
        <v>0</v>
      </c>
      <c r="Y127" s="20">
        <f t="shared" si="76"/>
        <v>0</v>
      </c>
      <c r="Z127" s="20">
        <f t="shared" si="76"/>
        <v>0</v>
      </c>
      <c r="AA127" s="20">
        <f t="shared" si="76"/>
        <v>0</v>
      </c>
      <c r="AB127" s="20">
        <f t="shared" si="76"/>
        <v>0</v>
      </c>
      <c r="AC127" s="20">
        <f t="shared" si="76"/>
        <v>0</v>
      </c>
      <c r="AD127" s="20">
        <f t="shared" si="76"/>
        <v>0</v>
      </c>
      <c r="AE127" s="20">
        <f t="shared" si="76"/>
        <v>0</v>
      </c>
      <c r="AF127" s="20">
        <f t="shared" si="76"/>
        <v>0</v>
      </c>
      <c r="AG127" s="20">
        <f t="shared" si="76"/>
        <v>0</v>
      </c>
      <c r="AH127" s="20">
        <f>SUM(AH$107:AH$114)+AH120</f>
        <v>0</v>
      </c>
      <c r="AI127" s="20">
        <f t="shared" ref="AI127:BN127" si="77">SUM(AI$107:AI$114)+AI120</f>
        <v>0</v>
      </c>
      <c r="AJ127" s="20">
        <f t="shared" si="77"/>
        <v>0</v>
      </c>
      <c r="AK127" s="20">
        <f t="shared" si="77"/>
        <v>0</v>
      </c>
      <c r="AL127" s="20">
        <f t="shared" si="77"/>
        <v>0</v>
      </c>
      <c r="AM127" s="20">
        <f t="shared" si="77"/>
        <v>0</v>
      </c>
      <c r="AN127" s="20">
        <f t="shared" si="77"/>
        <v>0</v>
      </c>
      <c r="AO127" s="20">
        <f t="shared" si="77"/>
        <v>0</v>
      </c>
      <c r="AP127" s="20">
        <f t="shared" si="77"/>
        <v>0</v>
      </c>
      <c r="AQ127" s="20">
        <f t="shared" si="77"/>
        <v>0</v>
      </c>
      <c r="AR127" s="20">
        <f t="shared" si="77"/>
        <v>0</v>
      </c>
      <c r="AS127" s="20">
        <f t="shared" si="77"/>
        <v>0</v>
      </c>
      <c r="AT127" s="20">
        <f t="shared" si="77"/>
        <v>0</v>
      </c>
      <c r="AU127" s="20">
        <f t="shared" si="77"/>
        <v>0</v>
      </c>
      <c r="AV127" s="20">
        <f t="shared" si="77"/>
        <v>0</v>
      </c>
      <c r="AW127" s="20">
        <f t="shared" si="77"/>
        <v>0</v>
      </c>
      <c r="AX127" s="20">
        <f t="shared" si="77"/>
        <v>0</v>
      </c>
      <c r="AY127" s="20">
        <f t="shared" si="77"/>
        <v>0</v>
      </c>
      <c r="AZ127" s="20">
        <f t="shared" si="77"/>
        <v>0</v>
      </c>
      <c r="BA127" s="20">
        <f t="shared" si="77"/>
        <v>0</v>
      </c>
      <c r="BB127" s="20">
        <f t="shared" si="77"/>
        <v>0</v>
      </c>
      <c r="BC127" s="20">
        <f t="shared" si="77"/>
        <v>0</v>
      </c>
      <c r="BD127" s="20">
        <f t="shared" si="77"/>
        <v>0</v>
      </c>
      <c r="BE127" s="20">
        <f t="shared" si="77"/>
        <v>0</v>
      </c>
      <c r="BF127" s="20">
        <f t="shared" si="77"/>
        <v>0</v>
      </c>
      <c r="BG127" s="20">
        <f t="shared" si="77"/>
        <v>0</v>
      </c>
      <c r="BH127" s="20">
        <f t="shared" si="77"/>
        <v>0</v>
      </c>
      <c r="BI127" s="20">
        <f t="shared" si="77"/>
        <v>0</v>
      </c>
      <c r="BJ127" s="20">
        <f t="shared" si="77"/>
        <v>0</v>
      </c>
      <c r="BK127" s="20">
        <f t="shared" si="77"/>
        <v>0</v>
      </c>
      <c r="BL127" s="20">
        <f t="shared" si="77"/>
        <v>0</v>
      </c>
      <c r="BM127" s="20">
        <f t="shared" si="77"/>
        <v>0</v>
      </c>
      <c r="BN127" s="20">
        <f t="shared" si="77"/>
        <v>0</v>
      </c>
      <c r="BO127" s="2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</row>
    <row r="128" spans="1:147" ht="13">
      <c r="A128" s="2" t="s">
        <v>792</v>
      </c>
      <c r="B128" s="2" t="s">
        <v>766</v>
      </c>
      <c r="C128" s="2" t="s">
        <v>401</v>
      </c>
      <c r="D128" s="2" t="s">
        <v>64</v>
      </c>
      <c r="E128" s="23" t="s">
        <v>402</v>
      </c>
      <c r="F128" s="20">
        <f t="shared" ref="F128:AG128" si="78">ROUND(F106+F127,2)</f>
        <v>0</v>
      </c>
      <c r="G128" s="20">
        <f t="shared" si="78"/>
        <v>0</v>
      </c>
      <c r="H128" s="20">
        <f t="shared" si="78"/>
        <v>0</v>
      </c>
      <c r="I128" s="20">
        <f t="shared" si="78"/>
        <v>0</v>
      </c>
      <c r="J128" s="20">
        <f t="shared" si="78"/>
        <v>0</v>
      </c>
      <c r="K128" s="20">
        <f t="shared" si="78"/>
        <v>0</v>
      </c>
      <c r="L128" s="20">
        <f t="shared" si="78"/>
        <v>0</v>
      </c>
      <c r="M128" s="20">
        <f t="shared" si="78"/>
        <v>0</v>
      </c>
      <c r="N128" s="20">
        <f t="shared" si="78"/>
        <v>0</v>
      </c>
      <c r="O128" s="20">
        <f t="shared" si="78"/>
        <v>0</v>
      </c>
      <c r="P128" s="20">
        <f t="shared" si="78"/>
        <v>0</v>
      </c>
      <c r="Q128" s="20">
        <f t="shared" si="78"/>
        <v>0</v>
      </c>
      <c r="R128" s="20">
        <f t="shared" si="78"/>
        <v>0</v>
      </c>
      <c r="S128" s="20">
        <f t="shared" si="78"/>
        <v>0</v>
      </c>
      <c r="T128" s="20">
        <f t="shared" si="78"/>
        <v>0</v>
      </c>
      <c r="U128" s="20">
        <f t="shared" si="78"/>
        <v>0</v>
      </c>
      <c r="V128" s="20">
        <f t="shared" si="78"/>
        <v>0</v>
      </c>
      <c r="W128" s="20">
        <f t="shared" si="78"/>
        <v>0</v>
      </c>
      <c r="X128" s="20">
        <f t="shared" si="78"/>
        <v>0</v>
      </c>
      <c r="Y128" s="20">
        <f t="shared" si="78"/>
        <v>0</v>
      </c>
      <c r="Z128" s="20">
        <f t="shared" si="78"/>
        <v>0</v>
      </c>
      <c r="AA128" s="20">
        <f t="shared" si="78"/>
        <v>0</v>
      </c>
      <c r="AB128" s="20">
        <f t="shared" si="78"/>
        <v>0</v>
      </c>
      <c r="AC128" s="20">
        <f t="shared" si="78"/>
        <v>0</v>
      </c>
      <c r="AD128" s="20">
        <f t="shared" si="78"/>
        <v>0</v>
      </c>
      <c r="AE128" s="20">
        <f t="shared" si="78"/>
        <v>0</v>
      </c>
      <c r="AF128" s="20">
        <f t="shared" si="78"/>
        <v>0</v>
      </c>
      <c r="AG128" s="20">
        <f t="shared" si="78"/>
        <v>0</v>
      </c>
      <c r="AH128" s="20">
        <f t="shared" ref="AH128" si="79">ROUND(AH106+AH127,2)</f>
        <v>0</v>
      </c>
      <c r="AI128" s="20">
        <f t="shared" ref="AI128:BN128" si="80">ROUND(AI106+AI127,2)</f>
        <v>0</v>
      </c>
      <c r="AJ128" s="20">
        <f t="shared" si="80"/>
        <v>0</v>
      </c>
      <c r="AK128" s="20">
        <f t="shared" si="80"/>
        <v>0</v>
      </c>
      <c r="AL128" s="20">
        <f t="shared" si="80"/>
        <v>0</v>
      </c>
      <c r="AM128" s="20">
        <f t="shared" si="80"/>
        <v>0</v>
      </c>
      <c r="AN128" s="20">
        <f t="shared" si="80"/>
        <v>0</v>
      </c>
      <c r="AO128" s="20">
        <f t="shared" si="80"/>
        <v>0</v>
      </c>
      <c r="AP128" s="20">
        <f t="shared" si="80"/>
        <v>0</v>
      </c>
      <c r="AQ128" s="20">
        <f t="shared" si="80"/>
        <v>0</v>
      </c>
      <c r="AR128" s="20">
        <f t="shared" si="80"/>
        <v>0</v>
      </c>
      <c r="AS128" s="20">
        <f t="shared" si="80"/>
        <v>0</v>
      </c>
      <c r="AT128" s="20">
        <f t="shared" si="80"/>
        <v>0</v>
      </c>
      <c r="AU128" s="20">
        <f t="shared" si="80"/>
        <v>0</v>
      </c>
      <c r="AV128" s="20">
        <f t="shared" si="80"/>
        <v>0</v>
      </c>
      <c r="AW128" s="20">
        <f t="shared" si="80"/>
        <v>0</v>
      </c>
      <c r="AX128" s="20">
        <f t="shared" si="80"/>
        <v>0</v>
      </c>
      <c r="AY128" s="20">
        <f t="shared" si="80"/>
        <v>0</v>
      </c>
      <c r="AZ128" s="20">
        <f t="shared" si="80"/>
        <v>0</v>
      </c>
      <c r="BA128" s="20">
        <f t="shared" si="80"/>
        <v>0</v>
      </c>
      <c r="BB128" s="20">
        <f t="shared" si="80"/>
        <v>0</v>
      </c>
      <c r="BC128" s="20">
        <f t="shared" si="80"/>
        <v>0</v>
      </c>
      <c r="BD128" s="20">
        <f t="shared" si="80"/>
        <v>0</v>
      </c>
      <c r="BE128" s="20">
        <f t="shared" si="80"/>
        <v>0</v>
      </c>
      <c r="BF128" s="20">
        <f t="shared" si="80"/>
        <v>0</v>
      </c>
      <c r="BG128" s="20">
        <f t="shared" si="80"/>
        <v>0</v>
      </c>
      <c r="BH128" s="20">
        <f t="shared" si="80"/>
        <v>0</v>
      </c>
      <c r="BI128" s="20">
        <f t="shared" si="80"/>
        <v>0</v>
      </c>
      <c r="BJ128" s="20">
        <f t="shared" si="80"/>
        <v>0</v>
      </c>
      <c r="BK128" s="20">
        <f t="shared" si="80"/>
        <v>0</v>
      </c>
      <c r="BL128" s="20">
        <f t="shared" si="80"/>
        <v>0</v>
      </c>
      <c r="BM128" s="20">
        <f t="shared" si="80"/>
        <v>0</v>
      </c>
      <c r="BN128" s="20">
        <f t="shared" si="80"/>
        <v>0</v>
      </c>
      <c r="BO128" s="2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</row>
    <row r="129" spans="1:147">
      <c r="A129" s="2" t="s">
        <v>793</v>
      </c>
      <c r="B129" s="2" t="s">
        <v>766</v>
      </c>
      <c r="C129" s="2" t="s">
        <v>403</v>
      </c>
      <c r="D129" s="2" t="s">
        <v>25</v>
      </c>
      <c r="E129" s="46" t="s">
        <v>35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2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</row>
    <row r="130" spans="1:147" ht="13">
      <c r="A130" s="2" t="s">
        <v>794</v>
      </c>
      <c r="B130" s="2" t="s">
        <v>765</v>
      </c>
      <c r="C130" s="2" t="s">
        <v>99</v>
      </c>
      <c r="D130" s="2"/>
      <c r="E130" s="6" t="s">
        <v>106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30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30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30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30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</row>
    <row r="131" spans="1:147" ht="13">
      <c r="A131" s="2" t="s">
        <v>795</v>
      </c>
      <c r="B131" s="2" t="s">
        <v>794</v>
      </c>
      <c r="C131" s="2" t="s">
        <v>131</v>
      </c>
      <c r="D131" s="2" t="s">
        <v>66</v>
      </c>
      <c r="E131" s="23" t="s">
        <v>404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2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</row>
    <row r="132" spans="1:147" ht="13">
      <c r="A132" s="2" t="s">
        <v>796</v>
      </c>
      <c r="B132" s="2" t="s">
        <v>794</v>
      </c>
      <c r="C132" s="2" t="s">
        <v>133</v>
      </c>
      <c r="D132" s="2" t="s">
        <v>68</v>
      </c>
      <c r="E132" s="24" t="s">
        <v>405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2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</row>
    <row r="133" spans="1:147" ht="13">
      <c r="A133" s="2" t="s">
        <v>797</v>
      </c>
      <c r="B133" s="2" t="s">
        <v>794</v>
      </c>
      <c r="C133" s="2" t="s">
        <v>134</v>
      </c>
      <c r="D133" s="2" t="s">
        <v>406</v>
      </c>
      <c r="E133" s="23" t="s">
        <v>407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2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</row>
    <row r="134" spans="1:147" ht="13">
      <c r="A134" s="2" t="s">
        <v>798</v>
      </c>
      <c r="B134" s="2" t="s">
        <v>794</v>
      </c>
      <c r="C134" s="2" t="s">
        <v>408</v>
      </c>
      <c r="D134" s="2" t="s">
        <v>409</v>
      </c>
      <c r="E134" s="23" t="s">
        <v>410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2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</row>
    <row r="135" spans="1:147" ht="13">
      <c r="A135" s="2" t="s">
        <v>799</v>
      </c>
      <c r="B135" s="2" t="s">
        <v>794</v>
      </c>
      <c r="C135" s="2" t="s">
        <v>411</v>
      </c>
      <c r="D135" s="2" t="s">
        <v>73</v>
      </c>
      <c r="E135" s="23" t="s">
        <v>412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2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</row>
    <row r="136" spans="1:147" ht="13">
      <c r="A136" s="2" t="s">
        <v>800</v>
      </c>
      <c r="B136" s="2" t="s">
        <v>794</v>
      </c>
      <c r="C136" s="2" t="s">
        <v>413</v>
      </c>
      <c r="D136" s="2" t="s">
        <v>75</v>
      </c>
      <c r="E136" s="23" t="s">
        <v>414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2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</row>
    <row r="137" spans="1:147" ht="26">
      <c r="A137" s="2" t="s">
        <v>801</v>
      </c>
      <c r="B137" s="2" t="s">
        <v>794</v>
      </c>
      <c r="C137" s="2" t="s">
        <v>415</v>
      </c>
      <c r="D137" s="2" t="s">
        <v>77</v>
      </c>
      <c r="E137" s="23" t="s">
        <v>416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2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</row>
    <row r="138" spans="1:147" ht="13">
      <c r="A138" s="2" t="s">
        <v>802</v>
      </c>
      <c r="B138" s="2" t="s">
        <v>794</v>
      </c>
      <c r="C138" s="2" t="s">
        <v>417</v>
      </c>
      <c r="D138" s="2" t="s">
        <v>79</v>
      </c>
      <c r="E138" s="23" t="s">
        <v>418</v>
      </c>
      <c r="F138" s="20">
        <f t="shared" ref="F138:AG138" si="81">ROUND(SUM(F131:F137),2)</f>
        <v>0</v>
      </c>
      <c r="G138" s="20">
        <f t="shared" si="81"/>
        <v>0</v>
      </c>
      <c r="H138" s="20">
        <f t="shared" si="81"/>
        <v>0</v>
      </c>
      <c r="I138" s="20">
        <f t="shared" si="81"/>
        <v>0</v>
      </c>
      <c r="J138" s="20">
        <f t="shared" si="81"/>
        <v>0</v>
      </c>
      <c r="K138" s="20">
        <f t="shared" si="81"/>
        <v>0</v>
      </c>
      <c r="L138" s="20">
        <f t="shared" si="81"/>
        <v>0</v>
      </c>
      <c r="M138" s="20">
        <f t="shared" si="81"/>
        <v>0</v>
      </c>
      <c r="N138" s="20">
        <f t="shared" si="81"/>
        <v>0</v>
      </c>
      <c r="O138" s="20">
        <f t="shared" si="81"/>
        <v>0</v>
      </c>
      <c r="P138" s="20">
        <f t="shared" si="81"/>
        <v>0</v>
      </c>
      <c r="Q138" s="20">
        <f t="shared" si="81"/>
        <v>0</v>
      </c>
      <c r="R138" s="20">
        <f t="shared" si="81"/>
        <v>0</v>
      </c>
      <c r="S138" s="20">
        <f t="shared" si="81"/>
        <v>0</v>
      </c>
      <c r="T138" s="20">
        <f t="shared" si="81"/>
        <v>0</v>
      </c>
      <c r="U138" s="20">
        <f t="shared" si="81"/>
        <v>0</v>
      </c>
      <c r="V138" s="20">
        <f t="shared" si="81"/>
        <v>0</v>
      </c>
      <c r="W138" s="20">
        <f t="shared" si="81"/>
        <v>0</v>
      </c>
      <c r="X138" s="20">
        <f t="shared" si="81"/>
        <v>0</v>
      </c>
      <c r="Y138" s="20">
        <f t="shared" si="81"/>
        <v>0</v>
      </c>
      <c r="Z138" s="20">
        <f t="shared" si="81"/>
        <v>0</v>
      </c>
      <c r="AA138" s="20">
        <f t="shared" si="81"/>
        <v>0</v>
      </c>
      <c r="AB138" s="20">
        <f t="shared" si="81"/>
        <v>0</v>
      </c>
      <c r="AC138" s="20">
        <f t="shared" si="81"/>
        <v>0</v>
      </c>
      <c r="AD138" s="20">
        <f t="shared" si="81"/>
        <v>0</v>
      </c>
      <c r="AE138" s="20">
        <f t="shared" si="81"/>
        <v>0</v>
      </c>
      <c r="AF138" s="20">
        <f t="shared" si="81"/>
        <v>0</v>
      </c>
      <c r="AG138" s="20">
        <f t="shared" si="81"/>
        <v>0</v>
      </c>
      <c r="AH138" s="20">
        <f t="shared" ref="AH138:BN138" si="82">ROUND(SUM(AH131:AH137),2)</f>
        <v>0</v>
      </c>
      <c r="AI138" s="20">
        <f t="shared" si="82"/>
        <v>0</v>
      </c>
      <c r="AJ138" s="20">
        <f t="shared" si="82"/>
        <v>0</v>
      </c>
      <c r="AK138" s="20">
        <f t="shared" si="82"/>
        <v>0</v>
      </c>
      <c r="AL138" s="20">
        <f t="shared" si="82"/>
        <v>0</v>
      </c>
      <c r="AM138" s="20">
        <f t="shared" si="82"/>
        <v>0</v>
      </c>
      <c r="AN138" s="20">
        <f t="shared" si="82"/>
        <v>0</v>
      </c>
      <c r="AO138" s="20">
        <f t="shared" si="82"/>
        <v>0</v>
      </c>
      <c r="AP138" s="20">
        <f t="shared" si="82"/>
        <v>0</v>
      </c>
      <c r="AQ138" s="20">
        <f t="shared" si="82"/>
        <v>0</v>
      </c>
      <c r="AR138" s="20">
        <f t="shared" si="82"/>
        <v>0</v>
      </c>
      <c r="AS138" s="20">
        <f t="shared" si="82"/>
        <v>0</v>
      </c>
      <c r="AT138" s="20">
        <f t="shared" si="82"/>
        <v>0</v>
      </c>
      <c r="AU138" s="20">
        <f t="shared" si="82"/>
        <v>0</v>
      </c>
      <c r="AV138" s="20">
        <f t="shared" si="82"/>
        <v>0</v>
      </c>
      <c r="AW138" s="20">
        <f t="shared" si="82"/>
        <v>0</v>
      </c>
      <c r="AX138" s="20">
        <f t="shared" si="82"/>
        <v>0</v>
      </c>
      <c r="AY138" s="20">
        <f t="shared" si="82"/>
        <v>0</v>
      </c>
      <c r="AZ138" s="20">
        <f t="shared" si="82"/>
        <v>0</v>
      </c>
      <c r="BA138" s="20">
        <f t="shared" si="82"/>
        <v>0</v>
      </c>
      <c r="BB138" s="20">
        <f t="shared" si="82"/>
        <v>0</v>
      </c>
      <c r="BC138" s="20">
        <f t="shared" si="82"/>
        <v>0</v>
      </c>
      <c r="BD138" s="20">
        <f t="shared" si="82"/>
        <v>0</v>
      </c>
      <c r="BE138" s="20">
        <f t="shared" si="82"/>
        <v>0</v>
      </c>
      <c r="BF138" s="20">
        <f t="shared" si="82"/>
        <v>0</v>
      </c>
      <c r="BG138" s="20">
        <f t="shared" si="82"/>
        <v>0</v>
      </c>
      <c r="BH138" s="20">
        <f t="shared" si="82"/>
        <v>0</v>
      </c>
      <c r="BI138" s="20">
        <f t="shared" si="82"/>
        <v>0</v>
      </c>
      <c r="BJ138" s="20">
        <f t="shared" si="82"/>
        <v>0</v>
      </c>
      <c r="BK138" s="20">
        <f t="shared" si="82"/>
        <v>0</v>
      </c>
      <c r="BL138" s="20">
        <f t="shared" si="82"/>
        <v>0</v>
      </c>
      <c r="BM138" s="20">
        <f t="shared" si="82"/>
        <v>0</v>
      </c>
      <c r="BN138" s="20">
        <f t="shared" si="82"/>
        <v>0</v>
      </c>
      <c r="BO138" s="2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</row>
    <row r="139" spans="1:147" ht="13">
      <c r="A139" s="2" t="s">
        <v>803</v>
      </c>
      <c r="B139" s="2" t="s">
        <v>794</v>
      </c>
      <c r="C139" s="2" t="s">
        <v>419</v>
      </c>
      <c r="D139" s="2" t="s">
        <v>80</v>
      </c>
      <c r="E139" s="23" t="s">
        <v>420</v>
      </c>
      <c r="F139" s="20">
        <f t="shared" ref="F139:AG139" si="83">ROUND(F128+F138,2)</f>
        <v>0</v>
      </c>
      <c r="G139" s="20">
        <f t="shared" si="83"/>
        <v>0</v>
      </c>
      <c r="H139" s="20">
        <f t="shared" si="83"/>
        <v>0</v>
      </c>
      <c r="I139" s="20">
        <f t="shared" si="83"/>
        <v>0</v>
      </c>
      <c r="J139" s="20">
        <f t="shared" si="83"/>
        <v>0</v>
      </c>
      <c r="K139" s="20">
        <f t="shared" si="83"/>
        <v>0</v>
      </c>
      <c r="L139" s="20">
        <f t="shared" si="83"/>
        <v>0</v>
      </c>
      <c r="M139" s="20">
        <f t="shared" si="83"/>
        <v>0</v>
      </c>
      <c r="N139" s="20">
        <f t="shared" si="83"/>
        <v>0</v>
      </c>
      <c r="O139" s="20">
        <f t="shared" si="83"/>
        <v>0</v>
      </c>
      <c r="P139" s="20">
        <f t="shared" si="83"/>
        <v>0</v>
      </c>
      <c r="Q139" s="20">
        <f t="shared" si="83"/>
        <v>0</v>
      </c>
      <c r="R139" s="20">
        <f t="shared" si="83"/>
        <v>0</v>
      </c>
      <c r="S139" s="20">
        <f t="shared" si="83"/>
        <v>0</v>
      </c>
      <c r="T139" s="20">
        <f t="shared" si="83"/>
        <v>0</v>
      </c>
      <c r="U139" s="20">
        <f t="shared" si="83"/>
        <v>0</v>
      </c>
      <c r="V139" s="20">
        <f t="shared" si="83"/>
        <v>0</v>
      </c>
      <c r="W139" s="20">
        <f t="shared" si="83"/>
        <v>0</v>
      </c>
      <c r="X139" s="20">
        <f t="shared" si="83"/>
        <v>0</v>
      </c>
      <c r="Y139" s="20">
        <f t="shared" si="83"/>
        <v>0</v>
      </c>
      <c r="Z139" s="20">
        <f t="shared" si="83"/>
        <v>0</v>
      </c>
      <c r="AA139" s="20">
        <f t="shared" si="83"/>
        <v>0</v>
      </c>
      <c r="AB139" s="20">
        <f t="shared" si="83"/>
        <v>0</v>
      </c>
      <c r="AC139" s="20">
        <f t="shared" si="83"/>
        <v>0</v>
      </c>
      <c r="AD139" s="20">
        <f t="shared" si="83"/>
        <v>0</v>
      </c>
      <c r="AE139" s="20">
        <f t="shared" si="83"/>
        <v>0</v>
      </c>
      <c r="AF139" s="20">
        <f t="shared" si="83"/>
        <v>0</v>
      </c>
      <c r="AG139" s="20">
        <f t="shared" si="83"/>
        <v>0</v>
      </c>
      <c r="AH139" s="20">
        <f t="shared" ref="AH139:BN139" si="84">ROUND(AH128+AH138,2)</f>
        <v>0</v>
      </c>
      <c r="AI139" s="20">
        <f t="shared" si="84"/>
        <v>0</v>
      </c>
      <c r="AJ139" s="20">
        <f t="shared" si="84"/>
        <v>0</v>
      </c>
      <c r="AK139" s="20">
        <f t="shared" si="84"/>
        <v>0</v>
      </c>
      <c r="AL139" s="20">
        <f t="shared" si="84"/>
        <v>0</v>
      </c>
      <c r="AM139" s="20">
        <f t="shared" si="84"/>
        <v>0</v>
      </c>
      <c r="AN139" s="20">
        <f t="shared" si="84"/>
        <v>0</v>
      </c>
      <c r="AO139" s="20">
        <f t="shared" si="84"/>
        <v>0</v>
      </c>
      <c r="AP139" s="20">
        <f t="shared" si="84"/>
        <v>0</v>
      </c>
      <c r="AQ139" s="20">
        <f t="shared" si="84"/>
        <v>0</v>
      </c>
      <c r="AR139" s="20">
        <f t="shared" si="84"/>
        <v>0</v>
      </c>
      <c r="AS139" s="20">
        <f t="shared" si="84"/>
        <v>0</v>
      </c>
      <c r="AT139" s="20">
        <f t="shared" si="84"/>
        <v>0</v>
      </c>
      <c r="AU139" s="20">
        <f t="shared" si="84"/>
        <v>0</v>
      </c>
      <c r="AV139" s="20">
        <f t="shared" si="84"/>
        <v>0</v>
      </c>
      <c r="AW139" s="20">
        <f t="shared" si="84"/>
        <v>0</v>
      </c>
      <c r="AX139" s="20">
        <f t="shared" si="84"/>
        <v>0</v>
      </c>
      <c r="AY139" s="20">
        <f t="shared" si="84"/>
        <v>0</v>
      </c>
      <c r="AZ139" s="20">
        <f t="shared" si="84"/>
        <v>0</v>
      </c>
      <c r="BA139" s="20">
        <f t="shared" si="84"/>
        <v>0</v>
      </c>
      <c r="BB139" s="20">
        <f t="shared" si="84"/>
        <v>0</v>
      </c>
      <c r="BC139" s="20">
        <f t="shared" si="84"/>
        <v>0</v>
      </c>
      <c r="BD139" s="20">
        <f t="shared" si="84"/>
        <v>0</v>
      </c>
      <c r="BE139" s="20">
        <f t="shared" si="84"/>
        <v>0</v>
      </c>
      <c r="BF139" s="20">
        <f t="shared" si="84"/>
        <v>0</v>
      </c>
      <c r="BG139" s="20">
        <f t="shared" si="84"/>
        <v>0</v>
      </c>
      <c r="BH139" s="20">
        <f t="shared" si="84"/>
        <v>0</v>
      </c>
      <c r="BI139" s="20">
        <f t="shared" si="84"/>
        <v>0</v>
      </c>
      <c r="BJ139" s="20">
        <f t="shared" si="84"/>
        <v>0</v>
      </c>
      <c r="BK139" s="20">
        <f t="shared" si="84"/>
        <v>0</v>
      </c>
      <c r="BL139" s="20">
        <f t="shared" si="84"/>
        <v>0</v>
      </c>
      <c r="BM139" s="20">
        <f t="shared" si="84"/>
        <v>0</v>
      </c>
      <c r="BN139" s="20">
        <f t="shared" si="84"/>
        <v>0</v>
      </c>
      <c r="BO139" s="2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</row>
    <row r="140" spans="1:147">
      <c r="A140" s="2" t="s">
        <v>804</v>
      </c>
      <c r="B140" s="2" t="s">
        <v>794</v>
      </c>
      <c r="C140" s="2" t="s">
        <v>421</v>
      </c>
      <c r="D140" s="2" t="s">
        <v>25</v>
      </c>
      <c r="E140" s="46" t="s">
        <v>35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2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</row>
    <row r="141" spans="1:147" ht="13">
      <c r="A141" s="2" t="s">
        <v>805</v>
      </c>
      <c r="B141" s="2" t="s">
        <v>765</v>
      </c>
      <c r="C141" s="2" t="s">
        <v>100</v>
      </c>
      <c r="D141" s="2"/>
      <c r="E141" s="6" t="s">
        <v>115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30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30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30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30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</row>
    <row r="142" spans="1:147" ht="13">
      <c r="A142" s="2" t="s">
        <v>806</v>
      </c>
      <c r="B142" s="2" t="s">
        <v>805</v>
      </c>
      <c r="C142" s="2" t="s">
        <v>136</v>
      </c>
      <c r="D142" s="2" t="s">
        <v>81</v>
      </c>
      <c r="E142" s="24" t="s">
        <v>422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30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30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30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30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</row>
    <row r="143" spans="1:147" ht="13">
      <c r="A143" s="2" t="s">
        <v>807</v>
      </c>
      <c r="B143" s="2" t="s">
        <v>805</v>
      </c>
      <c r="C143" s="2" t="s">
        <v>138</v>
      </c>
      <c r="D143" s="2" t="s">
        <v>82</v>
      </c>
      <c r="E143" s="24" t="s">
        <v>118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30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30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30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30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</row>
    <row r="144" spans="1:147" ht="13">
      <c r="A144" s="2" t="s">
        <v>808</v>
      </c>
      <c r="B144" s="2" t="s">
        <v>805</v>
      </c>
      <c r="C144" s="2" t="s">
        <v>140</v>
      </c>
      <c r="D144" s="2" t="s">
        <v>83</v>
      </c>
      <c r="E144" s="24" t="s">
        <v>423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2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</row>
    <row r="145" spans="1:147" ht="13">
      <c r="A145" s="2" t="s">
        <v>809</v>
      </c>
      <c r="B145" s="2" t="s">
        <v>805</v>
      </c>
      <c r="C145" s="2" t="s">
        <v>141</v>
      </c>
      <c r="D145" s="2" t="s">
        <v>84</v>
      </c>
      <c r="E145" s="23" t="s">
        <v>424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2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</row>
    <row r="146" spans="1:147" ht="13">
      <c r="A146" s="2" t="s">
        <v>810</v>
      </c>
      <c r="B146" s="2" t="s">
        <v>805</v>
      </c>
      <c r="C146" s="2" t="s">
        <v>142</v>
      </c>
      <c r="D146" s="2" t="s">
        <v>85</v>
      </c>
      <c r="E146" s="23" t="s">
        <v>425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>
        <f t="shared" ref="AI146:AJ146" si="85">AH146+AI98</f>
        <v>0</v>
      </c>
      <c r="AJ146" s="19">
        <f t="shared" si="85"/>
        <v>0</v>
      </c>
      <c r="AK146" s="19">
        <f>AJ146+AK98</f>
        <v>0</v>
      </c>
      <c r="AL146" s="19">
        <f t="shared" ref="AL146:BN146" si="86">AK146+AL98</f>
        <v>0</v>
      </c>
      <c r="AM146" s="19">
        <f t="shared" si="86"/>
        <v>0</v>
      </c>
      <c r="AN146" s="19">
        <f t="shared" si="86"/>
        <v>0</v>
      </c>
      <c r="AO146" s="19">
        <f t="shared" si="86"/>
        <v>0</v>
      </c>
      <c r="AP146" s="19">
        <f t="shared" si="86"/>
        <v>0</v>
      </c>
      <c r="AQ146" s="19">
        <f t="shared" si="86"/>
        <v>0</v>
      </c>
      <c r="AR146" s="19">
        <f t="shared" si="86"/>
        <v>0</v>
      </c>
      <c r="AS146" s="19">
        <f t="shared" si="86"/>
        <v>0</v>
      </c>
      <c r="AT146" s="19">
        <f t="shared" si="86"/>
        <v>0</v>
      </c>
      <c r="AU146" s="19">
        <f t="shared" si="86"/>
        <v>0</v>
      </c>
      <c r="AV146" s="19">
        <f t="shared" si="86"/>
        <v>0</v>
      </c>
      <c r="AW146" s="19">
        <f t="shared" si="86"/>
        <v>0</v>
      </c>
      <c r="AX146" s="19">
        <f t="shared" si="86"/>
        <v>0</v>
      </c>
      <c r="AY146" s="19">
        <f t="shared" si="86"/>
        <v>0</v>
      </c>
      <c r="AZ146" s="19">
        <f t="shared" si="86"/>
        <v>0</v>
      </c>
      <c r="BA146" s="19">
        <f t="shared" si="86"/>
        <v>0</v>
      </c>
      <c r="BB146" s="19">
        <f t="shared" si="86"/>
        <v>0</v>
      </c>
      <c r="BC146" s="19">
        <f t="shared" si="86"/>
        <v>0</v>
      </c>
      <c r="BD146" s="19">
        <f t="shared" si="86"/>
        <v>0</v>
      </c>
      <c r="BE146" s="19">
        <f t="shared" si="86"/>
        <v>0</v>
      </c>
      <c r="BF146" s="19">
        <f t="shared" si="86"/>
        <v>0</v>
      </c>
      <c r="BG146" s="19">
        <f t="shared" si="86"/>
        <v>0</v>
      </c>
      <c r="BH146" s="19">
        <f t="shared" si="86"/>
        <v>0</v>
      </c>
      <c r="BI146" s="19">
        <f t="shared" si="86"/>
        <v>0</v>
      </c>
      <c r="BJ146" s="19">
        <f t="shared" si="86"/>
        <v>0</v>
      </c>
      <c r="BK146" s="19">
        <f t="shared" si="86"/>
        <v>0</v>
      </c>
      <c r="BL146" s="19">
        <f t="shared" si="86"/>
        <v>0</v>
      </c>
      <c r="BM146" s="19">
        <f t="shared" si="86"/>
        <v>0</v>
      </c>
      <c r="BN146" s="19">
        <f t="shared" si="86"/>
        <v>0</v>
      </c>
      <c r="BO146" s="2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</row>
    <row r="147" spans="1:147" ht="13">
      <c r="A147" s="2" t="s">
        <v>811</v>
      </c>
      <c r="B147" s="2" t="s">
        <v>805</v>
      </c>
      <c r="C147" s="2" t="s">
        <v>426</v>
      </c>
      <c r="D147" s="2" t="s">
        <v>86</v>
      </c>
      <c r="E147" s="24" t="s">
        <v>120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</row>
    <row r="148" spans="1:147" ht="13">
      <c r="A148" s="2" t="s">
        <v>812</v>
      </c>
      <c r="B148" s="2" t="s">
        <v>811</v>
      </c>
      <c r="C148" s="2" t="s">
        <v>427</v>
      </c>
      <c r="D148" s="2" t="s">
        <v>240</v>
      </c>
      <c r="E148" s="26" t="s">
        <v>119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2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</row>
    <row r="149" spans="1:147" ht="13">
      <c r="A149" s="2" t="s">
        <v>813</v>
      </c>
      <c r="B149" s="2" t="s">
        <v>811</v>
      </c>
      <c r="C149" s="2" t="s">
        <v>428</v>
      </c>
      <c r="D149" s="2" t="s">
        <v>242</v>
      </c>
      <c r="E149" s="26" t="s">
        <v>429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2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</row>
    <row r="150" spans="1:147" ht="13">
      <c r="A150" s="2" t="s">
        <v>814</v>
      </c>
      <c r="B150" s="2" t="s">
        <v>811</v>
      </c>
      <c r="C150" s="2" t="s">
        <v>430</v>
      </c>
      <c r="D150" s="2" t="s">
        <v>256</v>
      </c>
      <c r="E150" s="26" t="s">
        <v>431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2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</row>
    <row r="151" spans="1:147" ht="13">
      <c r="A151" s="2" t="s">
        <v>815</v>
      </c>
      <c r="B151" s="2" t="s">
        <v>811</v>
      </c>
      <c r="C151" s="2" t="s">
        <v>432</v>
      </c>
      <c r="D151" s="2" t="s">
        <v>273</v>
      </c>
      <c r="E151" s="27" t="s">
        <v>433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2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</row>
    <row r="152" spans="1:147" ht="13">
      <c r="A152" s="2" t="s">
        <v>816</v>
      </c>
      <c r="B152" s="2" t="s">
        <v>811</v>
      </c>
      <c r="C152" s="2" t="s">
        <v>434</v>
      </c>
      <c r="D152" s="2" t="s">
        <v>275</v>
      </c>
      <c r="E152" s="26" t="s">
        <v>435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2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</row>
    <row r="153" spans="1:147" ht="13">
      <c r="A153" s="2" t="s">
        <v>817</v>
      </c>
      <c r="B153" s="2" t="s">
        <v>811</v>
      </c>
      <c r="C153" s="2" t="s">
        <v>436</v>
      </c>
      <c r="D153" s="2" t="s">
        <v>278</v>
      </c>
      <c r="E153" s="26" t="s">
        <v>437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2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</row>
    <row r="154" spans="1:147" ht="13">
      <c r="A154" s="2" t="s">
        <v>818</v>
      </c>
      <c r="B154" s="2" t="s">
        <v>811</v>
      </c>
      <c r="C154" s="2" t="s">
        <v>438</v>
      </c>
      <c r="D154" s="2" t="s">
        <v>281</v>
      </c>
      <c r="E154" s="26" t="s">
        <v>120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2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</row>
    <row r="155" spans="1:147" ht="13">
      <c r="A155" s="2" t="s">
        <v>819</v>
      </c>
      <c r="B155" s="2" t="s">
        <v>805</v>
      </c>
      <c r="C155" s="2" t="s">
        <v>439</v>
      </c>
      <c r="D155" s="2" t="s">
        <v>87</v>
      </c>
      <c r="E155" s="24" t="s">
        <v>115</v>
      </c>
      <c r="F155" s="20">
        <f t="shared" ref="F155:AG155" si="87">SUM(F142:F154)</f>
        <v>0</v>
      </c>
      <c r="G155" s="20">
        <f t="shared" si="87"/>
        <v>0</v>
      </c>
      <c r="H155" s="20">
        <f t="shared" si="87"/>
        <v>0</v>
      </c>
      <c r="I155" s="20">
        <f t="shared" si="87"/>
        <v>0</v>
      </c>
      <c r="J155" s="20">
        <f t="shared" si="87"/>
        <v>0</v>
      </c>
      <c r="K155" s="20">
        <f t="shared" si="87"/>
        <v>0</v>
      </c>
      <c r="L155" s="20">
        <f t="shared" si="87"/>
        <v>0</v>
      </c>
      <c r="M155" s="20">
        <f t="shared" si="87"/>
        <v>0</v>
      </c>
      <c r="N155" s="20">
        <f t="shared" si="87"/>
        <v>0</v>
      </c>
      <c r="O155" s="20">
        <f t="shared" si="87"/>
        <v>0</v>
      </c>
      <c r="P155" s="20">
        <f t="shared" si="87"/>
        <v>0</v>
      </c>
      <c r="Q155" s="20">
        <f t="shared" si="87"/>
        <v>0</v>
      </c>
      <c r="R155" s="20">
        <f t="shared" si="87"/>
        <v>0</v>
      </c>
      <c r="S155" s="20">
        <f t="shared" si="87"/>
        <v>0</v>
      </c>
      <c r="T155" s="20">
        <f t="shared" si="87"/>
        <v>0</v>
      </c>
      <c r="U155" s="20">
        <f t="shared" si="87"/>
        <v>0</v>
      </c>
      <c r="V155" s="20">
        <f t="shared" si="87"/>
        <v>0</v>
      </c>
      <c r="W155" s="20">
        <f t="shared" si="87"/>
        <v>0</v>
      </c>
      <c r="X155" s="20">
        <f t="shared" si="87"/>
        <v>0</v>
      </c>
      <c r="Y155" s="20">
        <f t="shared" si="87"/>
        <v>0</v>
      </c>
      <c r="Z155" s="20">
        <f t="shared" si="87"/>
        <v>0</v>
      </c>
      <c r="AA155" s="20">
        <f t="shared" si="87"/>
        <v>0</v>
      </c>
      <c r="AB155" s="20">
        <f t="shared" si="87"/>
        <v>0</v>
      </c>
      <c r="AC155" s="20">
        <f t="shared" si="87"/>
        <v>0</v>
      </c>
      <c r="AD155" s="20">
        <f t="shared" si="87"/>
        <v>0</v>
      </c>
      <c r="AE155" s="20">
        <f t="shared" si="87"/>
        <v>0</v>
      </c>
      <c r="AF155" s="20">
        <f t="shared" si="87"/>
        <v>0</v>
      </c>
      <c r="AG155" s="20">
        <f t="shared" si="87"/>
        <v>0</v>
      </c>
      <c r="AH155" s="20">
        <f t="shared" ref="AH155:BN155" si="88">SUM(AH142:AH154)</f>
        <v>0</v>
      </c>
      <c r="AI155" s="20">
        <f t="shared" si="88"/>
        <v>0</v>
      </c>
      <c r="AJ155" s="20">
        <f t="shared" si="88"/>
        <v>0</v>
      </c>
      <c r="AK155" s="20">
        <f t="shared" si="88"/>
        <v>0</v>
      </c>
      <c r="AL155" s="20">
        <f t="shared" si="88"/>
        <v>0</v>
      </c>
      <c r="AM155" s="20">
        <f t="shared" si="88"/>
        <v>0</v>
      </c>
      <c r="AN155" s="20">
        <f t="shared" si="88"/>
        <v>0</v>
      </c>
      <c r="AO155" s="20">
        <f t="shared" si="88"/>
        <v>0</v>
      </c>
      <c r="AP155" s="20">
        <f t="shared" si="88"/>
        <v>0</v>
      </c>
      <c r="AQ155" s="20">
        <f t="shared" si="88"/>
        <v>0</v>
      </c>
      <c r="AR155" s="20">
        <f t="shared" si="88"/>
        <v>0</v>
      </c>
      <c r="AS155" s="20">
        <f t="shared" si="88"/>
        <v>0</v>
      </c>
      <c r="AT155" s="20">
        <f t="shared" si="88"/>
        <v>0</v>
      </c>
      <c r="AU155" s="20">
        <f t="shared" si="88"/>
        <v>0</v>
      </c>
      <c r="AV155" s="20">
        <f t="shared" si="88"/>
        <v>0</v>
      </c>
      <c r="AW155" s="20">
        <f t="shared" si="88"/>
        <v>0</v>
      </c>
      <c r="AX155" s="20">
        <f t="shared" si="88"/>
        <v>0</v>
      </c>
      <c r="AY155" s="20">
        <f t="shared" si="88"/>
        <v>0</v>
      </c>
      <c r="AZ155" s="20">
        <f t="shared" si="88"/>
        <v>0</v>
      </c>
      <c r="BA155" s="20">
        <f t="shared" si="88"/>
        <v>0</v>
      </c>
      <c r="BB155" s="20">
        <f t="shared" si="88"/>
        <v>0</v>
      </c>
      <c r="BC155" s="20">
        <f t="shared" si="88"/>
        <v>0</v>
      </c>
      <c r="BD155" s="20">
        <f t="shared" si="88"/>
        <v>0</v>
      </c>
      <c r="BE155" s="20">
        <f t="shared" si="88"/>
        <v>0</v>
      </c>
      <c r="BF155" s="20">
        <f t="shared" si="88"/>
        <v>0</v>
      </c>
      <c r="BG155" s="20">
        <f t="shared" si="88"/>
        <v>0</v>
      </c>
      <c r="BH155" s="20">
        <f t="shared" si="88"/>
        <v>0</v>
      </c>
      <c r="BI155" s="20">
        <f t="shared" si="88"/>
        <v>0</v>
      </c>
      <c r="BJ155" s="20">
        <f t="shared" si="88"/>
        <v>0</v>
      </c>
      <c r="BK155" s="20">
        <f t="shared" si="88"/>
        <v>0</v>
      </c>
      <c r="BL155" s="20">
        <f t="shared" si="88"/>
        <v>0</v>
      </c>
      <c r="BM155" s="20">
        <f t="shared" si="88"/>
        <v>0</v>
      </c>
      <c r="BN155" s="20">
        <f t="shared" si="88"/>
        <v>0</v>
      </c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30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30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30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30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</row>
    <row r="156" spans="1:147" ht="13">
      <c r="A156" s="2" t="s">
        <v>820</v>
      </c>
      <c r="B156" s="2" t="s">
        <v>805</v>
      </c>
      <c r="C156" s="2" t="s">
        <v>441</v>
      </c>
      <c r="D156" s="2" t="s">
        <v>88</v>
      </c>
      <c r="E156" s="24" t="s">
        <v>440</v>
      </c>
      <c r="F156" s="20">
        <f t="shared" ref="F156:AG156" si="89">ROUND(F139+F155,2)</f>
        <v>0</v>
      </c>
      <c r="G156" s="20">
        <f t="shared" si="89"/>
        <v>0</v>
      </c>
      <c r="H156" s="20">
        <f t="shared" si="89"/>
        <v>0</v>
      </c>
      <c r="I156" s="20">
        <f t="shared" si="89"/>
        <v>0</v>
      </c>
      <c r="J156" s="20">
        <f t="shared" si="89"/>
        <v>0</v>
      </c>
      <c r="K156" s="20">
        <f t="shared" si="89"/>
        <v>0</v>
      </c>
      <c r="L156" s="20">
        <f t="shared" si="89"/>
        <v>0</v>
      </c>
      <c r="M156" s="20">
        <f t="shared" si="89"/>
        <v>0</v>
      </c>
      <c r="N156" s="20">
        <f t="shared" si="89"/>
        <v>0</v>
      </c>
      <c r="O156" s="20">
        <f t="shared" si="89"/>
        <v>0</v>
      </c>
      <c r="P156" s="20">
        <f t="shared" si="89"/>
        <v>0</v>
      </c>
      <c r="Q156" s="20">
        <f t="shared" si="89"/>
        <v>0</v>
      </c>
      <c r="R156" s="20">
        <f t="shared" si="89"/>
        <v>0</v>
      </c>
      <c r="S156" s="20">
        <f t="shared" si="89"/>
        <v>0</v>
      </c>
      <c r="T156" s="20">
        <f t="shared" si="89"/>
        <v>0</v>
      </c>
      <c r="U156" s="20">
        <f t="shared" si="89"/>
        <v>0</v>
      </c>
      <c r="V156" s="20">
        <f t="shared" si="89"/>
        <v>0</v>
      </c>
      <c r="W156" s="20">
        <f t="shared" si="89"/>
        <v>0</v>
      </c>
      <c r="X156" s="20">
        <f t="shared" si="89"/>
        <v>0</v>
      </c>
      <c r="Y156" s="20">
        <f t="shared" si="89"/>
        <v>0</v>
      </c>
      <c r="Z156" s="20">
        <f t="shared" si="89"/>
        <v>0</v>
      </c>
      <c r="AA156" s="20">
        <f t="shared" si="89"/>
        <v>0</v>
      </c>
      <c r="AB156" s="20">
        <f t="shared" si="89"/>
        <v>0</v>
      </c>
      <c r="AC156" s="20">
        <f t="shared" si="89"/>
        <v>0</v>
      </c>
      <c r="AD156" s="20">
        <f t="shared" si="89"/>
        <v>0</v>
      </c>
      <c r="AE156" s="20">
        <f t="shared" si="89"/>
        <v>0</v>
      </c>
      <c r="AF156" s="20">
        <f t="shared" si="89"/>
        <v>0</v>
      </c>
      <c r="AG156" s="20">
        <f t="shared" si="89"/>
        <v>0</v>
      </c>
      <c r="AH156" s="20">
        <f t="shared" ref="AH156:BN156" si="90">ROUND(AH139+AH155,2)</f>
        <v>0</v>
      </c>
      <c r="AI156" s="20">
        <f t="shared" si="90"/>
        <v>0</v>
      </c>
      <c r="AJ156" s="20">
        <f t="shared" si="90"/>
        <v>0</v>
      </c>
      <c r="AK156" s="20">
        <f t="shared" si="90"/>
        <v>0</v>
      </c>
      <c r="AL156" s="20">
        <f t="shared" si="90"/>
        <v>0</v>
      </c>
      <c r="AM156" s="20">
        <f t="shared" si="90"/>
        <v>0</v>
      </c>
      <c r="AN156" s="20">
        <f t="shared" si="90"/>
        <v>0</v>
      </c>
      <c r="AO156" s="20">
        <f t="shared" si="90"/>
        <v>0</v>
      </c>
      <c r="AP156" s="20">
        <f t="shared" si="90"/>
        <v>0</v>
      </c>
      <c r="AQ156" s="20">
        <f t="shared" si="90"/>
        <v>0</v>
      </c>
      <c r="AR156" s="20">
        <f t="shared" si="90"/>
        <v>0</v>
      </c>
      <c r="AS156" s="20">
        <f t="shared" si="90"/>
        <v>0</v>
      </c>
      <c r="AT156" s="20">
        <f t="shared" si="90"/>
        <v>0</v>
      </c>
      <c r="AU156" s="20">
        <f t="shared" si="90"/>
        <v>0</v>
      </c>
      <c r="AV156" s="20">
        <f t="shared" si="90"/>
        <v>0</v>
      </c>
      <c r="AW156" s="20">
        <f t="shared" si="90"/>
        <v>0</v>
      </c>
      <c r="AX156" s="20">
        <f t="shared" si="90"/>
        <v>0</v>
      </c>
      <c r="AY156" s="20">
        <f t="shared" si="90"/>
        <v>0</v>
      </c>
      <c r="AZ156" s="20">
        <f t="shared" si="90"/>
        <v>0</v>
      </c>
      <c r="BA156" s="20">
        <f t="shared" si="90"/>
        <v>0</v>
      </c>
      <c r="BB156" s="20">
        <f t="shared" si="90"/>
        <v>0</v>
      </c>
      <c r="BC156" s="20">
        <f t="shared" si="90"/>
        <v>0</v>
      </c>
      <c r="BD156" s="20">
        <f t="shared" si="90"/>
        <v>0</v>
      </c>
      <c r="BE156" s="20">
        <f t="shared" si="90"/>
        <v>0</v>
      </c>
      <c r="BF156" s="20">
        <f t="shared" si="90"/>
        <v>0</v>
      </c>
      <c r="BG156" s="20">
        <f t="shared" si="90"/>
        <v>0</v>
      </c>
      <c r="BH156" s="20">
        <f t="shared" si="90"/>
        <v>0</v>
      </c>
      <c r="BI156" s="20">
        <f t="shared" si="90"/>
        <v>0</v>
      </c>
      <c r="BJ156" s="20">
        <f t="shared" si="90"/>
        <v>0</v>
      </c>
      <c r="BK156" s="20">
        <f t="shared" si="90"/>
        <v>0</v>
      </c>
      <c r="BL156" s="20">
        <f t="shared" si="90"/>
        <v>0</v>
      </c>
      <c r="BM156" s="20">
        <f t="shared" si="90"/>
        <v>0</v>
      </c>
      <c r="BN156" s="20">
        <f t="shared" si="90"/>
        <v>0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30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30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30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30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</row>
    <row r="157" spans="1:147">
      <c r="A157" s="2" t="s">
        <v>821</v>
      </c>
      <c r="B157" s="2" t="s">
        <v>764</v>
      </c>
      <c r="C157" s="2" t="s">
        <v>121</v>
      </c>
      <c r="D157" s="2" t="s">
        <v>25</v>
      </c>
      <c r="E157" s="46" t="s">
        <v>35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30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30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30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30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</row>
    <row r="158" spans="1:147" ht="13">
      <c r="A158" s="2" t="s">
        <v>822</v>
      </c>
      <c r="B158" s="2" t="s">
        <v>764</v>
      </c>
      <c r="C158" s="2" t="s">
        <v>122</v>
      </c>
      <c r="D158" s="2"/>
      <c r="E158" s="7" t="s">
        <v>123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30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30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30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30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</row>
    <row r="159" spans="1:147" ht="13">
      <c r="A159" s="2" t="s">
        <v>823</v>
      </c>
      <c r="B159" s="2" t="s">
        <v>822</v>
      </c>
      <c r="C159" s="2" t="s">
        <v>124</v>
      </c>
      <c r="D159" s="2"/>
      <c r="E159" s="6" t="s">
        <v>125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30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30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30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30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</row>
    <row r="160" spans="1:147" ht="13">
      <c r="A160" s="2" t="s">
        <v>824</v>
      </c>
      <c r="B160" s="2" t="s">
        <v>823</v>
      </c>
      <c r="C160" s="2" t="s">
        <v>126</v>
      </c>
      <c r="D160" s="2" t="s">
        <v>89</v>
      </c>
      <c r="E160" s="24" t="s">
        <v>442</v>
      </c>
      <c r="F160" s="20">
        <f t="shared" ref="F160:BN160" si="91">F161+F162</f>
        <v>0</v>
      </c>
      <c r="G160" s="20">
        <f t="shared" si="91"/>
        <v>0</v>
      </c>
      <c r="H160" s="20">
        <f t="shared" si="91"/>
        <v>0</v>
      </c>
      <c r="I160" s="20">
        <f t="shared" si="91"/>
        <v>0</v>
      </c>
      <c r="J160" s="20">
        <f t="shared" si="91"/>
        <v>0</v>
      </c>
      <c r="K160" s="20">
        <f t="shared" si="91"/>
        <v>0</v>
      </c>
      <c r="L160" s="20">
        <f t="shared" si="91"/>
        <v>0</v>
      </c>
      <c r="M160" s="20">
        <f t="shared" si="91"/>
        <v>0</v>
      </c>
      <c r="N160" s="20">
        <f t="shared" si="91"/>
        <v>0</v>
      </c>
      <c r="O160" s="20">
        <f t="shared" si="91"/>
        <v>0</v>
      </c>
      <c r="P160" s="20">
        <f t="shared" si="91"/>
        <v>0</v>
      </c>
      <c r="Q160" s="20">
        <f t="shared" si="91"/>
        <v>0</v>
      </c>
      <c r="R160" s="20">
        <f t="shared" si="91"/>
        <v>0</v>
      </c>
      <c r="S160" s="20">
        <f t="shared" si="91"/>
        <v>0</v>
      </c>
      <c r="T160" s="20">
        <f t="shared" si="91"/>
        <v>0</v>
      </c>
      <c r="U160" s="20">
        <f t="shared" si="91"/>
        <v>0</v>
      </c>
      <c r="V160" s="20">
        <f t="shared" si="91"/>
        <v>0</v>
      </c>
      <c r="W160" s="20">
        <f t="shared" si="91"/>
        <v>0</v>
      </c>
      <c r="X160" s="20">
        <f t="shared" si="91"/>
        <v>0</v>
      </c>
      <c r="Y160" s="20">
        <f t="shared" si="91"/>
        <v>0</v>
      </c>
      <c r="Z160" s="20">
        <f t="shared" si="91"/>
        <v>0</v>
      </c>
      <c r="AA160" s="20">
        <f t="shared" si="91"/>
        <v>0</v>
      </c>
      <c r="AB160" s="20">
        <f t="shared" si="91"/>
        <v>0</v>
      </c>
      <c r="AC160" s="20">
        <f t="shared" si="91"/>
        <v>0</v>
      </c>
      <c r="AD160" s="20">
        <f t="shared" si="91"/>
        <v>0</v>
      </c>
      <c r="AE160" s="20">
        <f t="shared" si="91"/>
        <v>0</v>
      </c>
      <c r="AF160" s="20">
        <f t="shared" si="91"/>
        <v>0</v>
      </c>
      <c r="AG160" s="20">
        <f t="shared" si="91"/>
        <v>0</v>
      </c>
      <c r="AH160" s="20">
        <f t="shared" si="91"/>
        <v>0</v>
      </c>
      <c r="AI160" s="20">
        <f t="shared" si="91"/>
        <v>0</v>
      </c>
      <c r="AJ160" s="20">
        <f t="shared" si="91"/>
        <v>0</v>
      </c>
      <c r="AK160" s="20">
        <f t="shared" si="91"/>
        <v>0</v>
      </c>
      <c r="AL160" s="20">
        <f t="shared" si="91"/>
        <v>0</v>
      </c>
      <c r="AM160" s="20">
        <f t="shared" si="91"/>
        <v>0</v>
      </c>
      <c r="AN160" s="20">
        <f t="shared" si="91"/>
        <v>0</v>
      </c>
      <c r="AO160" s="20">
        <f t="shared" si="91"/>
        <v>0</v>
      </c>
      <c r="AP160" s="20">
        <f t="shared" si="91"/>
        <v>0</v>
      </c>
      <c r="AQ160" s="20">
        <f t="shared" si="91"/>
        <v>0</v>
      </c>
      <c r="AR160" s="20">
        <f t="shared" si="91"/>
        <v>0</v>
      </c>
      <c r="AS160" s="20">
        <f t="shared" si="91"/>
        <v>0</v>
      </c>
      <c r="AT160" s="20">
        <f t="shared" si="91"/>
        <v>0</v>
      </c>
      <c r="AU160" s="20">
        <f t="shared" si="91"/>
        <v>0</v>
      </c>
      <c r="AV160" s="20">
        <f t="shared" si="91"/>
        <v>0</v>
      </c>
      <c r="AW160" s="20">
        <f t="shared" si="91"/>
        <v>0</v>
      </c>
      <c r="AX160" s="20">
        <f t="shared" si="91"/>
        <v>0</v>
      </c>
      <c r="AY160" s="20">
        <f t="shared" si="91"/>
        <v>0</v>
      </c>
      <c r="AZ160" s="20">
        <f t="shared" si="91"/>
        <v>0</v>
      </c>
      <c r="BA160" s="20">
        <f t="shared" si="91"/>
        <v>0</v>
      </c>
      <c r="BB160" s="20">
        <f t="shared" si="91"/>
        <v>0</v>
      </c>
      <c r="BC160" s="20">
        <f t="shared" si="91"/>
        <v>0</v>
      </c>
      <c r="BD160" s="20">
        <f t="shared" si="91"/>
        <v>0</v>
      </c>
      <c r="BE160" s="20">
        <f t="shared" si="91"/>
        <v>0</v>
      </c>
      <c r="BF160" s="20">
        <f t="shared" si="91"/>
        <v>0</v>
      </c>
      <c r="BG160" s="20">
        <f t="shared" si="91"/>
        <v>0</v>
      </c>
      <c r="BH160" s="20">
        <f t="shared" si="91"/>
        <v>0</v>
      </c>
      <c r="BI160" s="20">
        <f t="shared" si="91"/>
        <v>0</v>
      </c>
      <c r="BJ160" s="20">
        <f t="shared" si="91"/>
        <v>0</v>
      </c>
      <c r="BK160" s="20">
        <f t="shared" si="91"/>
        <v>0</v>
      </c>
      <c r="BL160" s="20">
        <f t="shared" si="91"/>
        <v>0</v>
      </c>
      <c r="BM160" s="20">
        <f t="shared" si="91"/>
        <v>0</v>
      </c>
      <c r="BN160" s="20">
        <f t="shared" si="91"/>
        <v>0</v>
      </c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30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30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30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30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</row>
    <row r="161" spans="1:147" ht="13">
      <c r="A161" s="2" t="s">
        <v>825</v>
      </c>
      <c r="B161" s="2" t="s">
        <v>824</v>
      </c>
      <c r="C161" s="2" t="s">
        <v>443</v>
      </c>
      <c r="D161" s="2" t="s">
        <v>238</v>
      </c>
      <c r="E161" s="26" t="s">
        <v>444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2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</row>
    <row r="162" spans="1:147" ht="13">
      <c r="A162" s="2" t="s">
        <v>826</v>
      </c>
      <c r="B162" s="2" t="s">
        <v>824</v>
      </c>
      <c r="C162" s="2" t="s">
        <v>445</v>
      </c>
      <c r="D162" s="2" t="s">
        <v>244</v>
      </c>
      <c r="E162" s="26" t="s">
        <v>446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2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</row>
    <row r="163" spans="1:147" ht="13">
      <c r="A163" s="2" t="s">
        <v>827</v>
      </c>
      <c r="B163" s="2" t="s">
        <v>823</v>
      </c>
      <c r="C163" s="2" t="s">
        <v>127</v>
      </c>
      <c r="D163" s="2" t="s">
        <v>90</v>
      </c>
      <c r="E163" s="23" t="s">
        <v>447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</row>
    <row r="164" spans="1:147" ht="13">
      <c r="A164" s="2" t="s">
        <v>828</v>
      </c>
      <c r="B164" s="2" t="s">
        <v>827</v>
      </c>
      <c r="C164" s="2" t="s">
        <v>448</v>
      </c>
      <c r="D164" s="2" t="s">
        <v>238</v>
      </c>
      <c r="E164" s="27" t="s">
        <v>449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2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</row>
    <row r="165" spans="1:147" ht="13">
      <c r="A165" s="2" t="s">
        <v>829</v>
      </c>
      <c r="B165" s="2" t="s">
        <v>827</v>
      </c>
      <c r="C165" s="2" t="s">
        <v>450</v>
      </c>
      <c r="D165" s="2" t="s">
        <v>244</v>
      </c>
      <c r="E165" s="26" t="s">
        <v>451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2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</row>
    <row r="166" spans="1:147" ht="13">
      <c r="A166" s="2" t="s">
        <v>830</v>
      </c>
      <c r="B166" s="2" t="s">
        <v>823</v>
      </c>
      <c r="C166" s="2" t="s">
        <v>128</v>
      </c>
      <c r="D166" s="2" t="s">
        <v>453</v>
      </c>
      <c r="E166" s="23" t="s">
        <v>452</v>
      </c>
      <c r="F166" s="20">
        <f t="shared" ref="F166:BN166" si="92">F167+F168</f>
        <v>0</v>
      </c>
      <c r="G166" s="20">
        <f t="shared" si="92"/>
        <v>0</v>
      </c>
      <c r="H166" s="20">
        <f t="shared" si="92"/>
        <v>0</v>
      </c>
      <c r="I166" s="20">
        <f t="shared" si="92"/>
        <v>0</v>
      </c>
      <c r="J166" s="20">
        <f t="shared" si="92"/>
        <v>0</v>
      </c>
      <c r="K166" s="20">
        <f t="shared" si="92"/>
        <v>0</v>
      </c>
      <c r="L166" s="20">
        <f t="shared" si="92"/>
        <v>0</v>
      </c>
      <c r="M166" s="20">
        <f t="shared" si="92"/>
        <v>0</v>
      </c>
      <c r="N166" s="20">
        <f t="shared" si="92"/>
        <v>0</v>
      </c>
      <c r="O166" s="20">
        <f t="shared" si="92"/>
        <v>0</v>
      </c>
      <c r="P166" s="20">
        <f t="shared" si="92"/>
        <v>0</v>
      </c>
      <c r="Q166" s="20">
        <f t="shared" si="92"/>
        <v>0</v>
      </c>
      <c r="R166" s="20">
        <f t="shared" si="92"/>
        <v>0</v>
      </c>
      <c r="S166" s="20">
        <f t="shared" si="92"/>
        <v>0</v>
      </c>
      <c r="T166" s="20">
        <f t="shared" si="92"/>
        <v>0</v>
      </c>
      <c r="U166" s="20">
        <f t="shared" si="92"/>
        <v>0</v>
      </c>
      <c r="V166" s="20">
        <f t="shared" si="92"/>
        <v>0</v>
      </c>
      <c r="W166" s="20">
        <f t="shared" si="92"/>
        <v>0</v>
      </c>
      <c r="X166" s="20">
        <f t="shared" si="92"/>
        <v>0</v>
      </c>
      <c r="Y166" s="20">
        <f t="shared" si="92"/>
        <v>0</v>
      </c>
      <c r="Z166" s="20">
        <f t="shared" si="92"/>
        <v>0</v>
      </c>
      <c r="AA166" s="20">
        <f t="shared" si="92"/>
        <v>0</v>
      </c>
      <c r="AB166" s="20">
        <f t="shared" si="92"/>
        <v>0</v>
      </c>
      <c r="AC166" s="20">
        <f t="shared" si="92"/>
        <v>0</v>
      </c>
      <c r="AD166" s="20">
        <f t="shared" si="92"/>
        <v>0</v>
      </c>
      <c r="AE166" s="20">
        <f t="shared" si="92"/>
        <v>0</v>
      </c>
      <c r="AF166" s="20">
        <f t="shared" si="92"/>
        <v>0</v>
      </c>
      <c r="AG166" s="20">
        <f t="shared" si="92"/>
        <v>0</v>
      </c>
      <c r="AH166" s="20">
        <f t="shared" si="92"/>
        <v>0</v>
      </c>
      <c r="AI166" s="20">
        <f t="shared" si="92"/>
        <v>0</v>
      </c>
      <c r="AJ166" s="20">
        <f t="shared" si="92"/>
        <v>0</v>
      </c>
      <c r="AK166" s="20">
        <f t="shared" si="92"/>
        <v>0</v>
      </c>
      <c r="AL166" s="20">
        <f t="shared" si="92"/>
        <v>0</v>
      </c>
      <c r="AM166" s="20">
        <f t="shared" si="92"/>
        <v>0</v>
      </c>
      <c r="AN166" s="20">
        <f t="shared" si="92"/>
        <v>0</v>
      </c>
      <c r="AO166" s="20">
        <f t="shared" si="92"/>
        <v>0</v>
      </c>
      <c r="AP166" s="20">
        <f t="shared" si="92"/>
        <v>0</v>
      </c>
      <c r="AQ166" s="20">
        <f t="shared" si="92"/>
        <v>0</v>
      </c>
      <c r="AR166" s="20">
        <f t="shared" si="92"/>
        <v>0</v>
      </c>
      <c r="AS166" s="20">
        <f t="shared" si="92"/>
        <v>0</v>
      </c>
      <c r="AT166" s="20">
        <f t="shared" si="92"/>
        <v>0</v>
      </c>
      <c r="AU166" s="20">
        <f t="shared" si="92"/>
        <v>0</v>
      </c>
      <c r="AV166" s="20">
        <f t="shared" si="92"/>
        <v>0</v>
      </c>
      <c r="AW166" s="20">
        <f t="shared" si="92"/>
        <v>0</v>
      </c>
      <c r="AX166" s="20">
        <f t="shared" si="92"/>
        <v>0</v>
      </c>
      <c r="AY166" s="20">
        <f t="shared" si="92"/>
        <v>0</v>
      </c>
      <c r="AZ166" s="20">
        <f t="shared" si="92"/>
        <v>0</v>
      </c>
      <c r="BA166" s="20">
        <f t="shared" si="92"/>
        <v>0</v>
      </c>
      <c r="BB166" s="20">
        <f t="shared" si="92"/>
        <v>0</v>
      </c>
      <c r="BC166" s="20">
        <f t="shared" si="92"/>
        <v>0</v>
      </c>
      <c r="BD166" s="20">
        <f t="shared" si="92"/>
        <v>0</v>
      </c>
      <c r="BE166" s="20">
        <f t="shared" si="92"/>
        <v>0</v>
      </c>
      <c r="BF166" s="20">
        <f t="shared" si="92"/>
        <v>0</v>
      </c>
      <c r="BG166" s="20">
        <f t="shared" si="92"/>
        <v>0</v>
      </c>
      <c r="BH166" s="20">
        <f t="shared" si="92"/>
        <v>0</v>
      </c>
      <c r="BI166" s="20">
        <f t="shared" si="92"/>
        <v>0</v>
      </c>
      <c r="BJ166" s="20">
        <f t="shared" si="92"/>
        <v>0</v>
      </c>
      <c r="BK166" s="20">
        <f t="shared" si="92"/>
        <v>0</v>
      </c>
      <c r="BL166" s="20">
        <f t="shared" si="92"/>
        <v>0</v>
      </c>
      <c r="BM166" s="20">
        <f t="shared" si="92"/>
        <v>0</v>
      </c>
      <c r="BN166" s="20">
        <f t="shared" si="92"/>
        <v>0</v>
      </c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30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30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30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30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</row>
    <row r="167" spans="1:147" ht="13">
      <c r="A167" s="2" t="s">
        <v>831</v>
      </c>
      <c r="B167" s="2" t="s">
        <v>830</v>
      </c>
      <c r="C167" s="2" t="s">
        <v>130</v>
      </c>
      <c r="D167" s="2" t="s">
        <v>454</v>
      </c>
      <c r="E167" s="26" t="s">
        <v>137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30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30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30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30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</row>
    <row r="168" spans="1:147" ht="13">
      <c r="A168" s="2" t="s">
        <v>832</v>
      </c>
      <c r="B168" s="2" t="s">
        <v>830</v>
      </c>
      <c r="C168" s="2" t="s">
        <v>132</v>
      </c>
      <c r="D168" s="2" t="s">
        <v>244</v>
      </c>
      <c r="E168" s="26" t="s">
        <v>139</v>
      </c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30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30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30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30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</row>
    <row r="169" spans="1:147" ht="13">
      <c r="A169" s="2" t="s">
        <v>833</v>
      </c>
      <c r="B169" s="2" t="s">
        <v>823</v>
      </c>
      <c r="C169" s="2" t="s">
        <v>135</v>
      </c>
      <c r="D169" s="2" t="s">
        <v>455</v>
      </c>
      <c r="E169" s="23" t="s">
        <v>456</v>
      </c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2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</row>
    <row r="170" spans="1:147" ht="13">
      <c r="A170" s="2" t="s">
        <v>834</v>
      </c>
      <c r="B170" s="2" t="s">
        <v>823</v>
      </c>
      <c r="C170" s="2" t="s">
        <v>143</v>
      </c>
      <c r="D170" s="2" t="s">
        <v>457</v>
      </c>
      <c r="E170" s="24" t="s">
        <v>458</v>
      </c>
      <c r="F170" s="20">
        <f t="shared" ref="F170:AG170" si="93">ROUND(F172+F173+F174+F175+F176,2)</f>
        <v>0</v>
      </c>
      <c r="G170" s="20">
        <f t="shared" si="93"/>
        <v>0</v>
      </c>
      <c r="H170" s="20">
        <f t="shared" si="93"/>
        <v>0</v>
      </c>
      <c r="I170" s="20">
        <f t="shared" si="93"/>
        <v>0</v>
      </c>
      <c r="J170" s="20">
        <f t="shared" si="93"/>
        <v>0</v>
      </c>
      <c r="K170" s="20">
        <f t="shared" si="93"/>
        <v>0</v>
      </c>
      <c r="L170" s="20">
        <f t="shared" si="93"/>
        <v>0</v>
      </c>
      <c r="M170" s="20">
        <f t="shared" si="93"/>
        <v>0</v>
      </c>
      <c r="N170" s="20">
        <f t="shared" si="93"/>
        <v>0</v>
      </c>
      <c r="O170" s="20">
        <f t="shared" si="93"/>
        <v>0</v>
      </c>
      <c r="P170" s="20">
        <f t="shared" si="93"/>
        <v>0</v>
      </c>
      <c r="Q170" s="20">
        <f t="shared" si="93"/>
        <v>0</v>
      </c>
      <c r="R170" s="20">
        <f t="shared" si="93"/>
        <v>0</v>
      </c>
      <c r="S170" s="20">
        <f t="shared" si="93"/>
        <v>0</v>
      </c>
      <c r="T170" s="20">
        <f t="shared" si="93"/>
        <v>0</v>
      </c>
      <c r="U170" s="20">
        <f t="shared" si="93"/>
        <v>0</v>
      </c>
      <c r="V170" s="20">
        <f t="shared" si="93"/>
        <v>0</v>
      </c>
      <c r="W170" s="20">
        <f t="shared" si="93"/>
        <v>0</v>
      </c>
      <c r="X170" s="20">
        <f t="shared" si="93"/>
        <v>0</v>
      </c>
      <c r="Y170" s="20">
        <f t="shared" si="93"/>
        <v>0</v>
      </c>
      <c r="Z170" s="20">
        <f t="shared" si="93"/>
        <v>0</v>
      </c>
      <c r="AA170" s="20">
        <f t="shared" si="93"/>
        <v>0</v>
      </c>
      <c r="AB170" s="20">
        <f t="shared" si="93"/>
        <v>0</v>
      </c>
      <c r="AC170" s="20">
        <f t="shared" si="93"/>
        <v>0</v>
      </c>
      <c r="AD170" s="20">
        <f t="shared" si="93"/>
        <v>0</v>
      </c>
      <c r="AE170" s="20">
        <f t="shared" si="93"/>
        <v>0</v>
      </c>
      <c r="AF170" s="20">
        <f t="shared" si="93"/>
        <v>0</v>
      </c>
      <c r="AG170" s="20">
        <f t="shared" si="93"/>
        <v>0</v>
      </c>
      <c r="AH170" s="20">
        <f t="shared" ref="AH170:BN170" si="94">ROUND(AH172+AH173+AH174+AH175+AH176,2)</f>
        <v>0</v>
      </c>
      <c r="AI170" s="20">
        <f t="shared" si="94"/>
        <v>0</v>
      </c>
      <c r="AJ170" s="20">
        <f t="shared" si="94"/>
        <v>0</v>
      </c>
      <c r="AK170" s="20">
        <f t="shared" si="94"/>
        <v>0</v>
      </c>
      <c r="AL170" s="20">
        <f t="shared" si="94"/>
        <v>0</v>
      </c>
      <c r="AM170" s="20">
        <f t="shared" si="94"/>
        <v>0</v>
      </c>
      <c r="AN170" s="20">
        <f t="shared" si="94"/>
        <v>0</v>
      </c>
      <c r="AO170" s="20">
        <f t="shared" si="94"/>
        <v>0</v>
      </c>
      <c r="AP170" s="20">
        <f t="shared" si="94"/>
        <v>0</v>
      </c>
      <c r="AQ170" s="20">
        <f t="shared" si="94"/>
        <v>0</v>
      </c>
      <c r="AR170" s="20">
        <f t="shared" si="94"/>
        <v>0</v>
      </c>
      <c r="AS170" s="20">
        <f t="shared" si="94"/>
        <v>0</v>
      </c>
      <c r="AT170" s="20">
        <f t="shared" si="94"/>
        <v>0</v>
      </c>
      <c r="AU170" s="20">
        <f t="shared" si="94"/>
        <v>0</v>
      </c>
      <c r="AV170" s="20">
        <f t="shared" si="94"/>
        <v>0</v>
      </c>
      <c r="AW170" s="20">
        <f t="shared" si="94"/>
        <v>0</v>
      </c>
      <c r="AX170" s="20">
        <f t="shared" si="94"/>
        <v>0</v>
      </c>
      <c r="AY170" s="20">
        <f t="shared" si="94"/>
        <v>0</v>
      </c>
      <c r="AZ170" s="20">
        <f t="shared" si="94"/>
        <v>0</v>
      </c>
      <c r="BA170" s="20">
        <f t="shared" si="94"/>
        <v>0</v>
      </c>
      <c r="BB170" s="20">
        <f t="shared" si="94"/>
        <v>0</v>
      </c>
      <c r="BC170" s="20">
        <f t="shared" si="94"/>
        <v>0</v>
      </c>
      <c r="BD170" s="20">
        <f t="shared" si="94"/>
        <v>0</v>
      </c>
      <c r="BE170" s="20">
        <f t="shared" si="94"/>
        <v>0</v>
      </c>
      <c r="BF170" s="20">
        <f t="shared" si="94"/>
        <v>0</v>
      </c>
      <c r="BG170" s="20">
        <f t="shared" si="94"/>
        <v>0</v>
      </c>
      <c r="BH170" s="20">
        <f t="shared" si="94"/>
        <v>0</v>
      </c>
      <c r="BI170" s="20">
        <f t="shared" si="94"/>
        <v>0</v>
      </c>
      <c r="BJ170" s="20">
        <f t="shared" si="94"/>
        <v>0</v>
      </c>
      <c r="BK170" s="20">
        <f t="shared" si="94"/>
        <v>0</v>
      </c>
      <c r="BL170" s="20">
        <f t="shared" si="94"/>
        <v>0</v>
      </c>
      <c r="BM170" s="20">
        <f t="shared" si="94"/>
        <v>0</v>
      </c>
      <c r="BN170" s="20">
        <f t="shared" si="94"/>
        <v>0</v>
      </c>
      <c r="BO170" s="2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</row>
    <row r="171" spans="1:147" ht="13">
      <c r="A171" s="2" t="s">
        <v>835</v>
      </c>
      <c r="B171" s="2" t="s">
        <v>834</v>
      </c>
      <c r="C171" s="2" t="s">
        <v>144</v>
      </c>
      <c r="D171" s="2" t="s">
        <v>238</v>
      </c>
      <c r="E171" s="26" t="s">
        <v>237</v>
      </c>
      <c r="F171" s="20">
        <f t="shared" ref="F171:AG171" si="95">ROUND(SUM(F172:F173),2)</f>
        <v>0</v>
      </c>
      <c r="G171" s="20">
        <f t="shared" si="95"/>
        <v>0</v>
      </c>
      <c r="H171" s="20">
        <f t="shared" si="95"/>
        <v>0</v>
      </c>
      <c r="I171" s="20">
        <f t="shared" si="95"/>
        <v>0</v>
      </c>
      <c r="J171" s="20">
        <f t="shared" si="95"/>
        <v>0</v>
      </c>
      <c r="K171" s="20">
        <f t="shared" si="95"/>
        <v>0</v>
      </c>
      <c r="L171" s="20">
        <f t="shared" si="95"/>
        <v>0</v>
      </c>
      <c r="M171" s="20">
        <f t="shared" si="95"/>
        <v>0</v>
      </c>
      <c r="N171" s="20">
        <f t="shared" si="95"/>
        <v>0</v>
      </c>
      <c r="O171" s="20">
        <f t="shared" si="95"/>
        <v>0</v>
      </c>
      <c r="P171" s="20">
        <f t="shared" si="95"/>
        <v>0</v>
      </c>
      <c r="Q171" s="20">
        <f t="shared" si="95"/>
        <v>0</v>
      </c>
      <c r="R171" s="20">
        <f t="shared" si="95"/>
        <v>0</v>
      </c>
      <c r="S171" s="20">
        <f t="shared" si="95"/>
        <v>0</v>
      </c>
      <c r="T171" s="20">
        <f t="shared" si="95"/>
        <v>0</v>
      </c>
      <c r="U171" s="20">
        <f t="shared" si="95"/>
        <v>0</v>
      </c>
      <c r="V171" s="20">
        <f t="shared" si="95"/>
        <v>0</v>
      </c>
      <c r="W171" s="20">
        <f t="shared" si="95"/>
        <v>0</v>
      </c>
      <c r="X171" s="20">
        <f t="shared" si="95"/>
        <v>0</v>
      </c>
      <c r="Y171" s="20">
        <f t="shared" si="95"/>
        <v>0</v>
      </c>
      <c r="Z171" s="20">
        <f t="shared" si="95"/>
        <v>0</v>
      </c>
      <c r="AA171" s="20">
        <f t="shared" si="95"/>
        <v>0</v>
      </c>
      <c r="AB171" s="20">
        <f t="shared" si="95"/>
        <v>0</v>
      </c>
      <c r="AC171" s="20">
        <f t="shared" si="95"/>
        <v>0</v>
      </c>
      <c r="AD171" s="20">
        <f t="shared" si="95"/>
        <v>0</v>
      </c>
      <c r="AE171" s="20">
        <f t="shared" si="95"/>
        <v>0</v>
      </c>
      <c r="AF171" s="20">
        <f t="shared" si="95"/>
        <v>0</v>
      </c>
      <c r="AG171" s="20">
        <f t="shared" si="95"/>
        <v>0</v>
      </c>
      <c r="AH171" s="20">
        <f t="shared" ref="AH171:BN171" si="96">ROUND(SUM(AH172:AH173),2)</f>
        <v>0</v>
      </c>
      <c r="AI171" s="20">
        <f t="shared" si="96"/>
        <v>0</v>
      </c>
      <c r="AJ171" s="20">
        <f t="shared" si="96"/>
        <v>0</v>
      </c>
      <c r="AK171" s="20">
        <f t="shared" si="96"/>
        <v>0</v>
      </c>
      <c r="AL171" s="20">
        <f t="shared" si="96"/>
        <v>0</v>
      </c>
      <c r="AM171" s="20">
        <f t="shared" si="96"/>
        <v>0</v>
      </c>
      <c r="AN171" s="20">
        <f t="shared" si="96"/>
        <v>0</v>
      </c>
      <c r="AO171" s="20">
        <f t="shared" si="96"/>
        <v>0</v>
      </c>
      <c r="AP171" s="20">
        <f t="shared" si="96"/>
        <v>0</v>
      </c>
      <c r="AQ171" s="20">
        <f t="shared" si="96"/>
        <v>0</v>
      </c>
      <c r="AR171" s="20">
        <f t="shared" si="96"/>
        <v>0</v>
      </c>
      <c r="AS171" s="20">
        <f t="shared" si="96"/>
        <v>0</v>
      </c>
      <c r="AT171" s="20">
        <f t="shared" si="96"/>
        <v>0</v>
      </c>
      <c r="AU171" s="20">
        <f t="shared" si="96"/>
        <v>0</v>
      </c>
      <c r="AV171" s="20">
        <f t="shared" si="96"/>
        <v>0</v>
      </c>
      <c r="AW171" s="20">
        <f t="shared" si="96"/>
        <v>0</v>
      </c>
      <c r="AX171" s="20">
        <f t="shared" si="96"/>
        <v>0</v>
      </c>
      <c r="AY171" s="20">
        <f t="shared" si="96"/>
        <v>0</v>
      </c>
      <c r="AZ171" s="20">
        <f t="shared" si="96"/>
        <v>0</v>
      </c>
      <c r="BA171" s="20">
        <f t="shared" si="96"/>
        <v>0</v>
      </c>
      <c r="BB171" s="20">
        <f t="shared" si="96"/>
        <v>0</v>
      </c>
      <c r="BC171" s="20">
        <f t="shared" si="96"/>
        <v>0</v>
      </c>
      <c r="BD171" s="20">
        <f t="shared" si="96"/>
        <v>0</v>
      </c>
      <c r="BE171" s="20">
        <f t="shared" si="96"/>
        <v>0</v>
      </c>
      <c r="BF171" s="20">
        <f t="shared" si="96"/>
        <v>0</v>
      </c>
      <c r="BG171" s="20">
        <f t="shared" si="96"/>
        <v>0</v>
      </c>
      <c r="BH171" s="20">
        <f t="shared" si="96"/>
        <v>0</v>
      </c>
      <c r="BI171" s="20">
        <f t="shared" si="96"/>
        <v>0</v>
      </c>
      <c r="BJ171" s="20">
        <f t="shared" si="96"/>
        <v>0</v>
      </c>
      <c r="BK171" s="20">
        <f t="shared" si="96"/>
        <v>0</v>
      </c>
      <c r="BL171" s="20">
        <f t="shared" si="96"/>
        <v>0</v>
      </c>
      <c r="BM171" s="20">
        <f t="shared" si="96"/>
        <v>0</v>
      </c>
      <c r="BN171" s="20">
        <f t="shared" si="96"/>
        <v>0</v>
      </c>
      <c r="BO171" s="2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</row>
    <row r="172" spans="1:147" ht="13">
      <c r="A172" s="2" t="s">
        <v>836</v>
      </c>
      <c r="B172" s="2" t="s">
        <v>835</v>
      </c>
      <c r="C172" s="2" t="s">
        <v>459</v>
      </c>
      <c r="D172" s="2" t="s">
        <v>240</v>
      </c>
      <c r="E172" s="42" t="s">
        <v>460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2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</row>
    <row r="173" spans="1:147" ht="13">
      <c r="A173" s="2" t="s">
        <v>837</v>
      </c>
      <c r="B173" s="2" t="s">
        <v>835</v>
      </c>
      <c r="C173" s="2" t="s">
        <v>461</v>
      </c>
      <c r="D173" s="2" t="s">
        <v>242</v>
      </c>
      <c r="E173" s="42" t="s">
        <v>462</v>
      </c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2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</row>
    <row r="174" spans="1:147" ht="13">
      <c r="A174" s="2" t="s">
        <v>838</v>
      </c>
      <c r="B174" s="2" t="s">
        <v>834</v>
      </c>
      <c r="C174" s="2" t="s">
        <v>145</v>
      </c>
      <c r="D174" s="2" t="s">
        <v>244</v>
      </c>
      <c r="E174" s="26" t="s">
        <v>463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2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</row>
    <row r="175" spans="1:147" ht="13">
      <c r="A175" s="2" t="s">
        <v>839</v>
      </c>
      <c r="B175" s="2" t="s">
        <v>834</v>
      </c>
      <c r="C175" s="2" t="s">
        <v>146</v>
      </c>
      <c r="D175" s="2" t="s">
        <v>245</v>
      </c>
      <c r="E175" s="26" t="s">
        <v>464</v>
      </c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2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</row>
    <row r="176" spans="1:147" ht="13">
      <c r="A176" s="2" t="s">
        <v>840</v>
      </c>
      <c r="B176" s="2" t="s">
        <v>834</v>
      </c>
      <c r="C176" s="2" t="s">
        <v>465</v>
      </c>
      <c r="D176" s="2" t="s">
        <v>247</v>
      </c>
      <c r="E176" s="26" t="s">
        <v>466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2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</row>
    <row r="177" spans="1:147" ht="13">
      <c r="A177" s="2" t="s">
        <v>841</v>
      </c>
      <c r="B177" s="2" t="s">
        <v>823</v>
      </c>
      <c r="C177" s="2" t="s">
        <v>147</v>
      </c>
      <c r="D177" s="2" t="s">
        <v>467</v>
      </c>
      <c r="E177" s="23" t="s">
        <v>468</v>
      </c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2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</row>
    <row r="178" spans="1:147" ht="13">
      <c r="A178" s="2" t="s">
        <v>842</v>
      </c>
      <c r="B178" s="2" t="s">
        <v>823</v>
      </c>
      <c r="C178" s="2" t="s">
        <v>148</v>
      </c>
      <c r="D178" s="2" t="s">
        <v>469</v>
      </c>
      <c r="E178" s="24" t="s">
        <v>470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2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</row>
    <row r="179" spans="1:147" ht="13">
      <c r="A179" s="2" t="s">
        <v>843</v>
      </c>
      <c r="B179" s="2" t="s">
        <v>823</v>
      </c>
      <c r="C179" s="2" t="s">
        <v>149</v>
      </c>
      <c r="D179" s="2" t="s">
        <v>471</v>
      </c>
      <c r="E179" s="23" t="s">
        <v>472</v>
      </c>
      <c r="F179" s="20">
        <f t="shared" ref="F179:AG179" si="97">ROUND(SUM(F$180:F$184),2)</f>
        <v>0</v>
      </c>
      <c r="G179" s="20">
        <f t="shared" si="97"/>
        <v>0</v>
      </c>
      <c r="H179" s="20">
        <f t="shared" si="97"/>
        <v>0</v>
      </c>
      <c r="I179" s="20">
        <f t="shared" si="97"/>
        <v>0</v>
      </c>
      <c r="J179" s="20">
        <f t="shared" si="97"/>
        <v>0</v>
      </c>
      <c r="K179" s="20">
        <f t="shared" si="97"/>
        <v>0</v>
      </c>
      <c r="L179" s="20">
        <f t="shared" si="97"/>
        <v>0</v>
      </c>
      <c r="M179" s="20">
        <f t="shared" si="97"/>
        <v>0</v>
      </c>
      <c r="N179" s="20">
        <f t="shared" si="97"/>
        <v>0</v>
      </c>
      <c r="O179" s="20">
        <f t="shared" si="97"/>
        <v>0</v>
      </c>
      <c r="P179" s="20">
        <f t="shared" si="97"/>
        <v>0</v>
      </c>
      <c r="Q179" s="20">
        <f t="shared" si="97"/>
        <v>0</v>
      </c>
      <c r="R179" s="20">
        <f t="shared" si="97"/>
        <v>0</v>
      </c>
      <c r="S179" s="20">
        <f t="shared" si="97"/>
        <v>0</v>
      </c>
      <c r="T179" s="20">
        <f t="shared" si="97"/>
        <v>0</v>
      </c>
      <c r="U179" s="20">
        <f t="shared" si="97"/>
        <v>0</v>
      </c>
      <c r="V179" s="20">
        <f t="shared" si="97"/>
        <v>0</v>
      </c>
      <c r="W179" s="20">
        <f t="shared" si="97"/>
        <v>0</v>
      </c>
      <c r="X179" s="20">
        <f t="shared" si="97"/>
        <v>0</v>
      </c>
      <c r="Y179" s="20">
        <f t="shared" si="97"/>
        <v>0</v>
      </c>
      <c r="Z179" s="20">
        <f t="shared" si="97"/>
        <v>0</v>
      </c>
      <c r="AA179" s="20">
        <f t="shared" si="97"/>
        <v>0</v>
      </c>
      <c r="AB179" s="20">
        <f t="shared" si="97"/>
        <v>0</v>
      </c>
      <c r="AC179" s="20">
        <f t="shared" si="97"/>
        <v>0</v>
      </c>
      <c r="AD179" s="20">
        <f t="shared" si="97"/>
        <v>0</v>
      </c>
      <c r="AE179" s="20">
        <f t="shared" si="97"/>
        <v>0</v>
      </c>
      <c r="AF179" s="20">
        <f t="shared" si="97"/>
        <v>0</v>
      </c>
      <c r="AG179" s="20">
        <f t="shared" si="97"/>
        <v>0</v>
      </c>
      <c r="AH179" s="20">
        <f>ROUND(SUM(AH$180:AH$184),2)</f>
        <v>0</v>
      </c>
      <c r="AI179" s="20">
        <f t="shared" ref="AI179:BN179" si="98">ROUND(SUM(AI$180:AI$184),2)</f>
        <v>0</v>
      </c>
      <c r="AJ179" s="20">
        <f t="shared" si="98"/>
        <v>0</v>
      </c>
      <c r="AK179" s="20">
        <f t="shared" si="98"/>
        <v>0</v>
      </c>
      <c r="AL179" s="20">
        <f t="shared" si="98"/>
        <v>0</v>
      </c>
      <c r="AM179" s="20">
        <f t="shared" si="98"/>
        <v>0</v>
      </c>
      <c r="AN179" s="20">
        <f t="shared" si="98"/>
        <v>0</v>
      </c>
      <c r="AO179" s="20">
        <f t="shared" si="98"/>
        <v>0</v>
      </c>
      <c r="AP179" s="20">
        <f t="shared" si="98"/>
        <v>0</v>
      </c>
      <c r="AQ179" s="20">
        <f t="shared" si="98"/>
        <v>0</v>
      </c>
      <c r="AR179" s="20">
        <f t="shared" si="98"/>
        <v>0</v>
      </c>
      <c r="AS179" s="20">
        <f t="shared" si="98"/>
        <v>0</v>
      </c>
      <c r="AT179" s="20">
        <f t="shared" si="98"/>
        <v>0</v>
      </c>
      <c r="AU179" s="20">
        <f t="shared" si="98"/>
        <v>0</v>
      </c>
      <c r="AV179" s="20">
        <f t="shared" si="98"/>
        <v>0</v>
      </c>
      <c r="AW179" s="20">
        <f t="shared" si="98"/>
        <v>0</v>
      </c>
      <c r="AX179" s="20">
        <f t="shared" si="98"/>
        <v>0</v>
      </c>
      <c r="AY179" s="20">
        <f t="shared" si="98"/>
        <v>0</v>
      </c>
      <c r="AZ179" s="20">
        <f t="shared" si="98"/>
        <v>0</v>
      </c>
      <c r="BA179" s="20">
        <f t="shared" si="98"/>
        <v>0</v>
      </c>
      <c r="BB179" s="20">
        <f t="shared" si="98"/>
        <v>0</v>
      </c>
      <c r="BC179" s="20">
        <f t="shared" si="98"/>
        <v>0</v>
      </c>
      <c r="BD179" s="20">
        <f t="shared" si="98"/>
        <v>0</v>
      </c>
      <c r="BE179" s="20">
        <f t="shared" si="98"/>
        <v>0</v>
      </c>
      <c r="BF179" s="20">
        <f t="shared" si="98"/>
        <v>0</v>
      </c>
      <c r="BG179" s="20">
        <f t="shared" si="98"/>
        <v>0</v>
      </c>
      <c r="BH179" s="20">
        <f t="shared" si="98"/>
        <v>0</v>
      </c>
      <c r="BI179" s="20">
        <f t="shared" si="98"/>
        <v>0</v>
      </c>
      <c r="BJ179" s="20">
        <f t="shared" si="98"/>
        <v>0</v>
      </c>
      <c r="BK179" s="20">
        <f t="shared" si="98"/>
        <v>0</v>
      </c>
      <c r="BL179" s="20">
        <f t="shared" si="98"/>
        <v>0</v>
      </c>
      <c r="BM179" s="20">
        <f t="shared" si="98"/>
        <v>0</v>
      </c>
      <c r="BN179" s="20">
        <f t="shared" si="98"/>
        <v>0</v>
      </c>
      <c r="BO179" s="2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</row>
    <row r="180" spans="1:147" ht="13">
      <c r="A180" s="2" t="s">
        <v>844</v>
      </c>
      <c r="B180" s="2" t="s">
        <v>843</v>
      </c>
      <c r="C180" s="2" t="s">
        <v>150</v>
      </c>
      <c r="D180" s="2" t="s">
        <v>240</v>
      </c>
      <c r="E180" s="26" t="s">
        <v>473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2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</row>
    <row r="181" spans="1:147" ht="13">
      <c r="A181" s="2" t="s">
        <v>845</v>
      </c>
      <c r="B181" s="2" t="s">
        <v>843</v>
      </c>
      <c r="C181" s="2" t="s">
        <v>151</v>
      </c>
      <c r="D181" s="2" t="s">
        <v>242</v>
      </c>
      <c r="E181" s="26" t="s">
        <v>474</v>
      </c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2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</row>
    <row r="182" spans="1:147" ht="13">
      <c r="A182" s="2" t="s">
        <v>846</v>
      </c>
      <c r="B182" s="2" t="s">
        <v>843</v>
      </c>
      <c r="C182" s="2" t="s">
        <v>152</v>
      </c>
      <c r="D182" s="2" t="s">
        <v>256</v>
      </c>
      <c r="E182" s="27" t="s">
        <v>475</v>
      </c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2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</row>
    <row r="183" spans="1:147" ht="13">
      <c r="A183" s="2" t="s">
        <v>847</v>
      </c>
      <c r="B183" s="2" t="s">
        <v>843</v>
      </c>
      <c r="C183" s="2" t="s">
        <v>153</v>
      </c>
      <c r="D183" s="2" t="s">
        <v>273</v>
      </c>
      <c r="E183" s="27" t="s">
        <v>476</v>
      </c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2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</row>
    <row r="184" spans="1:147" ht="13">
      <c r="A184" s="2" t="s">
        <v>848</v>
      </c>
      <c r="B184" s="2" t="s">
        <v>843</v>
      </c>
      <c r="C184" s="2" t="s">
        <v>154</v>
      </c>
      <c r="D184" s="2" t="s">
        <v>275</v>
      </c>
      <c r="E184" s="26" t="s">
        <v>313</v>
      </c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2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</row>
    <row r="185" spans="1:147" ht="13">
      <c r="A185" s="2" t="s">
        <v>849</v>
      </c>
      <c r="B185" s="2" t="s">
        <v>823</v>
      </c>
      <c r="C185" s="2" t="s">
        <v>155</v>
      </c>
      <c r="D185" s="2" t="s">
        <v>477</v>
      </c>
      <c r="E185" s="24" t="s">
        <v>478</v>
      </c>
      <c r="F185" s="20">
        <f t="shared" ref="F185:BN185" si="99">ROUND(F160+F164+F165+F167+F168+F169+F170+F177+F178+F179,2)</f>
        <v>0</v>
      </c>
      <c r="G185" s="20">
        <f t="shared" si="99"/>
        <v>0</v>
      </c>
      <c r="H185" s="20">
        <f t="shared" si="99"/>
        <v>0</v>
      </c>
      <c r="I185" s="20">
        <f t="shared" si="99"/>
        <v>0</v>
      </c>
      <c r="J185" s="20">
        <f t="shared" si="99"/>
        <v>0</v>
      </c>
      <c r="K185" s="20">
        <f t="shared" si="99"/>
        <v>0</v>
      </c>
      <c r="L185" s="20">
        <f t="shared" si="99"/>
        <v>0</v>
      </c>
      <c r="M185" s="20">
        <f t="shared" si="99"/>
        <v>0</v>
      </c>
      <c r="N185" s="20">
        <f t="shared" si="99"/>
        <v>0</v>
      </c>
      <c r="O185" s="20">
        <f t="shared" si="99"/>
        <v>0</v>
      </c>
      <c r="P185" s="20">
        <f t="shared" si="99"/>
        <v>0</v>
      </c>
      <c r="Q185" s="20">
        <f t="shared" si="99"/>
        <v>0</v>
      </c>
      <c r="R185" s="20">
        <f t="shared" si="99"/>
        <v>0</v>
      </c>
      <c r="S185" s="20">
        <f t="shared" si="99"/>
        <v>0</v>
      </c>
      <c r="T185" s="20">
        <f t="shared" si="99"/>
        <v>0</v>
      </c>
      <c r="U185" s="20">
        <f t="shared" si="99"/>
        <v>0</v>
      </c>
      <c r="V185" s="20">
        <f t="shared" si="99"/>
        <v>0</v>
      </c>
      <c r="W185" s="20">
        <f t="shared" si="99"/>
        <v>0</v>
      </c>
      <c r="X185" s="20">
        <f t="shared" si="99"/>
        <v>0</v>
      </c>
      <c r="Y185" s="20">
        <f t="shared" si="99"/>
        <v>0</v>
      </c>
      <c r="Z185" s="20">
        <f t="shared" si="99"/>
        <v>0</v>
      </c>
      <c r="AA185" s="20">
        <f t="shared" si="99"/>
        <v>0</v>
      </c>
      <c r="AB185" s="20">
        <f t="shared" si="99"/>
        <v>0</v>
      </c>
      <c r="AC185" s="20">
        <f t="shared" si="99"/>
        <v>0</v>
      </c>
      <c r="AD185" s="20">
        <f t="shared" si="99"/>
        <v>0</v>
      </c>
      <c r="AE185" s="20">
        <f t="shared" si="99"/>
        <v>0</v>
      </c>
      <c r="AF185" s="20">
        <f t="shared" si="99"/>
        <v>0</v>
      </c>
      <c r="AG185" s="20">
        <f t="shared" si="99"/>
        <v>0</v>
      </c>
      <c r="AH185" s="20">
        <f t="shared" si="99"/>
        <v>0</v>
      </c>
      <c r="AI185" s="20">
        <f t="shared" si="99"/>
        <v>0</v>
      </c>
      <c r="AJ185" s="20">
        <f t="shared" si="99"/>
        <v>0</v>
      </c>
      <c r="AK185" s="20">
        <f t="shared" si="99"/>
        <v>0</v>
      </c>
      <c r="AL185" s="20">
        <f t="shared" si="99"/>
        <v>0</v>
      </c>
      <c r="AM185" s="20">
        <f t="shared" si="99"/>
        <v>0</v>
      </c>
      <c r="AN185" s="20">
        <f t="shared" si="99"/>
        <v>0</v>
      </c>
      <c r="AO185" s="20">
        <f t="shared" si="99"/>
        <v>0</v>
      </c>
      <c r="AP185" s="20">
        <f t="shared" si="99"/>
        <v>0</v>
      </c>
      <c r="AQ185" s="20">
        <f t="shared" si="99"/>
        <v>0</v>
      </c>
      <c r="AR185" s="20">
        <f t="shared" si="99"/>
        <v>0</v>
      </c>
      <c r="AS185" s="20">
        <f t="shared" si="99"/>
        <v>0</v>
      </c>
      <c r="AT185" s="20">
        <f t="shared" si="99"/>
        <v>0</v>
      </c>
      <c r="AU185" s="20">
        <f t="shared" si="99"/>
        <v>0</v>
      </c>
      <c r="AV185" s="20">
        <f t="shared" si="99"/>
        <v>0</v>
      </c>
      <c r="AW185" s="20">
        <f t="shared" si="99"/>
        <v>0</v>
      </c>
      <c r="AX185" s="20">
        <f t="shared" si="99"/>
        <v>0</v>
      </c>
      <c r="AY185" s="20">
        <f t="shared" si="99"/>
        <v>0</v>
      </c>
      <c r="AZ185" s="20">
        <f t="shared" si="99"/>
        <v>0</v>
      </c>
      <c r="BA185" s="20">
        <f t="shared" si="99"/>
        <v>0</v>
      </c>
      <c r="BB185" s="20">
        <f t="shared" si="99"/>
        <v>0</v>
      </c>
      <c r="BC185" s="20">
        <f t="shared" si="99"/>
        <v>0</v>
      </c>
      <c r="BD185" s="20">
        <f t="shared" si="99"/>
        <v>0</v>
      </c>
      <c r="BE185" s="20">
        <f t="shared" si="99"/>
        <v>0</v>
      </c>
      <c r="BF185" s="20">
        <f t="shared" si="99"/>
        <v>0</v>
      </c>
      <c r="BG185" s="20">
        <f t="shared" si="99"/>
        <v>0</v>
      </c>
      <c r="BH185" s="20">
        <f t="shared" si="99"/>
        <v>0</v>
      </c>
      <c r="BI185" s="20">
        <f t="shared" si="99"/>
        <v>0</v>
      </c>
      <c r="BJ185" s="20">
        <f t="shared" si="99"/>
        <v>0</v>
      </c>
      <c r="BK185" s="20">
        <f t="shared" si="99"/>
        <v>0</v>
      </c>
      <c r="BL185" s="20">
        <f t="shared" si="99"/>
        <v>0</v>
      </c>
      <c r="BM185" s="20">
        <f t="shared" si="99"/>
        <v>0</v>
      </c>
      <c r="BN185" s="20">
        <f t="shared" si="99"/>
        <v>0</v>
      </c>
      <c r="BO185" s="2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</row>
    <row r="186" spans="1:147">
      <c r="A186" s="2" t="s">
        <v>850</v>
      </c>
      <c r="B186" s="2" t="s">
        <v>823</v>
      </c>
      <c r="C186" s="2" t="s">
        <v>156</v>
      </c>
      <c r="D186" s="2" t="s">
        <v>25</v>
      </c>
      <c r="E186" s="46" t="s">
        <v>35</v>
      </c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2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</row>
    <row r="187" spans="1:147" ht="13">
      <c r="A187" s="2" t="s">
        <v>851</v>
      </c>
      <c r="B187" s="2" t="s">
        <v>823</v>
      </c>
      <c r="C187" s="2" t="s">
        <v>157</v>
      </c>
      <c r="D187" s="2" t="s">
        <v>25</v>
      </c>
      <c r="E187" s="24" t="s">
        <v>479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</row>
    <row r="188" spans="1:147" ht="13">
      <c r="A188" s="2" t="s">
        <v>852</v>
      </c>
      <c r="B188" s="2" t="s">
        <v>823</v>
      </c>
      <c r="C188" s="2" t="s">
        <v>158</v>
      </c>
      <c r="D188" s="2" t="s">
        <v>481</v>
      </c>
      <c r="E188" s="24" t="s">
        <v>480</v>
      </c>
      <c r="F188" s="20">
        <f t="shared" ref="F188:AG188" si="100">ROUND(SUM(F$189:F$190),2)</f>
        <v>0</v>
      </c>
      <c r="G188" s="20">
        <f t="shared" si="100"/>
        <v>0</v>
      </c>
      <c r="H188" s="20">
        <f t="shared" si="100"/>
        <v>0</v>
      </c>
      <c r="I188" s="20">
        <f t="shared" si="100"/>
        <v>0</v>
      </c>
      <c r="J188" s="20">
        <f t="shared" si="100"/>
        <v>0</v>
      </c>
      <c r="K188" s="20">
        <f t="shared" si="100"/>
        <v>0</v>
      </c>
      <c r="L188" s="20">
        <f t="shared" si="100"/>
        <v>0</v>
      </c>
      <c r="M188" s="20">
        <f t="shared" si="100"/>
        <v>0</v>
      </c>
      <c r="N188" s="20">
        <f t="shared" si="100"/>
        <v>0</v>
      </c>
      <c r="O188" s="20">
        <f t="shared" si="100"/>
        <v>0</v>
      </c>
      <c r="P188" s="20">
        <f t="shared" si="100"/>
        <v>0</v>
      </c>
      <c r="Q188" s="20">
        <f t="shared" si="100"/>
        <v>0</v>
      </c>
      <c r="R188" s="20">
        <f t="shared" si="100"/>
        <v>0</v>
      </c>
      <c r="S188" s="20">
        <f t="shared" si="100"/>
        <v>0</v>
      </c>
      <c r="T188" s="20">
        <f t="shared" si="100"/>
        <v>0</v>
      </c>
      <c r="U188" s="20">
        <f t="shared" si="100"/>
        <v>0</v>
      </c>
      <c r="V188" s="20">
        <f t="shared" si="100"/>
        <v>0</v>
      </c>
      <c r="W188" s="20">
        <f t="shared" si="100"/>
        <v>0</v>
      </c>
      <c r="X188" s="20">
        <f t="shared" si="100"/>
        <v>0</v>
      </c>
      <c r="Y188" s="20">
        <f t="shared" si="100"/>
        <v>0</v>
      </c>
      <c r="Z188" s="20">
        <f t="shared" si="100"/>
        <v>0</v>
      </c>
      <c r="AA188" s="20">
        <f t="shared" si="100"/>
        <v>0</v>
      </c>
      <c r="AB188" s="20">
        <f t="shared" si="100"/>
        <v>0</v>
      </c>
      <c r="AC188" s="20">
        <f t="shared" si="100"/>
        <v>0</v>
      </c>
      <c r="AD188" s="20">
        <f t="shared" si="100"/>
        <v>0</v>
      </c>
      <c r="AE188" s="20">
        <f t="shared" si="100"/>
        <v>0</v>
      </c>
      <c r="AF188" s="20">
        <f t="shared" si="100"/>
        <v>0</v>
      </c>
      <c r="AG188" s="20">
        <f t="shared" si="100"/>
        <v>0</v>
      </c>
      <c r="AH188" s="20">
        <f>ROUND(SUM(AH$189:AH$190),2)</f>
        <v>0</v>
      </c>
      <c r="AI188" s="20">
        <f t="shared" ref="AI188:BN188" si="101">ROUND(SUM(AI$189:AI$190),2)</f>
        <v>0</v>
      </c>
      <c r="AJ188" s="20">
        <f t="shared" si="101"/>
        <v>0</v>
      </c>
      <c r="AK188" s="20">
        <f t="shared" si="101"/>
        <v>0</v>
      </c>
      <c r="AL188" s="20">
        <f t="shared" si="101"/>
        <v>0</v>
      </c>
      <c r="AM188" s="20">
        <f t="shared" si="101"/>
        <v>0</v>
      </c>
      <c r="AN188" s="20">
        <f t="shared" si="101"/>
        <v>0</v>
      </c>
      <c r="AO188" s="20">
        <f t="shared" si="101"/>
        <v>0</v>
      </c>
      <c r="AP188" s="20">
        <f t="shared" si="101"/>
        <v>0</v>
      </c>
      <c r="AQ188" s="20">
        <f t="shared" si="101"/>
        <v>0</v>
      </c>
      <c r="AR188" s="20">
        <f t="shared" si="101"/>
        <v>0</v>
      </c>
      <c r="AS188" s="20">
        <f t="shared" si="101"/>
        <v>0</v>
      </c>
      <c r="AT188" s="20">
        <f t="shared" si="101"/>
        <v>0</v>
      </c>
      <c r="AU188" s="20">
        <f t="shared" si="101"/>
        <v>0</v>
      </c>
      <c r="AV188" s="20">
        <f t="shared" si="101"/>
        <v>0</v>
      </c>
      <c r="AW188" s="20">
        <f t="shared" si="101"/>
        <v>0</v>
      </c>
      <c r="AX188" s="20">
        <f t="shared" si="101"/>
        <v>0</v>
      </c>
      <c r="AY188" s="20">
        <f t="shared" si="101"/>
        <v>0</v>
      </c>
      <c r="AZ188" s="20">
        <f t="shared" si="101"/>
        <v>0</v>
      </c>
      <c r="BA188" s="20">
        <f t="shared" si="101"/>
        <v>0</v>
      </c>
      <c r="BB188" s="20">
        <f t="shared" si="101"/>
        <v>0</v>
      </c>
      <c r="BC188" s="20">
        <f t="shared" si="101"/>
        <v>0</v>
      </c>
      <c r="BD188" s="20">
        <f t="shared" si="101"/>
        <v>0</v>
      </c>
      <c r="BE188" s="20">
        <f t="shared" si="101"/>
        <v>0</v>
      </c>
      <c r="BF188" s="20">
        <f t="shared" si="101"/>
        <v>0</v>
      </c>
      <c r="BG188" s="20">
        <f t="shared" si="101"/>
        <v>0</v>
      </c>
      <c r="BH188" s="20">
        <f t="shared" si="101"/>
        <v>0</v>
      </c>
      <c r="BI188" s="20">
        <f t="shared" si="101"/>
        <v>0</v>
      </c>
      <c r="BJ188" s="20">
        <f t="shared" si="101"/>
        <v>0</v>
      </c>
      <c r="BK188" s="20">
        <f t="shared" si="101"/>
        <v>0</v>
      </c>
      <c r="BL188" s="20">
        <f t="shared" si="101"/>
        <v>0</v>
      </c>
      <c r="BM188" s="20">
        <f t="shared" si="101"/>
        <v>0</v>
      </c>
      <c r="BN188" s="20">
        <f t="shared" si="101"/>
        <v>0</v>
      </c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30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30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30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30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</row>
    <row r="189" spans="1:147" ht="13">
      <c r="A189" s="2" t="s">
        <v>853</v>
      </c>
      <c r="B189" s="2" t="s">
        <v>852</v>
      </c>
      <c r="C189" s="2" t="s">
        <v>482</v>
      </c>
      <c r="D189" s="2" t="s">
        <v>240</v>
      </c>
      <c r="E189" s="27" t="s">
        <v>483</v>
      </c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2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</row>
    <row r="190" spans="1:147" ht="13">
      <c r="A190" s="2" t="s">
        <v>854</v>
      </c>
      <c r="B190" s="2" t="s">
        <v>852</v>
      </c>
      <c r="C190" s="2" t="s">
        <v>484</v>
      </c>
      <c r="D190" s="2" t="s">
        <v>242</v>
      </c>
      <c r="E190" s="26" t="s">
        <v>164</v>
      </c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2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</row>
    <row r="191" spans="1:147" ht="13">
      <c r="A191" s="2" t="s">
        <v>855</v>
      </c>
      <c r="B191" s="2" t="s">
        <v>823</v>
      </c>
      <c r="C191" s="2" t="s">
        <v>159</v>
      </c>
      <c r="D191" s="2" t="s">
        <v>485</v>
      </c>
      <c r="E191" s="24" t="s">
        <v>486</v>
      </c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>
        <f>AH191+AI42-AI235</f>
        <v>0</v>
      </c>
      <c r="AJ191" s="19">
        <f t="shared" ref="AJ191:BN191" si="102">AI191+AJ42-AJ235</f>
        <v>0</v>
      </c>
      <c r="AK191" s="19">
        <f t="shared" si="102"/>
        <v>0</v>
      </c>
      <c r="AL191" s="19">
        <f t="shared" si="102"/>
        <v>0</v>
      </c>
      <c r="AM191" s="19">
        <f t="shared" si="102"/>
        <v>0</v>
      </c>
      <c r="AN191" s="19">
        <f t="shared" si="102"/>
        <v>0</v>
      </c>
      <c r="AO191" s="19">
        <f t="shared" si="102"/>
        <v>0</v>
      </c>
      <c r="AP191" s="19">
        <f t="shared" si="102"/>
        <v>0</v>
      </c>
      <c r="AQ191" s="19">
        <f t="shared" si="102"/>
        <v>0</v>
      </c>
      <c r="AR191" s="19">
        <f t="shared" si="102"/>
        <v>0</v>
      </c>
      <c r="AS191" s="19">
        <f t="shared" si="102"/>
        <v>0</v>
      </c>
      <c r="AT191" s="19">
        <f t="shared" si="102"/>
        <v>0</v>
      </c>
      <c r="AU191" s="19">
        <f t="shared" si="102"/>
        <v>0</v>
      </c>
      <c r="AV191" s="19">
        <f t="shared" si="102"/>
        <v>0</v>
      </c>
      <c r="AW191" s="19">
        <f t="shared" si="102"/>
        <v>0</v>
      </c>
      <c r="AX191" s="19">
        <f t="shared" si="102"/>
        <v>0</v>
      </c>
      <c r="AY191" s="19">
        <f t="shared" si="102"/>
        <v>0</v>
      </c>
      <c r="AZ191" s="19">
        <f t="shared" si="102"/>
        <v>0</v>
      </c>
      <c r="BA191" s="19">
        <f t="shared" si="102"/>
        <v>0</v>
      </c>
      <c r="BB191" s="19">
        <f t="shared" si="102"/>
        <v>0</v>
      </c>
      <c r="BC191" s="19">
        <f t="shared" si="102"/>
        <v>0</v>
      </c>
      <c r="BD191" s="19">
        <f t="shared" si="102"/>
        <v>0</v>
      </c>
      <c r="BE191" s="19">
        <f t="shared" si="102"/>
        <v>0</v>
      </c>
      <c r="BF191" s="19">
        <f t="shared" si="102"/>
        <v>0</v>
      </c>
      <c r="BG191" s="19">
        <f t="shared" si="102"/>
        <v>0</v>
      </c>
      <c r="BH191" s="19">
        <f t="shared" si="102"/>
        <v>0</v>
      </c>
      <c r="BI191" s="19">
        <f t="shared" si="102"/>
        <v>0</v>
      </c>
      <c r="BJ191" s="19">
        <f t="shared" si="102"/>
        <v>0</v>
      </c>
      <c r="BK191" s="19">
        <f t="shared" si="102"/>
        <v>0</v>
      </c>
      <c r="BL191" s="19">
        <f t="shared" si="102"/>
        <v>0</v>
      </c>
      <c r="BM191" s="19">
        <f t="shared" si="102"/>
        <v>0</v>
      </c>
      <c r="BN191" s="19">
        <f t="shared" si="102"/>
        <v>0</v>
      </c>
      <c r="BO191" s="2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</row>
    <row r="192" spans="1:147" ht="13">
      <c r="A192" s="2" t="s">
        <v>856</v>
      </c>
      <c r="B192" s="2" t="s">
        <v>823</v>
      </c>
      <c r="C192" s="2" t="s">
        <v>160</v>
      </c>
      <c r="D192" s="2" t="s">
        <v>487</v>
      </c>
      <c r="E192" s="24" t="s">
        <v>488</v>
      </c>
      <c r="F192" s="20">
        <f t="shared" ref="F192:BN192" si="103">ROUND(F188-F191,2)</f>
        <v>0</v>
      </c>
      <c r="G192" s="20">
        <f t="shared" si="103"/>
        <v>0</v>
      </c>
      <c r="H192" s="20">
        <f t="shared" si="103"/>
        <v>0</v>
      </c>
      <c r="I192" s="20">
        <f t="shared" si="103"/>
        <v>0</v>
      </c>
      <c r="J192" s="20">
        <f t="shared" si="103"/>
        <v>0</v>
      </c>
      <c r="K192" s="20">
        <f t="shared" si="103"/>
        <v>0</v>
      </c>
      <c r="L192" s="20">
        <f t="shared" si="103"/>
        <v>0</v>
      </c>
      <c r="M192" s="20">
        <f t="shared" si="103"/>
        <v>0</v>
      </c>
      <c r="N192" s="20">
        <f t="shared" si="103"/>
        <v>0</v>
      </c>
      <c r="O192" s="20">
        <f t="shared" si="103"/>
        <v>0</v>
      </c>
      <c r="P192" s="20">
        <f t="shared" si="103"/>
        <v>0</v>
      </c>
      <c r="Q192" s="20">
        <f t="shared" si="103"/>
        <v>0</v>
      </c>
      <c r="R192" s="20">
        <f t="shared" si="103"/>
        <v>0</v>
      </c>
      <c r="S192" s="20">
        <f t="shared" si="103"/>
        <v>0</v>
      </c>
      <c r="T192" s="20">
        <f t="shared" si="103"/>
        <v>0</v>
      </c>
      <c r="U192" s="20">
        <f t="shared" si="103"/>
        <v>0</v>
      </c>
      <c r="V192" s="20">
        <f t="shared" si="103"/>
        <v>0</v>
      </c>
      <c r="W192" s="20">
        <f t="shared" si="103"/>
        <v>0</v>
      </c>
      <c r="X192" s="20">
        <f t="shared" si="103"/>
        <v>0</v>
      </c>
      <c r="Y192" s="20">
        <f t="shared" si="103"/>
        <v>0</v>
      </c>
      <c r="Z192" s="20">
        <f t="shared" si="103"/>
        <v>0</v>
      </c>
      <c r="AA192" s="20">
        <f t="shared" si="103"/>
        <v>0</v>
      </c>
      <c r="AB192" s="20">
        <f t="shared" si="103"/>
        <v>0</v>
      </c>
      <c r="AC192" s="20">
        <f t="shared" si="103"/>
        <v>0</v>
      </c>
      <c r="AD192" s="20">
        <f t="shared" si="103"/>
        <v>0</v>
      </c>
      <c r="AE192" s="20">
        <f t="shared" si="103"/>
        <v>0</v>
      </c>
      <c r="AF192" s="20">
        <f t="shared" si="103"/>
        <v>0</v>
      </c>
      <c r="AG192" s="20">
        <f t="shared" si="103"/>
        <v>0</v>
      </c>
      <c r="AH192" s="20">
        <f t="shared" si="103"/>
        <v>0</v>
      </c>
      <c r="AI192" s="20">
        <f t="shared" si="103"/>
        <v>0</v>
      </c>
      <c r="AJ192" s="20">
        <f t="shared" si="103"/>
        <v>0</v>
      </c>
      <c r="AK192" s="20">
        <f t="shared" si="103"/>
        <v>0</v>
      </c>
      <c r="AL192" s="20">
        <f t="shared" si="103"/>
        <v>0</v>
      </c>
      <c r="AM192" s="20">
        <f t="shared" si="103"/>
        <v>0</v>
      </c>
      <c r="AN192" s="20">
        <f t="shared" si="103"/>
        <v>0</v>
      </c>
      <c r="AO192" s="20">
        <f t="shared" si="103"/>
        <v>0</v>
      </c>
      <c r="AP192" s="20">
        <f t="shared" si="103"/>
        <v>0</v>
      </c>
      <c r="AQ192" s="20">
        <f t="shared" si="103"/>
        <v>0</v>
      </c>
      <c r="AR192" s="20">
        <f t="shared" si="103"/>
        <v>0</v>
      </c>
      <c r="AS192" s="20">
        <f t="shared" si="103"/>
        <v>0</v>
      </c>
      <c r="AT192" s="20">
        <f t="shared" si="103"/>
        <v>0</v>
      </c>
      <c r="AU192" s="20">
        <f t="shared" si="103"/>
        <v>0</v>
      </c>
      <c r="AV192" s="20">
        <f t="shared" si="103"/>
        <v>0</v>
      </c>
      <c r="AW192" s="20">
        <f t="shared" si="103"/>
        <v>0</v>
      </c>
      <c r="AX192" s="20">
        <f t="shared" si="103"/>
        <v>0</v>
      </c>
      <c r="AY192" s="20">
        <f t="shared" si="103"/>
        <v>0</v>
      </c>
      <c r="AZ192" s="20">
        <f t="shared" si="103"/>
        <v>0</v>
      </c>
      <c r="BA192" s="20">
        <f t="shared" si="103"/>
        <v>0</v>
      </c>
      <c r="BB192" s="20">
        <f t="shared" si="103"/>
        <v>0</v>
      </c>
      <c r="BC192" s="20">
        <f t="shared" si="103"/>
        <v>0</v>
      </c>
      <c r="BD192" s="20">
        <f t="shared" si="103"/>
        <v>0</v>
      </c>
      <c r="BE192" s="20">
        <f t="shared" si="103"/>
        <v>0</v>
      </c>
      <c r="BF192" s="20">
        <f t="shared" si="103"/>
        <v>0</v>
      </c>
      <c r="BG192" s="20">
        <f t="shared" si="103"/>
        <v>0</v>
      </c>
      <c r="BH192" s="20">
        <f t="shared" si="103"/>
        <v>0</v>
      </c>
      <c r="BI192" s="20">
        <f t="shared" si="103"/>
        <v>0</v>
      </c>
      <c r="BJ192" s="20">
        <f t="shared" si="103"/>
        <v>0</v>
      </c>
      <c r="BK192" s="20">
        <f t="shared" si="103"/>
        <v>0</v>
      </c>
      <c r="BL192" s="20">
        <f t="shared" si="103"/>
        <v>0</v>
      </c>
      <c r="BM192" s="20">
        <f t="shared" si="103"/>
        <v>0</v>
      </c>
      <c r="BN192" s="20">
        <f t="shared" si="103"/>
        <v>0</v>
      </c>
      <c r="BO192" s="2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</row>
    <row r="193" spans="1:147">
      <c r="A193" s="2" t="s">
        <v>857</v>
      </c>
      <c r="B193" s="2" t="s">
        <v>823</v>
      </c>
      <c r="C193" s="2" t="s">
        <v>161</v>
      </c>
      <c r="D193" s="2" t="s">
        <v>25</v>
      </c>
      <c r="E193" s="46" t="s">
        <v>35</v>
      </c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2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</row>
    <row r="194" spans="1:147" ht="13">
      <c r="A194" s="2" t="s">
        <v>858</v>
      </c>
      <c r="B194" s="2" t="s">
        <v>823</v>
      </c>
      <c r="C194" s="2" t="s">
        <v>489</v>
      </c>
      <c r="D194" s="2" t="s">
        <v>25</v>
      </c>
      <c r="E194" s="24" t="s">
        <v>490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</row>
    <row r="195" spans="1:147" ht="13">
      <c r="A195" s="2" t="s">
        <v>859</v>
      </c>
      <c r="B195" s="2" t="s">
        <v>823</v>
      </c>
      <c r="C195" s="2" t="s">
        <v>491</v>
      </c>
      <c r="D195" s="2" t="s">
        <v>492</v>
      </c>
      <c r="E195" s="24" t="s">
        <v>493</v>
      </c>
      <c r="F195" s="20">
        <f t="shared" ref="F195:BN195" si="104">F196+F197</f>
        <v>0</v>
      </c>
      <c r="G195" s="20">
        <f t="shared" si="104"/>
        <v>0</v>
      </c>
      <c r="H195" s="20">
        <f t="shared" si="104"/>
        <v>0</v>
      </c>
      <c r="I195" s="20">
        <f t="shared" si="104"/>
        <v>0</v>
      </c>
      <c r="J195" s="20">
        <f t="shared" si="104"/>
        <v>0</v>
      </c>
      <c r="K195" s="20">
        <f t="shared" si="104"/>
        <v>0</v>
      </c>
      <c r="L195" s="20">
        <f t="shared" si="104"/>
        <v>0</v>
      </c>
      <c r="M195" s="20">
        <f t="shared" si="104"/>
        <v>0</v>
      </c>
      <c r="N195" s="20">
        <f t="shared" si="104"/>
        <v>0</v>
      </c>
      <c r="O195" s="20">
        <f t="shared" si="104"/>
        <v>0</v>
      </c>
      <c r="P195" s="20">
        <f t="shared" si="104"/>
        <v>0</v>
      </c>
      <c r="Q195" s="20">
        <f t="shared" si="104"/>
        <v>0</v>
      </c>
      <c r="R195" s="20">
        <f t="shared" si="104"/>
        <v>0</v>
      </c>
      <c r="S195" s="20">
        <f t="shared" si="104"/>
        <v>0</v>
      </c>
      <c r="T195" s="20">
        <f t="shared" si="104"/>
        <v>0</v>
      </c>
      <c r="U195" s="20">
        <f t="shared" si="104"/>
        <v>0</v>
      </c>
      <c r="V195" s="20">
        <f t="shared" si="104"/>
        <v>0</v>
      </c>
      <c r="W195" s="20">
        <f t="shared" si="104"/>
        <v>0</v>
      </c>
      <c r="X195" s="20">
        <f t="shared" si="104"/>
        <v>0</v>
      </c>
      <c r="Y195" s="20">
        <f t="shared" si="104"/>
        <v>0</v>
      </c>
      <c r="Z195" s="20">
        <f t="shared" si="104"/>
        <v>0</v>
      </c>
      <c r="AA195" s="20">
        <f t="shared" si="104"/>
        <v>0</v>
      </c>
      <c r="AB195" s="20">
        <f t="shared" si="104"/>
        <v>0</v>
      </c>
      <c r="AC195" s="20">
        <f t="shared" si="104"/>
        <v>0</v>
      </c>
      <c r="AD195" s="20">
        <f t="shared" si="104"/>
        <v>0</v>
      </c>
      <c r="AE195" s="20">
        <f t="shared" si="104"/>
        <v>0</v>
      </c>
      <c r="AF195" s="20">
        <f t="shared" si="104"/>
        <v>0</v>
      </c>
      <c r="AG195" s="20">
        <f t="shared" si="104"/>
        <v>0</v>
      </c>
      <c r="AH195" s="20">
        <f t="shared" si="104"/>
        <v>0</v>
      </c>
      <c r="AI195" s="20">
        <f t="shared" si="104"/>
        <v>0</v>
      </c>
      <c r="AJ195" s="20">
        <f t="shared" si="104"/>
        <v>0</v>
      </c>
      <c r="AK195" s="20">
        <f t="shared" si="104"/>
        <v>0</v>
      </c>
      <c r="AL195" s="20">
        <f t="shared" si="104"/>
        <v>0</v>
      </c>
      <c r="AM195" s="20">
        <f t="shared" si="104"/>
        <v>0</v>
      </c>
      <c r="AN195" s="20">
        <f t="shared" si="104"/>
        <v>0</v>
      </c>
      <c r="AO195" s="20">
        <f t="shared" si="104"/>
        <v>0</v>
      </c>
      <c r="AP195" s="20">
        <f t="shared" si="104"/>
        <v>0</v>
      </c>
      <c r="AQ195" s="20">
        <f t="shared" si="104"/>
        <v>0</v>
      </c>
      <c r="AR195" s="20">
        <f t="shared" si="104"/>
        <v>0</v>
      </c>
      <c r="AS195" s="20">
        <f t="shared" si="104"/>
        <v>0</v>
      </c>
      <c r="AT195" s="20">
        <f t="shared" si="104"/>
        <v>0</v>
      </c>
      <c r="AU195" s="20">
        <f t="shared" si="104"/>
        <v>0</v>
      </c>
      <c r="AV195" s="20">
        <f t="shared" si="104"/>
        <v>0</v>
      </c>
      <c r="AW195" s="20">
        <f t="shared" si="104"/>
        <v>0</v>
      </c>
      <c r="AX195" s="20">
        <f t="shared" si="104"/>
        <v>0</v>
      </c>
      <c r="AY195" s="20">
        <f t="shared" si="104"/>
        <v>0</v>
      </c>
      <c r="AZ195" s="20">
        <f t="shared" si="104"/>
        <v>0</v>
      </c>
      <c r="BA195" s="20">
        <f t="shared" si="104"/>
        <v>0</v>
      </c>
      <c r="BB195" s="20">
        <f t="shared" si="104"/>
        <v>0</v>
      </c>
      <c r="BC195" s="20">
        <f t="shared" si="104"/>
        <v>0</v>
      </c>
      <c r="BD195" s="20">
        <f t="shared" si="104"/>
        <v>0</v>
      </c>
      <c r="BE195" s="20">
        <f t="shared" si="104"/>
        <v>0</v>
      </c>
      <c r="BF195" s="20">
        <f t="shared" si="104"/>
        <v>0</v>
      </c>
      <c r="BG195" s="20">
        <f t="shared" si="104"/>
        <v>0</v>
      </c>
      <c r="BH195" s="20">
        <f t="shared" si="104"/>
        <v>0</v>
      </c>
      <c r="BI195" s="20">
        <f t="shared" si="104"/>
        <v>0</v>
      </c>
      <c r="BJ195" s="20">
        <f t="shared" si="104"/>
        <v>0</v>
      </c>
      <c r="BK195" s="20">
        <f t="shared" si="104"/>
        <v>0</v>
      </c>
      <c r="BL195" s="20">
        <f t="shared" si="104"/>
        <v>0</v>
      </c>
      <c r="BM195" s="20">
        <f t="shared" si="104"/>
        <v>0</v>
      </c>
      <c r="BN195" s="20">
        <f t="shared" si="104"/>
        <v>0</v>
      </c>
      <c r="BO195" s="2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</row>
    <row r="196" spans="1:147" ht="13">
      <c r="A196" s="2" t="s">
        <v>860</v>
      </c>
      <c r="B196" s="2" t="s">
        <v>859</v>
      </c>
      <c r="C196" s="2" t="s">
        <v>494</v>
      </c>
      <c r="D196" s="2" t="s">
        <v>238</v>
      </c>
      <c r="E196" s="26" t="s">
        <v>129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2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</row>
    <row r="197" spans="1:147" ht="13">
      <c r="A197" s="2" t="s">
        <v>861</v>
      </c>
      <c r="B197" s="2" t="s">
        <v>859</v>
      </c>
      <c r="C197" s="2" t="s">
        <v>495</v>
      </c>
      <c r="D197" s="2" t="s">
        <v>244</v>
      </c>
      <c r="E197" s="26" t="s">
        <v>496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2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</row>
    <row r="198" spans="1:147" ht="13">
      <c r="A198" s="2" t="s">
        <v>862</v>
      </c>
      <c r="B198" s="2" t="s">
        <v>823</v>
      </c>
      <c r="C198" s="2" t="s">
        <v>497</v>
      </c>
      <c r="D198" s="2" t="s">
        <v>498</v>
      </c>
      <c r="E198" s="23" t="s">
        <v>499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2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</row>
    <row r="199" spans="1:147" ht="13">
      <c r="A199" s="2" t="s">
        <v>863</v>
      </c>
      <c r="B199" s="2" t="s">
        <v>823</v>
      </c>
      <c r="C199" s="2" t="s">
        <v>500</v>
      </c>
      <c r="D199" s="2" t="s">
        <v>501</v>
      </c>
      <c r="E199" s="23" t="s">
        <v>502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2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</row>
    <row r="200" spans="1:147" ht="13">
      <c r="A200" s="2" t="s">
        <v>864</v>
      </c>
      <c r="B200" s="2" t="s">
        <v>823</v>
      </c>
      <c r="C200" s="2" t="s">
        <v>503</v>
      </c>
      <c r="D200" s="2" t="s">
        <v>504</v>
      </c>
      <c r="E200" s="24" t="s">
        <v>120</v>
      </c>
      <c r="F200" s="20">
        <f t="shared" ref="F200:AG200" si="105">ROUND(SUM(F$201:F$206),2)</f>
        <v>0</v>
      </c>
      <c r="G200" s="20">
        <f t="shared" si="105"/>
        <v>0</v>
      </c>
      <c r="H200" s="20">
        <f t="shared" si="105"/>
        <v>0</v>
      </c>
      <c r="I200" s="20">
        <f t="shared" si="105"/>
        <v>0</v>
      </c>
      <c r="J200" s="20">
        <f t="shared" si="105"/>
        <v>0</v>
      </c>
      <c r="K200" s="20">
        <f t="shared" si="105"/>
        <v>0</v>
      </c>
      <c r="L200" s="20">
        <f t="shared" si="105"/>
        <v>0</v>
      </c>
      <c r="M200" s="20">
        <f t="shared" si="105"/>
        <v>0</v>
      </c>
      <c r="N200" s="20">
        <f t="shared" si="105"/>
        <v>0</v>
      </c>
      <c r="O200" s="20">
        <f t="shared" si="105"/>
        <v>0</v>
      </c>
      <c r="P200" s="20">
        <f t="shared" si="105"/>
        <v>0</v>
      </c>
      <c r="Q200" s="20">
        <f t="shared" si="105"/>
        <v>0</v>
      </c>
      <c r="R200" s="20">
        <f t="shared" si="105"/>
        <v>0</v>
      </c>
      <c r="S200" s="20">
        <f t="shared" si="105"/>
        <v>0</v>
      </c>
      <c r="T200" s="20">
        <f t="shared" si="105"/>
        <v>0</v>
      </c>
      <c r="U200" s="20">
        <f t="shared" si="105"/>
        <v>0</v>
      </c>
      <c r="V200" s="20">
        <f t="shared" si="105"/>
        <v>0</v>
      </c>
      <c r="W200" s="20">
        <f t="shared" si="105"/>
        <v>0</v>
      </c>
      <c r="X200" s="20">
        <f t="shared" si="105"/>
        <v>0</v>
      </c>
      <c r="Y200" s="20">
        <f t="shared" si="105"/>
        <v>0</v>
      </c>
      <c r="Z200" s="20">
        <f t="shared" si="105"/>
        <v>0</v>
      </c>
      <c r="AA200" s="20">
        <f t="shared" si="105"/>
        <v>0</v>
      </c>
      <c r="AB200" s="20">
        <f t="shared" si="105"/>
        <v>0</v>
      </c>
      <c r="AC200" s="20">
        <f t="shared" si="105"/>
        <v>0</v>
      </c>
      <c r="AD200" s="20">
        <f t="shared" si="105"/>
        <v>0</v>
      </c>
      <c r="AE200" s="20">
        <f t="shared" si="105"/>
        <v>0</v>
      </c>
      <c r="AF200" s="20">
        <f t="shared" si="105"/>
        <v>0</v>
      </c>
      <c r="AG200" s="20">
        <f t="shared" si="105"/>
        <v>0</v>
      </c>
      <c r="AH200" s="20">
        <f>ROUND(SUM(AH$201:AH$206),2)</f>
        <v>0</v>
      </c>
      <c r="AI200" s="20">
        <f t="shared" ref="AI200:BN200" si="106">ROUND(SUM(AI$201:AI$206),2)</f>
        <v>0</v>
      </c>
      <c r="AJ200" s="20">
        <f t="shared" si="106"/>
        <v>0</v>
      </c>
      <c r="AK200" s="20">
        <f t="shared" si="106"/>
        <v>0</v>
      </c>
      <c r="AL200" s="20">
        <f t="shared" si="106"/>
        <v>0</v>
      </c>
      <c r="AM200" s="20">
        <f t="shared" si="106"/>
        <v>0</v>
      </c>
      <c r="AN200" s="20">
        <f t="shared" si="106"/>
        <v>0</v>
      </c>
      <c r="AO200" s="20">
        <f t="shared" si="106"/>
        <v>0</v>
      </c>
      <c r="AP200" s="20">
        <f t="shared" si="106"/>
        <v>0</v>
      </c>
      <c r="AQ200" s="20">
        <f t="shared" si="106"/>
        <v>0</v>
      </c>
      <c r="AR200" s="20">
        <f t="shared" si="106"/>
        <v>0</v>
      </c>
      <c r="AS200" s="20">
        <f t="shared" si="106"/>
        <v>0</v>
      </c>
      <c r="AT200" s="20">
        <f t="shared" si="106"/>
        <v>0</v>
      </c>
      <c r="AU200" s="20">
        <f t="shared" si="106"/>
        <v>0</v>
      </c>
      <c r="AV200" s="20">
        <f t="shared" si="106"/>
        <v>0</v>
      </c>
      <c r="AW200" s="20">
        <f t="shared" si="106"/>
        <v>0</v>
      </c>
      <c r="AX200" s="20">
        <f t="shared" si="106"/>
        <v>0</v>
      </c>
      <c r="AY200" s="20">
        <f t="shared" si="106"/>
        <v>0</v>
      </c>
      <c r="AZ200" s="20">
        <f t="shared" si="106"/>
        <v>0</v>
      </c>
      <c r="BA200" s="20">
        <f t="shared" si="106"/>
        <v>0</v>
      </c>
      <c r="BB200" s="20">
        <f t="shared" si="106"/>
        <v>0</v>
      </c>
      <c r="BC200" s="20">
        <f t="shared" si="106"/>
        <v>0</v>
      </c>
      <c r="BD200" s="20">
        <f t="shared" si="106"/>
        <v>0</v>
      </c>
      <c r="BE200" s="20">
        <f t="shared" si="106"/>
        <v>0</v>
      </c>
      <c r="BF200" s="20">
        <f t="shared" si="106"/>
        <v>0</v>
      </c>
      <c r="BG200" s="20">
        <f t="shared" si="106"/>
        <v>0</v>
      </c>
      <c r="BH200" s="20">
        <f t="shared" si="106"/>
        <v>0</v>
      </c>
      <c r="BI200" s="20">
        <f t="shared" si="106"/>
        <v>0</v>
      </c>
      <c r="BJ200" s="20">
        <f t="shared" si="106"/>
        <v>0</v>
      </c>
      <c r="BK200" s="20">
        <f t="shared" si="106"/>
        <v>0</v>
      </c>
      <c r="BL200" s="20">
        <f t="shared" si="106"/>
        <v>0</v>
      </c>
      <c r="BM200" s="20">
        <f t="shared" si="106"/>
        <v>0</v>
      </c>
      <c r="BN200" s="20">
        <f t="shared" si="106"/>
        <v>0</v>
      </c>
      <c r="BO200" s="2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</row>
    <row r="201" spans="1:147" ht="13">
      <c r="A201" s="2" t="s">
        <v>865</v>
      </c>
      <c r="B201" s="2" t="s">
        <v>864</v>
      </c>
      <c r="C201" s="2" t="s">
        <v>505</v>
      </c>
      <c r="D201" s="2" t="s">
        <v>238</v>
      </c>
      <c r="E201" s="26" t="s">
        <v>165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2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</row>
    <row r="202" spans="1:147" ht="13">
      <c r="A202" s="2" t="s">
        <v>866</v>
      </c>
      <c r="B202" s="2" t="s">
        <v>864</v>
      </c>
      <c r="C202" s="2" t="s">
        <v>506</v>
      </c>
      <c r="D202" s="2" t="s">
        <v>244</v>
      </c>
      <c r="E202" s="27" t="s">
        <v>507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2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</row>
    <row r="203" spans="1:147" ht="13">
      <c r="A203" s="2" t="s">
        <v>867</v>
      </c>
      <c r="B203" s="2" t="s">
        <v>864</v>
      </c>
      <c r="C203" s="2" t="s">
        <v>508</v>
      </c>
      <c r="D203" s="2" t="s">
        <v>245</v>
      </c>
      <c r="E203" s="26" t="s">
        <v>509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2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</row>
    <row r="204" spans="1:147" ht="13">
      <c r="A204" s="2" t="s">
        <v>868</v>
      </c>
      <c r="B204" s="2" t="s">
        <v>864</v>
      </c>
      <c r="C204" s="2" t="s">
        <v>510</v>
      </c>
      <c r="D204" s="2" t="s">
        <v>247</v>
      </c>
      <c r="E204" s="26" t="s">
        <v>511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2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</row>
    <row r="205" spans="1:147" ht="13">
      <c r="A205" s="2" t="s">
        <v>869</v>
      </c>
      <c r="B205" s="2" t="s">
        <v>864</v>
      </c>
      <c r="C205" s="2" t="s">
        <v>512</v>
      </c>
      <c r="D205" s="2" t="s">
        <v>250</v>
      </c>
      <c r="E205" s="27" t="s">
        <v>513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2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</row>
    <row r="206" spans="1:147" ht="13">
      <c r="A206" s="2" t="s">
        <v>870</v>
      </c>
      <c r="B206" s="2" t="s">
        <v>864</v>
      </c>
      <c r="C206" s="2" t="s">
        <v>514</v>
      </c>
      <c r="D206" s="2" t="s">
        <v>515</v>
      </c>
      <c r="E206" s="26" t="s">
        <v>313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2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</row>
    <row r="207" spans="1:147" ht="13">
      <c r="A207" s="2" t="s">
        <v>871</v>
      </c>
      <c r="B207" s="2" t="s">
        <v>823</v>
      </c>
      <c r="C207" s="2" t="s">
        <v>516</v>
      </c>
      <c r="D207" s="2" t="s">
        <v>517</v>
      </c>
      <c r="E207" s="23" t="s">
        <v>518</v>
      </c>
      <c r="F207" s="20">
        <f t="shared" ref="F207:AG207" si="107">SUM(F$196:F$200)</f>
        <v>0</v>
      </c>
      <c r="G207" s="20">
        <f t="shared" si="107"/>
        <v>0</v>
      </c>
      <c r="H207" s="20">
        <f t="shared" si="107"/>
        <v>0</v>
      </c>
      <c r="I207" s="20">
        <f t="shared" si="107"/>
        <v>0</v>
      </c>
      <c r="J207" s="20">
        <f t="shared" si="107"/>
        <v>0</v>
      </c>
      <c r="K207" s="20">
        <f t="shared" si="107"/>
        <v>0</v>
      </c>
      <c r="L207" s="20">
        <f t="shared" si="107"/>
        <v>0</v>
      </c>
      <c r="M207" s="20">
        <f t="shared" si="107"/>
        <v>0</v>
      </c>
      <c r="N207" s="20">
        <f t="shared" si="107"/>
        <v>0</v>
      </c>
      <c r="O207" s="20">
        <f t="shared" si="107"/>
        <v>0</v>
      </c>
      <c r="P207" s="20">
        <f t="shared" si="107"/>
        <v>0</v>
      </c>
      <c r="Q207" s="20">
        <f t="shared" si="107"/>
        <v>0</v>
      </c>
      <c r="R207" s="20">
        <f t="shared" si="107"/>
        <v>0</v>
      </c>
      <c r="S207" s="20">
        <f t="shared" si="107"/>
        <v>0</v>
      </c>
      <c r="T207" s="20">
        <f t="shared" si="107"/>
        <v>0</v>
      </c>
      <c r="U207" s="20">
        <f t="shared" si="107"/>
        <v>0</v>
      </c>
      <c r="V207" s="20">
        <f t="shared" si="107"/>
        <v>0</v>
      </c>
      <c r="W207" s="20">
        <f t="shared" si="107"/>
        <v>0</v>
      </c>
      <c r="X207" s="20">
        <f t="shared" si="107"/>
        <v>0</v>
      </c>
      <c r="Y207" s="20">
        <f t="shared" si="107"/>
        <v>0</v>
      </c>
      <c r="Z207" s="20">
        <f t="shared" si="107"/>
        <v>0</v>
      </c>
      <c r="AA207" s="20">
        <f t="shared" si="107"/>
        <v>0</v>
      </c>
      <c r="AB207" s="20">
        <f t="shared" si="107"/>
        <v>0</v>
      </c>
      <c r="AC207" s="20">
        <f t="shared" si="107"/>
        <v>0</v>
      </c>
      <c r="AD207" s="20">
        <f t="shared" si="107"/>
        <v>0</v>
      </c>
      <c r="AE207" s="20">
        <f t="shared" si="107"/>
        <v>0</v>
      </c>
      <c r="AF207" s="20">
        <f t="shared" si="107"/>
        <v>0</v>
      </c>
      <c r="AG207" s="20">
        <f t="shared" si="107"/>
        <v>0</v>
      </c>
      <c r="AH207" s="20">
        <f>SUM(AH$196:AH$200)</f>
        <v>0</v>
      </c>
      <c r="AI207" s="20">
        <f t="shared" ref="AI207:BN207" si="108">SUM(AI$196:AI$200)</f>
        <v>0</v>
      </c>
      <c r="AJ207" s="20">
        <f t="shared" si="108"/>
        <v>0</v>
      </c>
      <c r="AK207" s="20">
        <f t="shared" si="108"/>
        <v>0</v>
      </c>
      <c r="AL207" s="20">
        <f t="shared" si="108"/>
        <v>0</v>
      </c>
      <c r="AM207" s="20">
        <f t="shared" si="108"/>
        <v>0</v>
      </c>
      <c r="AN207" s="20">
        <f t="shared" si="108"/>
        <v>0</v>
      </c>
      <c r="AO207" s="20">
        <f t="shared" si="108"/>
        <v>0</v>
      </c>
      <c r="AP207" s="20">
        <f t="shared" si="108"/>
        <v>0</v>
      </c>
      <c r="AQ207" s="20">
        <f t="shared" si="108"/>
        <v>0</v>
      </c>
      <c r="AR207" s="20">
        <f t="shared" si="108"/>
        <v>0</v>
      </c>
      <c r="AS207" s="20">
        <f t="shared" si="108"/>
        <v>0</v>
      </c>
      <c r="AT207" s="20">
        <f t="shared" si="108"/>
        <v>0</v>
      </c>
      <c r="AU207" s="20">
        <f t="shared" si="108"/>
        <v>0</v>
      </c>
      <c r="AV207" s="20">
        <f t="shared" si="108"/>
        <v>0</v>
      </c>
      <c r="AW207" s="20">
        <f t="shared" si="108"/>
        <v>0</v>
      </c>
      <c r="AX207" s="20">
        <f t="shared" si="108"/>
        <v>0</v>
      </c>
      <c r="AY207" s="20">
        <f t="shared" si="108"/>
        <v>0</v>
      </c>
      <c r="AZ207" s="20">
        <f t="shared" si="108"/>
        <v>0</v>
      </c>
      <c r="BA207" s="20">
        <f t="shared" si="108"/>
        <v>0</v>
      </c>
      <c r="BB207" s="20">
        <f t="shared" si="108"/>
        <v>0</v>
      </c>
      <c r="BC207" s="20">
        <f t="shared" si="108"/>
        <v>0</v>
      </c>
      <c r="BD207" s="20">
        <f t="shared" si="108"/>
        <v>0</v>
      </c>
      <c r="BE207" s="20">
        <f t="shared" si="108"/>
        <v>0</v>
      </c>
      <c r="BF207" s="20">
        <f t="shared" si="108"/>
        <v>0</v>
      </c>
      <c r="BG207" s="20">
        <f t="shared" si="108"/>
        <v>0</v>
      </c>
      <c r="BH207" s="20">
        <f t="shared" si="108"/>
        <v>0</v>
      </c>
      <c r="BI207" s="20">
        <f t="shared" si="108"/>
        <v>0</v>
      </c>
      <c r="BJ207" s="20">
        <f t="shared" si="108"/>
        <v>0</v>
      </c>
      <c r="BK207" s="20">
        <f t="shared" si="108"/>
        <v>0</v>
      </c>
      <c r="BL207" s="20">
        <f t="shared" si="108"/>
        <v>0</v>
      </c>
      <c r="BM207" s="20">
        <f t="shared" si="108"/>
        <v>0</v>
      </c>
      <c r="BN207" s="20">
        <f t="shared" si="108"/>
        <v>0</v>
      </c>
      <c r="BO207" s="2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</row>
    <row r="208" spans="1:147">
      <c r="A208" s="2" t="s">
        <v>872</v>
      </c>
      <c r="B208" s="2" t="s">
        <v>823</v>
      </c>
      <c r="C208" s="2" t="s">
        <v>519</v>
      </c>
      <c r="D208" s="2" t="s">
        <v>25</v>
      </c>
      <c r="E208" s="46" t="s">
        <v>35</v>
      </c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2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</row>
    <row r="209" spans="1:147" ht="13">
      <c r="A209" s="2" t="s">
        <v>873</v>
      </c>
      <c r="B209" s="2" t="s">
        <v>823</v>
      </c>
      <c r="C209" s="2" t="s">
        <v>520</v>
      </c>
      <c r="D209" s="2" t="s">
        <v>521</v>
      </c>
      <c r="E209" s="23" t="s">
        <v>522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2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</row>
    <row r="210" spans="1:147" ht="13">
      <c r="A210" s="2" t="s">
        <v>874</v>
      </c>
      <c r="B210" s="2" t="s">
        <v>823</v>
      </c>
      <c r="C210" s="2" t="s">
        <v>523</v>
      </c>
      <c r="D210" s="2" t="s">
        <v>524</v>
      </c>
      <c r="E210" s="24" t="s">
        <v>525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>
        <f t="shared" ref="AI210:BN210" si="109">AH210+AI43-AI236</f>
        <v>0</v>
      </c>
      <c r="AJ210" s="19">
        <f t="shared" si="109"/>
        <v>0</v>
      </c>
      <c r="AK210" s="19">
        <f t="shared" si="109"/>
        <v>0</v>
      </c>
      <c r="AL210" s="19">
        <f t="shared" si="109"/>
        <v>0</v>
      </c>
      <c r="AM210" s="19">
        <f t="shared" si="109"/>
        <v>0</v>
      </c>
      <c r="AN210" s="19">
        <f t="shared" si="109"/>
        <v>0</v>
      </c>
      <c r="AO210" s="19">
        <f t="shared" si="109"/>
        <v>0</v>
      </c>
      <c r="AP210" s="19">
        <f t="shared" si="109"/>
        <v>0</v>
      </c>
      <c r="AQ210" s="19">
        <f t="shared" si="109"/>
        <v>0</v>
      </c>
      <c r="AR210" s="19">
        <f t="shared" si="109"/>
        <v>0</v>
      </c>
      <c r="AS210" s="19">
        <f t="shared" si="109"/>
        <v>0</v>
      </c>
      <c r="AT210" s="19">
        <f t="shared" si="109"/>
        <v>0</v>
      </c>
      <c r="AU210" s="19">
        <f t="shared" si="109"/>
        <v>0</v>
      </c>
      <c r="AV210" s="19">
        <f t="shared" si="109"/>
        <v>0</v>
      </c>
      <c r="AW210" s="19">
        <f t="shared" si="109"/>
        <v>0</v>
      </c>
      <c r="AX210" s="19">
        <f t="shared" si="109"/>
        <v>0</v>
      </c>
      <c r="AY210" s="19">
        <f t="shared" si="109"/>
        <v>0</v>
      </c>
      <c r="AZ210" s="19">
        <f t="shared" si="109"/>
        <v>0</v>
      </c>
      <c r="BA210" s="19">
        <f t="shared" si="109"/>
        <v>0</v>
      </c>
      <c r="BB210" s="19">
        <f t="shared" si="109"/>
        <v>0</v>
      </c>
      <c r="BC210" s="19">
        <f t="shared" si="109"/>
        <v>0</v>
      </c>
      <c r="BD210" s="19">
        <f t="shared" si="109"/>
        <v>0</v>
      </c>
      <c r="BE210" s="19">
        <f t="shared" si="109"/>
        <v>0</v>
      </c>
      <c r="BF210" s="19">
        <f t="shared" si="109"/>
        <v>0</v>
      </c>
      <c r="BG210" s="19">
        <f t="shared" si="109"/>
        <v>0</v>
      </c>
      <c r="BH210" s="19">
        <f t="shared" si="109"/>
        <v>0</v>
      </c>
      <c r="BI210" s="19">
        <f t="shared" si="109"/>
        <v>0</v>
      </c>
      <c r="BJ210" s="19">
        <f t="shared" si="109"/>
        <v>0</v>
      </c>
      <c r="BK210" s="19">
        <f t="shared" si="109"/>
        <v>0</v>
      </c>
      <c r="BL210" s="19">
        <f t="shared" si="109"/>
        <v>0</v>
      </c>
      <c r="BM210" s="19">
        <f t="shared" si="109"/>
        <v>0</v>
      </c>
      <c r="BN210" s="19">
        <f t="shared" si="109"/>
        <v>0</v>
      </c>
      <c r="BO210" s="2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</row>
    <row r="211" spans="1:147" ht="13">
      <c r="A211" s="2" t="s">
        <v>875</v>
      </c>
      <c r="B211" s="2" t="s">
        <v>823</v>
      </c>
      <c r="C211" s="2" t="s">
        <v>526</v>
      </c>
      <c r="D211" s="2" t="s">
        <v>527</v>
      </c>
      <c r="E211" s="24" t="s">
        <v>528</v>
      </c>
      <c r="F211" s="20">
        <f t="shared" ref="F211:AG211" si="110">F209-F210</f>
        <v>0</v>
      </c>
      <c r="G211" s="20">
        <f t="shared" si="110"/>
        <v>0</v>
      </c>
      <c r="H211" s="20">
        <f t="shared" si="110"/>
        <v>0</v>
      </c>
      <c r="I211" s="20">
        <f t="shared" si="110"/>
        <v>0</v>
      </c>
      <c r="J211" s="20">
        <f t="shared" si="110"/>
        <v>0</v>
      </c>
      <c r="K211" s="20">
        <f t="shared" si="110"/>
        <v>0</v>
      </c>
      <c r="L211" s="20">
        <f t="shared" si="110"/>
        <v>0</v>
      </c>
      <c r="M211" s="20">
        <f t="shared" si="110"/>
        <v>0</v>
      </c>
      <c r="N211" s="20">
        <f t="shared" si="110"/>
        <v>0</v>
      </c>
      <c r="O211" s="20">
        <f t="shared" si="110"/>
        <v>0</v>
      </c>
      <c r="P211" s="20">
        <f t="shared" si="110"/>
        <v>0</v>
      </c>
      <c r="Q211" s="20">
        <f t="shared" si="110"/>
        <v>0</v>
      </c>
      <c r="R211" s="20">
        <f t="shared" si="110"/>
        <v>0</v>
      </c>
      <c r="S211" s="20">
        <f t="shared" si="110"/>
        <v>0</v>
      </c>
      <c r="T211" s="20">
        <f t="shared" si="110"/>
        <v>0</v>
      </c>
      <c r="U211" s="20">
        <f t="shared" si="110"/>
        <v>0</v>
      </c>
      <c r="V211" s="20">
        <f t="shared" si="110"/>
        <v>0</v>
      </c>
      <c r="W211" s="20">
        <f t="shared" si="110"/>
        <v>0</v>
      </c>
      <c r="X211" s="20">
        <f t="shared" si="110"/>
        <v>0</v>
      </c>
      <c r="Y211" s="20">
        <f t="shared" si="110"/>
        <v>0</v>
      </c>
      <c r="Z211" s="20">
        <f t="shared" si="110"/>
        <v>0</v>
      </c>
      <c r="AA211" s="20">
        <f t="shared" si="110"/>
        <v>0</v>
      </c>
      <c r="AB211" s="20">
        <f t="shared" si="110"/>
        <v>0</v>
      </c>
      <c r="AC211" s="20">
        <f t="shared" si="110"/>
        <v>0</v>
      </c>
      <c r="AD211" s="20">
        <f t="shared" si="110"/>
        <v>0</v>
      </c>
      <c r="AE211" s="20">
        <f t="shared" si="110"/>
        <v>0</v>
      </c>
      <c r="AF211" s="20">
        <f t="shared" si="110"/>
        <v>0</v>
      </c>
      <c r="AG211" s="20">
        <f t="shared" si="110"/>
        <v>0</v>
      </c>
      <c r="AH211" s="20">
        <f t="shared" ref="AH211:BN211" si="111">AH209-AH210</f>
        <v>0</v>
      </c>
      <c r="AI211" s="20">
        <f t="shared" si="111"/>
        <v>0</v>
      </c>
      <c r="AJ211" s="20">
        <f t="shared" si="111"/>
        <v>0</v>
      </c>
      <c r="AK211" s="20">
        <f t="shared" si="111"/>
        <v>0</v>
      </c>
      <c r="AL211" s="20">
        <f t="shared" si="111"/>
        <v>0</v>
      </c>
      <c r="AM211" s="20">
        <f t="shared" si="111"/>
        <v>0</v>
      </c>
      <c r="AN211" s="20">
        <f t="shared" si="111"/>
        <v>0</v>
      </c>
      <c r="AO211" s="20">
        <f t="shared" si="111"/>
        <v>0</v>
      </c>
      <c r="AP211" s="20">
        <f t="shared" si="111"/>
        <v>0</v>
      </c>
      <c r="AQ211" s="20">
        <f t="shared" si="111"/>
        <v>0</v>
      </c>
      <c r="AR211" s="20">
        <f t="shared" si="111"/>
        <v>0</v>
      </c>
      <c r="AS211" s="20">
        <f t="shared" si="111"/>
        <v>0</v>
      </c>
      <c r="AT211" s="20">
        <f t="shared" si="111"/>
        <v>0</v>
      </c>
      <c r="AU211" s="20">
        <f t="shared" si="111"/>
        <v>0</v>
      </c>
      <c r="AV211" s="20">
        <f t="shared" si="111"/>
        <v>0</v>
      </c>
      <c r="AW211" s="20">
        <f t="shared" si="111"/>
        <v>0</v>
      </c>
      <c r="AX211" s="20">
        <f t="shared" si="111"/>
        <v>0</v>
      </c>
      <c r="AY211" s="20">
        <f t="shared" si="111"/>
        <v>0</v>
      </c>
      <c r="AZ211" s="20">
        <f t="shared" si="111"/>
        <v>0</v>
      </c>
      <c r="BA211" s="20">
        <f t="shared" si="111"/>
        <v>0</v>
      </c>
      <c r="BB211" s="20">
        <f t="shared" si="111"/>
        <v>0</v>
      </c>
      <c r="BC211" s="20">
        <f t="shared" si="111"/>
        <v>0</v>
      </c>
      <c r="BD211" s="20">
        <f t="shared" si="111"/>
        <v>0</v>
      </c>
      <c r="BE211" s="20">
        <f t="shared" si="111"/>
        <v>0</v>
      </c>
      <c r="BF211" s="20">
        <f t="shared" si="111"/>
        <v>0</v>
      </c>
      <c r="BG211" s="20">
        <f t="shared" si="111"/>
        <v>0</v>
      </c>
      <c r="BH211" s="20">
        <f t="shared" si="111"/>
        <v>0</v>
      </c>
      <c r="BI211" s="20">
        <f t="shared" si="111"/>
        <v>0</v>
      </c>
      <c r="BJ211" s="20">
        <f t="shared" si="111"/>
        <v>0</v>
      </c>
      <c r="BK211" s="20">
        <f t="shared" si="111"/>
        <v>0</v>
      </c>
      <c r="BL211" s="20">
        <f t="shared" si="111"/>
        <v>0</v>
      </c>
      <c r="BM211" s="20">
        <f t="shared" si="111"/>
        <v>0</v>
      </c>
      <c r="BN211" s="20">
        <f t="shared" si="111"/>
        <v>0</v>
      </c>
      <c r="BO211" s="2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</row>
    <row r="212" spans="1:147" ht="13">
      <c r="A212" s="2" t="s">
        <v>876</v>
      </c>
      <c r="B212" s="2" t="s">
        <v>822</v>
      </c>
      <c r="C212" s="2" t="s">
        <v>162</v>
      </c>
      <c r="D212" s="2" t="s">
        <v>530</v>
      </c>
      <c r="E212" s="6" t="s">
        <v>529</v>
      </c>
      <c r="F212" s="20">
        <f t="shared" ref="F212:AG212" si="112">ROUND(F185+F192+F207+F211,2)</f>
        <v>0</v>
      </c>
      <c r="G212" s="20">
        <f t="shared" si="112"/>
        <v>0</v>
      </c>
      <c r="H212" s="20">
        <f t="shared" si="112"/>
        <v>0</v>
      </c>
      <c r="I212" s="20">
        <f t="shared" si="112"/>
        <v>0</v>
      </c>
      <c r="J212" s="20">
        <f t="shared" si="112"/>
        <v>0</v>
      </c>
      <c r="K212" s="20">
        <f t="shared" si="112"/>
        <v>0</v>
      </c>
      <c r="L212" s="20">
        <f t="shared" si="112"/>
        <v>0</v>
      </c>
      <c r="M212" s="20">
        <f t="shared" si="112"/>
        <v>0</v>
      </c>
      <c r="N212" s="20">
        <f t="shared" si="112"/>
        <v>0</v>
      </c>
      <c r="O212" s="20">
        <f t="shared" si="112"/>
        <v>0</v>
      </c>
      <c r="P212" s="20">
        <f t="shared" si="112"/>
        <v>0</v>
      </c>
      <c r="Q212" s="20">
        <f t="shared" si="112"/>
        <v>0</v>
      </c>
      <c r="R212" s="20">
        <f t="shared" si="112"/>
        <v>0</v>
      </c>
      <c r="S212" s="20">
        <f t="shared" si="112"/>
        <v>0</v>
      </c>
      <c r="T212" s="20">
        <f t="shared" si="112"/>
        <v>0</v>
      </c>
      <c r="U212" s="20">
        <f t="shared" si="112"/>
        <v>0</v>
      </c>
      <c r="V212" s="20">
        <f t="shared" si="112"/>
        <v>0</v>
      </c>
      <c r="W212" s="20">
        <f t="shared" si="112"/>
        <v>0</v>
      </c>
      <c r="X212" s="20">
        <f t="shared" si="112"/>
        <v>0</v>
      </c>
      <c r="Y212" s="20">
        <f t="shared" si="112"/>
        <v>0</v>
      </c>
      <c r="Z212" s="20">
        <f t="shared" si="112"/>
        <v>0</v>
      </c>
      <c r="AA212" s="20">
        <f t="shared" si="112"/>
        <v>0</v>
      </c>
      <c r="AB212" s="20">
        <f t="shared" si="112"/>
        <v>0</v>
      </c>
      <c r="AC212" s="20">
        <f t="shared" si="112"/>
        <v>0</v>
      </c>
      <c r="AD212" s="20">
        <f t="shared" si="112"/>
        <v>0</v>
      </c>
      <c r="AE212" s="20">
        <f t="shared" si="112"/>
        <v>0</v>
      </c>
      <c r="AF212" s="20">
        <f t="shared" si="112"/>
        <v>0</v>
      </c>
      <c r="AG212" s="20">
        <f t="shared" si="112"/>
        <v>0</v>
      </c>
      <c r="AH212" s="20">
        <f t="shared" ref="AH212:BN212" si="113">ROUND(AH185+AH192+AH207+AH211,2)</f>
        <v>0</v>
      </c>
      <c r="AI212" s="20">
        <f t="shared" si="113"/>
        <v>0</v>
      </c>
      <c r="AJ212" s="20">
        <f t="shared" si="113"/>
        <v>0</v>
      </c>
      <c r="AK212" s="20">
        <f t="shared" si="113"/>
        <v>0</v>
      </c>
      <c r="AL212" s="20">
        <f t="shared" si="113"/>
        <v>0</v>
      </c>
      <c r="AM212" s="20">
        <f t="shared" si="113"/>
        <v>0</v>
      </c>
      <c r="AN212" s="20">
        <f t="shared" si="113"/>
        <v>0</v>
      </c>
      <c r="AO212" s="20">
        <f t="shared" si="113"/>
        <v>0</v>
      </c>
      <c r="AP212" s="20">
        <f t="shared" si="113"/>
        <v>0</v>
      </c>
      <c r="AQ212" s="20">
        <f t="shared" si="113"/>
        <v>0</v>
      </c>
      <c r="AR212" s="20">
        <f t="shared" si="113"/>
        <v>0</v>
      </c>
      <c r="AS212" s="20">
        <f t="shared" si="113"/>
        <v>0</v>
      </c>
      <c r="AT212" s="20">
        <f t="shared" si="113"/>
        <v>0</v>
      </c>
      <c r="AU212" s="20">
        <f t="shared" si="113"/>
        <v>0</v>
      </c>
      <c r="AV212" s="20">
        <f t="shared" si="113"/>
        <v>0</v>
      </c>
      <c r="AW212" s="20">
        <f t="shared" si="113"/>
        <v>0</v>
      </c>
      <c r="AX212" s="20">
        <f t="shared" si="113"/>
        <v>0</v>
      </c>
      <c r="AY212" s="20">
        <f t="shared" si="113"/>
        <v>0</v>
      </c>
      <c r="AZ212" s="20">
        <f t="shared" si="113"/>
        <v>0</v>
      </c>
      <c r="BA212" s="20">
        <f t="shared" si="113"/>
        <v>0</v>
      </c>
      <c r="BB212" s="20">
        <f t="shared" si="113"/>
        <v>0</v>
      </c>
      <c r="BC212" s="20">
        <f t="shared" si="113"/>
        <v>0</v>
      </c>
      <c r="BD212" s="20">
        <f t="shared" si="113"/>
        <v>0</v>
      </c>
      <c r="BE212" s="20">
        <f t="shared" si="113"/>
        <v>0</v>
      </c>
      <c r="BF212" s="20">
        <f t="shared" si="113"/>
        <v>0</v>
      </c>
      <c r="BG212" s="20">
        <f t="shared" si="113"/>
        <v>0</v>
      </c>
      <c r="BH212" s="20">
        <f t="shared" si="113"/>
        <v>0</v>
      </c>
      <c r="BI212" s="20">
        <f t="shared" si="113"/>
        <v>0</v>
      </c>
      <c r="BJ212" s="20">
        <f t="shared" si="113"/>
        <v>0</v>
      </c>
      <c r="BK212" s="20">
        <f t="shared" si="113"/>
        <v>0</v>
      </c>
      <c r="BL212" s="20">
        <f t="shared" si="113"/>
        <v>0</v>
      </c>
      <c r="BM212" s="20">
        <f t="shared" si="113"/>
        <v>0</v>
      </c>
      <c r="BN212" s="20">
        <f t="shared" si="113"/>
        <v>0</v>
      </c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30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30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30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30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</row>
    <row r="213" spans="1:147">
      <c r="A213" s="2" t="s">
        <v>877</v>
      </c>
      <c r="B213" s="2" t="s">
        <v>822</v>
      </c>
      <c r="C213" s="2" t="s">
        <v>163</v>
      </c>
      <c r="D213" s="2" t="s">
        <v>25</v>
      </c>
      <c r="E213" s="46" t="s">
        <v>35</v>
      </c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30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30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30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30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</row>
    <row r="214" spans="1:147" ht="20.5">
      <c r="A214" s="2" t="s">
        <v>878</v>
      </c>
      <c r="B214" s="2" t="s">
        <v>822</v>
      </c>
      <c r="C214" s="2" t="s">
        <v>166</v>
      </c>
      <c r="D214" s="2"/>
      <c r="E214" s="32" t="s">
        <v>171</v>
      </c>
      <c r="F214" s="33" t="b">
        <f t="shared" ref="F214:BN214" si="114">IF(F215=0,TRUE,FALSE)</f>
        <v>1</v>
      </c>
      <c r="G214" s="33" t="b">
        <f t="shared" si="114"/>
        <v>1</v>
      </c>
      <c r="H214" s="33" t="b">
        <f t="shared" si="114"/>
        <v>1</v>
      </c>
      <c r="I214" s="33" t="b">
        <f t="shared" si="114"/>
        <v>1</v>
      </c>
      <c r="J214" s="33" t="b">
        <f t="shared" si="114"/>
        <v>1</v>
      </c>
      <c r="K214" s="33" t="b">
        <f t="shared" si="114"/>
        <v>1</v>
      </c>
      <c r="L214" s="33" t="b">
        <f t="shared" si="114"/>
        <v>1</v>
      </c>
      <c r="M214" s="33" t="b">
        <f t="shared" si="114"/>
        <v>1</v>
      </c>
      <c r="N214" s="33" t="b">
        <f t="shared" si="114"/>
        <v>1</v>
      </c>
      <c r="O214" s="33" t="b">
        <f t="shared" si="114"/>
        <v>1</v>
      </c>
      <c r="P214" s="33" t="b">
        <f t="shared" si="114"/>
        <v>1</v>
      </c>
      <c r="Q214" s="33" t="b">
        <f t="shared" si="114"/>
        <v>1</v>
      </c>
      <c r="R214" s="33" t="b">
        <f t="shared" si="114"/>
        <v>1</v>
      </c>
      <c r="S214" s="33" t="b">
        <f t="shared" si="114"/>
        <v>1</v>
      </c>
      <c r="T214" s="33" t="b">
        <f t="shared" si="114"/>
        <v>1</v>
      </c>
      <c r="U214" s="33" t="b">
        <f t="shared" si="114"/>
        <v>1</v>
      </c>
      <c r="V214" s="33" t="b">
        <f t="shared" si="114"/>
        <v>1</v>
      </c>
      <c r="W214" s="33" t="b">
        <f t="shared" si="114"/>
        <v>1</v>
      </c>
      <c r="X214" s="33" t="b">
        <f t="shared" si="114"/>
        <v>1</v>
      </c>
      <c r="Y214" s="33" t="b">
        <f t="shared" si="114"/>
        <v>1</v>
      </c>
      <c r="Z214" s="33" t="b">
        <f t="shared" si="114"/>
        <v>1</v>
      </c>
      <c r="AA214" s="33" t="b">
        <f t="shared" si="114"/>
        <v>1</v>
      </c>
      <c r="AB214" s="33" t="b">
        <f t="shared" si="114"/>
        <v>1</v>
      </c>
      <c r="AC214" s="33" t="b">
        <f t="shared" si="114"/>
        <v>1</v>
      </c>
      <c r="AD214" s="33" t="b">
        <f t="shared" si="114"/>
        <v>1</v>
      </c>
      <c r="AE214" s="33" t="b">
        <f t="shared" si="114"/>
        <v>1</v>
      </c>
      <c r="AF214" s="33" t="b">
        <f t="shared" si="114"/>
        <v>1</v>
      </c>
      <c r="AG214" s="33" t="b">
        <f t="shared" si="114"/>
        <v>1</v>
      </c>
      <c r="AH214" s="33" t="b">
        <f t="shared" si="114"/>
        <v>1</v>
      </c>
      <c r="AI214" s="33" t="b">
        <f t="shared" si="114"/>
        <v>1</v>
      </c>
      <c r="AJ214" s="33" t="b">
        <f t="shared" si="114"/>
        <v>1</v>
      </c>
      <c r="AK214" s="33" t="b">
        <f t="shared" si="114"/>
        <v>1</v>
      </c>
      <c r="AL214" s="33" t="b">
        <f t="shared" si="114"/>
        <v>1</v>
      </c>
      <c r="AM214" s="33" t="b">
        <f t="shared" si="114"/>
        <v>1</v>
      </c>
      <c r="AN214" s="33" t="b">
        <f t="shared" si="114"/>
        <v>1</v>
      </c>
      <c r="AO214" s="33" t="b">
        <f t="shared" si="114"/>
        <v>1</v>
      </c>
      <c r="AP214" s="33" t="b">
        <f t="shared" si="114"/>
        <v>1</v>
      </c>
      <c r="AQ214" s="33" t="b">
        <f t="shared" si="114"/>
        <v>1</v>
      </c>
      <c r="AR214" s="33" t="b">
        <f t="shared" si="114"/>
        <v>1</v>
      </c>
      <c r="AS214" s="33" t="b">
        <f t="shared" si="114"/>
        <v>1</v>
      </c>
      <c r="AT214" s="33" t="b">
        <f t="shared" si="114"/>
        <v>1</v>
      </c>
      <c r="AU214" s="33" t="b">
        <f t="shared" si="114"/>
        <v>1</v>
      </c>
      <c r="AV214" s="33" t="b">
        <f t="shared" si="114"/>
        <v>1</v>
      </c>
      <c r="AW214" s="33" t="b">
        <f t="shared" si="114"/>
        <v>1</v>
      </c>
      <c r="AX214" s="33" t="b">
        <f t="shared" si="114"/>
        <v>1</v>
      </c>
      <c r="AY214" s="33" t="b">
        <f t="shared" si="114"/>
        <v>1</v>
      </c>
      <c r="AZ214" s="33" t="b">
        <f t="shared" si="114"/>
        <v>1</v>
      </c>
      <c r="BA214" s="33" t="b">
        <f t="shared" si="114"/>
        <v>1</v>
      </c>
      <c r="BB214" s="33" t="b">
        <f t="shared" si="114"/>
        <v>1</v>
      </c>
      <c r="BC214" s="33" t="b">
        <f t="shared" si="114"/>
        <v>1</v>
      </c>
      <c r="BD214" s="33" t="b">
        <f t="shared" si="114"/>
        <v>1</v>
      </c>
      <c r="BE214" s="33" t="b">
        <f t="shared" si="114"/>
        <v>1</v>
      </c>
      <c r="BF214" s="33" t="b">
        <f t="shared" si="114"/>
        <v>1</v>
      </c>
      <c r="BG214" s="33" t="b">
        <f t="shared" si="114"/>
        <v>1</v>
      </c>
      <c r="BH214" s="33" t="b">
        <f t="shared" si="114"/>
        <v>1</v>
      </c>
      <c r="BI214" s="33" t="b">
        <f t="shared" si="114"/>
        <v>1</v>
      </c>
      <c r="BJ214" s="33" t="b">
        <f t="shared" si="114"/>
        <v>1</v>
      </c>
      <c r="BK214" s="33" t="b">
        <f t="shared" si="114"/>
        <v>1</v>
      </c>
      <c r="BL214" s="33" t="b">
        <f t="shared" si="114"/>
        <v>1</v>
      </c>
      <c r="BM214" s="33" t="b">
        <f t="shared" si="114"/>
        <v>1</v>
      </c>
      <c r="BN214" s="33" t="b">
        <f t="shared" si="114"/>
        <v>1</v>
      </c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0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0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0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0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</row>
    <row r="215" spans="1:147" ht="13">
      <c r="A215" s="2" t="s">
        <v>879</v>
      </c>
      <c r="B215" s="2" t="s">
        <v>822</v>
      </c>
      <c r="C215" s="2" t="s">
        <v>167</v>
      </c>
      <c r="D215" s="2"/>
      <c r="E215" s="6" t="s">
        <v>171</v>
      </c>
      <c r="F215" s="20">
        <f t="shared" ref="F215:AG215" si="115">IF(F9="",0,F212-F156)</f>
        <v>0</v>
      </c>
      <c r="G215" s="20">
        <f t="shared" si="115"/>
        <v>0</v>
      </c>
      <c r="H215" s="20">
        <f t="shared" si="115"/>
        <v>0</v>
      </c>
      <c r="I215" s="20">
        <f t="shared" si="115"/>
        <v>0</v>
      </c>
      <c r="J215" s="20">
        <f t="shared" si="115"/>
        <v>0</v>
      </c>
      <c r="K215" s="20">
        <f t="shared" si="115"/>
        <v>0</v>
      </c>
      <c r="L215" s="20">
        <f t="shared" si="115"/>
        <v>0</v>
      </c>
      <c r="M215" s="20">
        <f t="shared" si="115"/>
        <v>0</v>
      </c>
      <c r="N215" s="20">
        <f t="shared" si="115"/>
        <v>0</v>
      </c>
      <c r="O215" s="20">
        <f t="shared" si="115"/>
        <v>0</v>
      </c>
      <c r="P215" s="20">
        <f t="shared" si="115"/>
        <v>0</v>
      </c>
      <c r="Q215" s="20">
        <f t="shared" si="115"/>
        <v>0</v>
      </c>
      <c r="R215" s="20">
        <f t="shared" si="115"/>
        <v>0</v>
      </c>
      <c r="S215" s="20">
        <f t="shared" si="115"/>
        <v>0</v>
      </c>
      <c r="T215" s="20">
        <f t="shared" si="115"/>
        <v>0</v>
      </c>
      <c r="U215" s="20">
        <f t="shared" si="115"/>
        <v>0</v>
      </c>
      <c r="V215" s="20">
        <f t="shared" si="115"/>
        <v>0</v>
      </c>
      <c r="W215" s="20">
        <f t="shared" si="115"/>
        <v>0</v>
      </c>
      <c r="X215" s="20">
        <f t="shared" si="115"/>
        <v>0</v>
      </c>
      <c r="Y215" s="20">
        <f t="shared" si="115"/>
        <v>0</v>
      </c>
      <c r="Z215" s="20">
        <f t="shared" si="115"/>
        <v>0</v>
      </c>
      <c r="AA215" s="20">
        <f t="shared" si="115"/>
        <v>0</v>
      </c>
      <c r="AB215" s="20">
        <f t="shared" si="115"/>
        <v>0</v>
      </c>
      <c r="AC215" s="20">
        <f t="shared" si="115"/>
        <v>0</v>
      </c>
      <c r="AD215" s="20">
        <f t="shared" si="115"/>
        <v>0</v>
      </c>
      <c r="AE215" s="20">
        <f t="shared" si="115"/>
        <v>0</v>
      </c>
      <c r="AF215" s="20">
        <f t="shared" si="115"/>
        <v>0</v>
      </c>
      <c r="AG215" s="20">
        <f t="shared" si="115"/>
        <v>0</v>
      </c>
      <c r="AH215" s="20">
        <f>IF(AH9="",0,AH212-AH156)</f>
        <v>0</v>
      </c>
      <c r="AI215" s="20">
        <f t="shared" ref="AI215:BN215" si="116">IF(AI9="",0,AI212-AI156)</f>
        <v>0</v>
      </c>
      <c r="AJ215" s="20">
        <f t="shared" si="116"/>
        <v>0</v>
      </c>
      <c r="AK215" s="20">
        <f t="shared" si="116"/>
        <v>0</v>
      </c>
      <c r="AL215" s="20">
        <f t="shared" si="116"/>
        <v>0</v>
      </c>
      <c r="AM215" s="20">
        <f t="shared" si="116"/>
        <v>0</v>
      </c>
      <c r="AN215" s="20">
        <f t="shared" si="116"/>
        <v>0</v>
      </c>
      <c r="AO215" s="20">
        <f t="shared" si="116"/>
        <v>0</v>
      </c>
      <c r="AP215" s="20">
        <f t="shared" si="116"/>
        <v>0</v>
      </c>
      <c r="AQ215" s="20">
        <f t="shared" si="116"/>
        <v>0</v>
      </c>
      <c r="AR215" s="20">
        <f t="shared" si="116"/>
        <v>0</v>
      </c>
      <c r="AS215" s="20">
        <f t="shared" si="116"/>
        <v>0</v>
      </c>
      <c r="AT215" s="20">
        <f t="shared" si="116"/>
        <v>0</v>
      </c>
      <c r="AU215" s="20">
        <f t="shared" si="116"/>
        <v>0</v>
      </c>
      <c r="AV215" s="20">
        <f t="shared" si="116"/>
        <v>0</v>
      </c>
      <c r="AW215" s="20">
        <f t="shared" si="116"/>
        <v>0</v>
      </c>
      <c r="AX215" s="20">
        <f t="shared" si="116"/>
        <v>0</v>
      </c>
      <c r="AY215" s="20">
        <f t="shared" si="116"/>
        <v>0</v>
      </c>
      <c r="AZ215" s="20">
        <f t="shared" si="116"/>
        <v>0</v>
      </c>
      <c r="BA215" s="20">
        <f t="shared" si="116"/>
        <v>0</v>
      </c>
      <c r="BB215" s="20">
        <f t="shared" si="116"/>
        <v>0</v>
      </c>
      <c r="BC215" s="20">
        <f t="shared" si="116"/>
        <v>0</v>
      </c>
      <c r="BD215" s="20">
        <f t="shared" si="116"/>
        <v>0</v>
      </c>
      <c r="BE215" s="20">
        <f t="shared" si="116"/>
        <v>0</v>
      </c>
      <c r="BF215" s="20">
        <f t="shared" si="116"/>
        <v>0</v>
      </c>
      <c r="BG215" s="20">
        <f t="shared" si="116"/>
        <v>0</v>
      </c>
      <c r="BH215" s="20">
        <f t="shared" si="116"/>
        <v>0</v>
      </c>
      <c r="BI215" s="20">
        <f t="shared" si="116"/>
        <v>0</v>
      </c>
      <c r="BJ215" s="20">
        <f t="shared" si="116"/>
        <v>0</v>
      </c>
      <c r="BK215" s="20">
        <f t="shared" si="116"/>
        <v>0</v>
      </c>
      <c r="BL215" s="20">
        <f t="shared" si="116"/>
        <v>0</v>
      </c>
      <c r="BM215" s="20">
        <f t="shared" si="116"/>
        <v>0</v>
      </c>
      <c r="BN215" s="20">
        <f t="shared" si="116"/>
        <v>0</v>
      </c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30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30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30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30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</row>
    <row r="216" spans="1:147">
      <c r="A216" s="2" t="s">
        <v>880</v>
      </c>
      <c r="B216" s="2" t="s">
        <v>822</v>
      </c>
      <c r="C216" s="2" t="s">
        <v>168</v>
      </c>
      <c r="D216" s="2" t="s">
        <v>25</v>
      </c>
      <c r="E216" s="46" t="s">
        <v>35</v>
      </c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30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30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30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30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</row>
    <row r="217" spans="1:147" ht="13">
      <c r="A217" s="2" t="s">
        <v>881</v>
      </c>
      <c r="B217" s="2" t="s">
        <v>822</v>
      </c>
      <c r="C217" s="2" t="s">
        <v>169</v>
      </c>
      <c r="D217" s="2" t="s">
        <v>531</v>
      </c>
      <c r="E217" s="11" t="s">
        <v>532</v>
      </c>
      <c r="F217" s="20">
        <f t="shared" ref="F217:AG217" si="117">ROUND(F155-F211-F144-F153,2)</f>
        <v>0</v>
      </c>
      <c r="G217" s="20">
        <f t="shared" si="117"/>
        <v>0</v>
      </c>
      <c r="H217" s="20">
        <f t="shared" si="117"/>
        <v>0</v>
      </c>
      <c r="I217" s="20">
        <f t="shared" si="117"/>
        <v>0</v>
      </c>
      <c r="J217" s="20">
        <f t="shared" si="117"/>
        <v>0</v>
      </c>
      <c r="K217" s="20">
        <f t="shared" si="117"/>
        <v>0</v>
      </c>
      <c r="L217" s="20">
        <f t="shared" si="117"/>
        <v>0</v>
      </c>
      <c r="M217" s="20">
        <f t="shared" si="117"/>
        <v>0</v>
      </c>
      <c r="N217" s="20">
        <f t="shared" si="117"/>
        <v>0</v>
      </c>
      <c r="O217" s="20">
        <f t="shared" si="117"/>
        <v>0</v>
      </c>
      <c r="P217" s="20">
        <f t="shared" si="117"/>
        <v>0</v>
      </c>
      <c r="Q217" s="20">
        <f t="shared" si="117"/>
        <v>0</v>
      </c>
      <c r="R217" s="20">
        <f t="shared" si="117"/>
        <v>0</v>
      </c>
      <c r="S217" s="20">
        <f t="shared" si="117"/>
        <v>0</v>
      </c>
      <c r="T217" s="20">
        <f t="shared" si="117"/>
        <v>0</v>
      </c>
      <c r="U217" s="20">
        <f t="shared" si="117"/>
        <v>0</v>
      </c>
      <c r="V217" s="20">
        <f t="shared" si="117"/>
        <v>0</v>
      </c>
      <c r="W217" s="20">
        <f t="shared" si="117"/>
        <v>0</v>
      </c>
      <c r="X217" s="20">
        <f t="shared" si="117"/>
        <v>0</v>
      </c>
      <c r="Y217" s="20">
        <f t="shared" si="117"/>
        <v>0</v>
      </c>
      <c r="Z217" s="20">
        <f t="shared" si="117"/>
        <v>0</v>
      </c>
      <c r="AA217" s="20">
        <f t="shared" si="117"/>
        <v>0</v>
      </c>
      <c r="AB217" s="20">
        <f t="shared" si="117"/>
        <v>0</v>
      </c>
      <c r="AC217" s="20">
        <f t="shared" si="117"/>
        <v>0</v>
      </c>
      <c r="AD217" s="20">
        <f t="shared" si="117"/>
        <v>0</v>
      </c>
      <c r="AE217" s="20">
        <f t="shared" si="117"/>
        <v>0</v>
      </c>
      <c r="AF217" s="20">
        <f t="shared" si="117"/>
        <v>0</v>
      </c>
      <c r="AG217" s="20">
        <f t="shared" si="117"/>
        <v>0</v>
      </c>
      <c r="AH217" s="20">
        <f t="shared" ref="AH217:BN217" si="118">ROUND(AH155-AH211-AH144-AH153,2)</f>
        <v>0</v>
      </c>
      <c r="AI217" s="20">
        <f t="shared" si="118"/>
        <v>0</v>
      </c>
      <c r="AJ217" s="20">
        <f t="shared" si="118"/>
        <v>0</v>
      </c>
      <c r="AK217" s="20">
        <f t="shared" si="118"/>
        <v>0</v>
      </c>
      <c r="AL217" s="20">
        <f t="shared" si="118"/>
        <v>0</v>
      </c>
      <c r="AM217" s="20">
        <f t="shared" si="118"/>
        <v>0</v>
      </c>
      <c r="AN217" s="20">
        <f t="shared" si="118"/>
        <v>0</v>
      </c>
      <c r="AO217" s="20">
        <f t="shared" si="118"/>
        <v>0</v>
      </c>
      <c r="AP217" s="20">
        <f t="shared" si="118"/>
        <v>0</v>
      </c>
      <c r="AQ217" s="20">
        <f t="shared" si="118"/>
        <v>0</v>
      </c>
      <c r="AR217" s="20">
        <f t="shared" si="118"/>
        <v>0</v>
      </c>
      <c r="AS217" s="20">
        <f t="shared" si="118"/>
        <v>0</v>
      </c>
      <c r="AT217" s="20">
        <f t="shared" si="118"/>
        <v>0</v>
      </c>
      <c r="AU217" s="20">
        <f t="shared" si="118"/>
        <v>0</v>
      </c>
      <c r="AV217" s="20">
        <f t="shared" si="118"/>
        <v>0</v>
      </c>
      <c r="AW217" s="20">
        <f t="shared" si="118"/>
        <v>0</v>
      </c>
      <c r="AX217" s="20">
        <f t="shared" si="118"/>
        <v>0</v>
      </c>
      <c r="AY217" s="20">
        <f t="shared" si="118"/>
        <v>0</v>
      </c>
      <c r="AZ217" s="20">
        <f t="shared" si="118"/>
        <v>0</v>
      </c>
      <c r="BA217" s="20">
        <f t="shared" si="118"/>
        <v>0</v>
      </c>
      <c r="BB217" s="20">
        <f t="shared" si="118"/>
        <v>0</v>
      </c>
      <c r="BC217" s="20">
        <f t="shared" si="118"/>
        <v>0</v>
      </c>
      <c r="BD217" s="20">
        <f t="shared" si="118"/>
        <v>0</v>
      </c>
      <c r="BE217" s="20">
        <f t="shared" si="118"/>
        <v>0</v>
      </c>
      <c r="BF217" s="20">
        <f t="shared" si="118"/>
        <v>0</v>
      </c>
      <c r="BG217" s="20">
        <f t="shared" si="118"/>
        <v>0</v>
      </c>
      <c r="BH217" s="20">
        <f t="shared" si="118"/>
        <v>0</v>
      </c>
      <c r="BI217" s="20">
        <f t="shared" si="118"/>
        <v>0</v>
      </c>
      <c r="BJ217" s="20">
        <f t="shared" si="118"/>
        <v>0</v>
      </c>
      <c r="BK217" s="20">
        <f t="shared" si="118"/>
        <v>0</v>
      </c>
      <c r="BL217" s="20">
        <f t="shared" si="118"/>
        <v>0</v>
      </c>
      <c r="BM217" s="20">
        <f t="shared" si="118"/>
        <v>0</v>
      </c>
      <c r="BN217" s="20">
        <f t="shared" si="118"/>
        <v>0</v>
      </c>
      <c r="BO217" s="2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</row>
    <row r="218" spans="1:147" ht="13">
      <c r="A218" s="2" t="s">
        <v>882</v>
      </c>
      <c r="B218" s="2" t="s">
        <v>822</v>
      </c>
      <c r="C218" s="2" t="s">
        <v>170</v>
      </c>
      <c r="D218" s="2" t="s">
        <v>533</v>
      </c>
      <c r="E218" s="6" t="s">
        <v>175</v>
      </c>
      <c r="F218" s="20">
        <f t="shared" ref="F218:AG218" si="119">ROUND(F185-F128,2)</f>
        <v>0</v>
      </c>
      <c r="G218" s="20">
        <f t="shared" si="119"/>
        <v>0</v>
      </c>
      <c r="H218" s="20">
        <f t="shared" si="119"/>
        <v>0</v>
      </c>
      <c r="I218" s="20">
        <f t="shared" si="119"/>
        <v>0</v>
      </c>
      <c r="J218" s="20">
        <f t="shared" si="119"/>
        <v>0</v>
      </c>
      <c r="K218" s="20">
        <f t="shared" si="119"/>
        <v>0</v>
      </c>
      <c r="L218" s="20">
        <f t="shared" si="119"/>
        <v>0</v>
      </c>
      <c r="M218" s="20">
        <f t="shared" si="119"/>
        <v>0</v>
      </c>
      <c r="N218" s="20">
        <f t="shared" si="119"/>
        <v>0</v>
      </c>
      <c r="O218" s="20">
        <f t="shared" si="119"/>
        <v>0</v>
      </c>
      <c r="P218" s="20">
        <f t="shared" si="119"/>
        <v>0</v>
      </c>
      <c r="Q218" s="20">
        <f t="shared" si="119"/>
        <v>0</v>
      </c>
      <c r="R218" s="20">
        <f t="shared" si="119"/>
        <v>0</v>
      </c>
      <c r="S218" s="20">
        <f t="shared" si="119"/>
        <v>0</v>
      </c>
      <c r="T218" s="20">
        <f t="shared" si="119"/>
        <v>0</v>
      </c>
      <c r="U218" s="20">
        <f t="shared" si="119"/>
        <v>0</v>
      </c>
      <c r="V218" s="20">
        <f t="shared" si="119"/>
        <v>0</v>
      </c>
      <c r="W218" s="20">
        <f t="shared" si="119"/>
        <v>0</v>
      </c>
      <c r="X218" s="20">
        <f t="shared" si="119"/>
        <v>0</v>
      </c>
      <c r="Y218" s="20">
        <f t="shared" si="119"/>
        <v>0</v>
      </c>
      <c r="Z218" s="20">
        <f t="shared" si="119"/>
        <v>0</v>
      </c>
      <c r="AA218" s="20">
        <f t="shared" si="119"/>
        <v>0</v>
      </c>
      <c r="AB218" s="20">
        <f t="shared" si="119"/>
        <v>0</v>
      </c>
      <c r="AC218" s="20">
        <f t="shared" si="119"/>
        <v>0</v>
      </c>
      <c r="AD218" s="20">
        <f t="shared" si="119"/>
        <v>0</v>
      </c>
      <c r="AE218" s="20">
        <f t="shared" si="119"/>
        <v>0</v>
      </c>
      <c r="AF218" s="20">
        <f t="shared" si="119"/>
        <v>0</v>
      </c>
      <c r="AG218" s="20">
        <f t="shared" si="119"/>
        <v>0</v>
      </c>
      <c r="AH218" s="20">
        <f t="shared" ref="AH218:BN218" si="120">ROUND(AH185-AH128,2)</f>
        <v>0</v>
      </c>
      <c r="AI218" s="20">
        <f t="shared" si="120"/>
        <v>0</v>
      </c>
      <c r="AJ218" s="20">
        <f t="shared" si="120"/>
        <v>0</v>
      </c>
      <c r="AK218" s="20">
        <f t="shared" si="120"/>
        <v>0</v>
      </c>
      <c r="AL218" s="20">
        <f t="shared" si="120"/>
        <v>0</v>
      </c>
      <c r="AM218" s="20">
        <f t="shared" si="120"/>
        <v>0</v>
      </c>
      <c r="AN218" s="20">
        <f t="shared" si="120"/>
        <v>0</v>
      </c>
      <c r="AO218" s="20">
        <f t="shared" si="120"/>
        <v>0</v>
      </c>
      <c r="AP218" s="20">
        <f t="shared" si="120"/>
        <v>0</v>
      </c>
      <c r="AQ218" s="20">
        <f t="shared" si="120"/>
        <v>0</v>
      </c>
      <c r="AR218" s="20">
        <f t="shared" si="120"/>
        <v>0</v>
      </c>
      <c r="AS218" s="20">
        <f t="shared" si="120"/>
        <v>0</v>
      </c>
      <c r="AT218" s="20">
        <f t="shared" si="120"/>
        <v>0</v>
      </c>
      <c r="AU218" s="20">
        <f t="shared" si="120"/>
        <v>0</v>
      </c>
      <c r="AV218" s="20">
        <f t="shared" si="120"/>
        <v>0</v>
      </c>
      <c r="AW218" s="20">
        <f t="shared" si="120"/>
        <v>0</v>
      </c>
      <c r="AX218" s="20">
        <f t="shared" si="120"/>
        <v>0</v>
      </c>
      <c r="AY218" s="20">
        <f t="shared" si="120"/>
        <v>0</v>
      </c>
      <c r="AZ218" s="20">
        <f t="shared" si="120"/>
        <v>0</v>
      </c>
      <c r="BA218" s="20">
        <f t="shared" si="120"/>
        <v>0</v>
      </c>
      <c r="BB218" s="20">
        <f t="shared" si="120"/>
        <v>0</v>
      </c>
      <c r="BC218" s="20">
        <f t="shared" si="120"/>
        <v>0</v>
      </c>
      <c r="BD218" s="20">
        <f t="shared" si="120"/>
        <v>0</v>
      </c>
      <c r="BE218" s="20">
        <f t="shared" si="120"/>
        <v>0</v>
      </c>
      <c r="BF218" s="20">
        <f t="shared" si="120"/>
        <v>0</v>
      </c>
      <c r="BG218" s="20">
        <f t="shared" si="120"/>
        <v>0</v>
      </c>
      <c r="BH218" s="20">
        <f t="shared" si="120"/>
        <v>0</v>
      </c>
      <c r="BI218" s="20">
        <f t="shared" si="120"/>
        <v>0</v>
      </c>
      <c r="BJ218" s="20">
        <f t="shared" si="120"/>
        <v>0</v>
      </c>
      <c r="BK218" s="20">
        <f t="shared" si="120"/>
        <v>0</v>
      </c>
      <c r="BL218" s="20">
        <f t="shared" si="120"/>
        <v>0</v>
      </c>
      <c r="BM218" s="20">
        <f t="shared" si="120"/>
        <v>0</v>
      </c>
      <c r="BN218" s="20">
        <f t="shared" si="120"/>
        <v>0</v>
      </c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30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30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30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30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</row>
    <row r="219" spans="1:147" ht="13">
      <c r="A219" s="2" t="s">
        <v>883</v>
      </c>
      <c r="B219" s="2" t="s">
        <v>822</v>
      </c>
      <c r="C219" s="2" t="s">
        <v>172</v>
      </c>
      <c r="D219" s="2" t="s">
        <v>534</v>
      </c>
      <c r="E219" s="6" t="s">
        <v>176</v>
      </c>
      <c r="F219" s="20" t="str">
        <f>IF(F185&lt;&gt;0,F185/F128,"")</f>
        <v/>
      </c>
      <c r="G219" s="20" t="str">
        <f>IF(G185&lt;&gt;0,G185/G128,"")</f>
        <v/>
      </c>
      <c r="H219" s="20" t="str">
        <f t="shared" ref="H219:BN219" si="121">IF(H185&lt;&gt;0,H185/H128,"")</f>
        <v/>
      </c>
      <c r="I219" s="20" t="str">
        <f t="shared" si="121"/>
        <v/>
      </c>
      <c r="J219" s="20" t="str">
        <f t="shared" si="121"/>
        <v/>
      </c>
      <c r="K219" s="20" t="str">
        <f t="shared" si="121"/>
        <v/>
      </c>
      <c r="L219" s="20" t="str">
        <f t="shared" si="121"/>
        <v/>
      </c>
      <c r="M219" s="20" t="str">
        <f t="shared" si="121"/>
        <v/>
      </c>
      <c r="N219" s="20" t="str">
        <f t="shared" si="121"/>
        <v/>
      </c>
      <c r="O219" s="20" t="str">
        <f t="shared" si="121"/>
        <v/>
      </c>
      <c r="P219" s="20" t="str">
        <f t="shared" si="121"/>
        <v/>
      </c>
      <c r="Q219" s="20" t="str">
        <f t="shared" si="121"/>
        <v/>
      </c>
      <c r="R219" s="20" t="str">
        <f t="shared" si="121"/>
        <v/>
      </c>
      <c r="S219" s="20" t="str">
        <f t="shared" si="121"/>
        <v/>
      </c>
      <c r="T219" s="20" t="str">
        <f t="shared" si="121"/>
        <v/>
      </c>
      <c r="U219" s="20" t="str">
        <f t="shared" si="121"/>
        <v/>
      </c>
      <c r="V219" s="20" t="str">
        <f t="shared" si="121"/>
        <v/>
      </c>
      <c r="W219" s="20" t="str">
        <f t="shared" si="121"/>
        <v/>
      </c>
      <c r="X219" s="20" t="str">
        <f t="shared" si="121"/>
        <v/>
      </c>
      <c r="Y219" s="20" t="str">
        <f t="shared" si="121"/>
        <v/>
      </c>
      <c r="Z219" s="20" t="str">
        <f t="shared" si="121"/>
        <v/>
      </c>
      <c r="AA219" s="20" t="str">
        <f t="shared" si="121"/>
        <v/>
      </c>
      <c r="AB219" s="20" t="str">
        <f t="shared" si="121"/>
        <v/>
      </c>
      <c r="AC219" s="20" t="str">
        <f t="shared" si="121"/>
        <v/>
      </c>
      <c r="AD219" s="20" t="str">
        <f t="shared" si="121"/>
        <v/>
      </c>
      <c r="AE219" s="20" t="str">
        <f t="shared" si="121"/>
        <v/>
      </c>
      <c r="AF219" s="20" t="str">
        <f t="shared" si="121"/>
        <v/>
      </c>
      <c r="AG219" s="20" t="str">
        <f t="shared" si="121"/>
        <v/>
      </c>
      <c r="AH219" s="20" t="str">
        <f t="shared" si="121"/>
        <v/>
      </c>
      <c r="AI219" s="20" t="str">
        <f t="shared" si="121"/>
        <v/>
      </c>
      <c r="AJ219" s="20" t="str">
        <f t="shared" si="121"/>
        <v/>
      </c>
      <c r="AK219" s="20" t="str">
        <f t="shared" si="121"/>
        <v/>
      </c>
      <c r="AL219" s="20" t="str">
        <f t="shared" si="121"/>
        <v/>
      </c>
      <c r="AM219" s="20" t="str">
        <f t="shared" si="121"/>
        <v/>
      </c>
      <c r="AN219" s="20" t="str">
        <f t="shared" si="121"/>
        <v/>
      </c>
      <c r="AO219" s="20" t="str">
        <f t="shared" si="121"/>
        <v/>
      </c>
      <c r="AP219" s="20" t="str">
        <f t="shared" si="121"/>
        <v/>
      </c>
      <c r="AQ219" s="20" t="str">
        <f t="shared" si="121"/>
        <v/>
      </c>
      <c r="AR219" s="20" t="str">
        <f t="shared" si="121"/>
        <v/>
      </c>
      <c r="AS219" s="20" t="str">
        <f t="shared" si="121"/>
        <v/>
      </c>
      <c r="AT219" s="20" t="str">
        <f t="shared" si="121"/>
        <v/>
      </c>
      <c r="AU219" s="20" t="str">
        <f t="shared" si="121"/>
        <v/>
      </c>
      <c r="AV219" s="20" t="str">
        <f t="shared" si="121"/>
        <v/>
      </c>
      <c r="AW219" s="20" t="str">
        <f t="shared" si="121"/>
        <v/>
      </c>
      <c r="AX219" s="20" t="str">
        <f t="shared" si="121"/>
        <v/>
      </c>
      <c r="AY219" s="20" t="str">
        <f t="shared" si="121"/>
        <v/>
      </c>
      <c r="AZ219" s="20" t="str">
        <f t="shared" si="121"/>
        <v/>
      </c>
      <c r="BA219" s="20" t="str">
        <f t="shared" si="121"/>
        <v/>
      </c>
      <c r="BB219" s="20" t="str">
        <f t="shared" si="121"/>
        <v/>
      </c>
      <c r="BC219" s="20" t="str">
        <f t="shared" si="121"/>
        <v/>
      </c>
      <c r="BD219" s="20" t="str">
        <f t="shared" si="121"/>
        <v/>
      </c>
      <c r="BE219" s="20" t="str">
        <f t="shared" si="121"/>
        <v/>
      </c>
      <c r="BF219" s="20" t="str">
        <f t="shared" si="121"/>
        <v/>
      </c>
      <c r="BG219" s="20" t="str">
        <f t="shared" si="121"/>
        <v/>
      </c>
      <c r="BH219" s="20" t="str">
        <f t="shared" si="121"/>
        <v/>
      </c>
      <c r="BI219" s="20" t="str">
        <f t="shared" si="121"/>
        <v/>
      </c>
      <c r="BJ219" s="20" t="str">
        <f t="shared" si="121"/>
        <v/>
      </c>
      <c r="BK219" s="20" t="str">
        <f t="shared" si="121"/>
        <v/>
      </c>
      <c r="BL219" s="20" t="str">
        <f t="shared" si="121"/>
        <v/>
      </c>
      <c r="BM219" s="20" t="str">
        <f t="shared" si="121"/>
        <v/>
      </c>
      <c r="BN219" s="20" t="str">
        <f t="shared" si="121"/>
        <v/>
      </c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30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30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30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30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</row>
    <row r="220" spans="1:147" ht="13">
      <c r="A220" s="2" t="s">
        <v>884</v>
      </c>
      <c r="B220" s="2" t="s">
        <v>822</v>
      </c>
      <c r="C220" s="2" t="s">
        <v>173</v>
      </c>
      <c r="D220" s="2" t="s">
        <v>536</v>
      </c>
      <c r="E220" s="11" t="s">
        <v>535</v>
      </c>
      <c r="F220" s="20" t="str">
        <f>IF(F139&lt;&gt;0,F139/F217,"")</f>
        <v/>
      </c>
      <c r="G220" s="20" t="str">
        <f>IF(G139&lt;&gt;0,G139/G217,"")</f>
        <v/>
      </c>
      <c r="H220" s="20" t="str">
        <f t="shared" ref="H220:BN220" si="122">IF(H139&lt;&gt;0,H139/H217,"")</f>
        <v/>
      </c>
      <c r="I220" s="20" t="str">
        <f t="shared" si="122"/>
        <v/>
      </c>
      <c r="J220" s="20" t="str">
        <f t="shared" si="122"/>
        <v/>
      </c>
      <c r="K220" s="20" t="str">
        <f t="shared" si="122"/>
        <v/>
      </c>
      <c r="L220" s="20" t="str">
        <f t="shared" si="122"/>
        <v/>
      </c>
      <c r="M220" s="20" t="str">
        <f t="shared" si="122"/>
        <v/>
      </c>
      <c r="N220" s="20" t="str">
        <f t="shared" si="122"/>
        <v/>
      </c>
      <c r="O220" s="20" t="str">
        <f t="shared" si="122"/>
        <v/>
      </c>
      <c r="P220" s="20" t="str">
        <f t="shared" si="122"/>
        <v/>
      </c>
      <c r="Q220" s="20" t="str">
        <f t="shared" si="122"/>
        <v/>
      </c>
      <c r="R220" s="20" t="str">
        <f t="shared" si="122"/>
        <v/>
      </c>
      <c r="S220" s="20" t="str">
        <f t="shared" si="122"/>
        <v/>
      </c>
      <c r="T220" s="20" t="str">
        <f t="shared" si="122"/>
        <v/>
      </c>
      <c r="U220" s="20" t="str">
        <f t="shared" si="122"/>
        <v/>
      </c>
      <c r="V220" s="20" t="str">
        <f t="shared" si="122"/>
        <v/>
      </c>
      <c r="W220" s="20" t="str">
        <f t="shared" si="122"/>
        <v/>
      </c>
      <c r="X220" s="20" t="str">
        <f t="shared" si="122"/>
        <v/>
      </c>
      <c r="Y220" s="20" t="str">
        <f t="shared" si="122"/>
        <v/>
      </c>
      <c r="Z220" s="20" t="str">
        <f t="shared" si="122"/>
        <v/>
      </c>
      <c r="AA220" s="20" t="str">
        <f t="shared" si="122"/>
        <v/>
      </c>
      <c r="AB220" s="20" t="str">
        <f t="shared" si="122"/>
        <v/>
      </c>
      <c r="AC220" s="20" t="str">
        <f t="shared" si="122"/>
        <v/>
      </c>
      <c r="AD220" s="20" t="str">
        <f t="shared" si="122"/>
        <v/>
      </c>
      <c r="AE220" s="20" t="str">
        <f t="shared" si="122"/>
        <v/>
      </c>
      <c r="AF220" s="20" t="str">
        <f t="shared" si="122"/>
        <v/>
      </c>
      <c r="AG220" s="20" t="str">
        <f t="shared" si="122"/>
        <v/>
      </c>
      <c r="AH220" s="20" t="str">
        <f>IFERROR(IF(AH139&lt;&gt;0,AH139/AH217,""),0)</f>
        <v/>
      </c>
      <c r="AI220" s="20" t="str">
        <f t="shared" ref="AI220:BN220" si="123">IFERROR(IF(AI139&lt;&gt;0,AI139/AI217,""),0)</f>
        <v/>
      </c>
      <c r="AJ220" s="20" t="str">
        <f t="shared" si="123"/>
        <v/>
      </c>
      <c r="AK220" s="20" t="str">
        <f t="shared" si="123"/>
        <v/>
      </c>
      <c r="AL220" s="20" t="str">
        <f t="shared" si="123"/>
        <v/>
      </c>
      <c r="AM220" s="20" t="str">
        <f t="shared" si="123"/>
        <v/>
      </c>
      <c r="AN220" s="20" t="str">
        <f t="shared" si="123"/>
        <v/>
      </c>
      <c r="AO220" s="20" t="str">
        <f t="shared" si="123"/>
        <v/>
      </c>
      <c r="AP220" s="20" t="str">
        <f t="shared" si="123"/>
        <v/>
      </c>
      <c r="AQ220" s="20" t="str">
        <f t="shared" si="123"/>
        <v/>
      </c>
      <c r="AR220" s="20" t="str">
        <f t="shared" si="123"/>
        <v/>
      </c>
      <c r="AS220" s="20" t="str">
        <f t="shared" si="123"/>
        <v/>
      </c>
      <c r="AT220" s="20" t="str">
        <f t="shared" si="123"/>
        <v/>
      </c>
      <c r="AU220" s="20" t="str">
        <f t="shared" si="123"/>
        <v/>
      </c>
      <c r="AV220" s="20" t="str">
        <f t="shared" si="123"/>
        <v/>
      </c>
      <c r="AW220" s="20" t="str">
        <f t="shared" si="123"/>
        <v/>
      </c>
      <c r="AX220" s="20" t="str">
        <f t="shared" si="123"/>
        <v/>
      </c>
      <c r="AY220" s="20" t="str">
        <f t="shared" si="123"/>
        <v/>
      </c>
      <c r="AZ220" s="20" t="str">
        <f t="shared" si="123"/>
        <v/>
      </c>
      <c r="BA220" s="20" t="str">
        <f t="shared" si="123"/>
        <v/>
      </c>
      <c r="BB220" s="20" t="str">
        <f t="shared" si="123"/>
        <v/>
      </c>
      <c r="BC220" s="20" t="str">
        <f t="shared" si="123"/>
        <v/>
      </c>
      <c r="BD220" s="20" t="str">
        <f t="shared" si="123"/>
        <v/>
      </c>
      <c r="BE220" s="20" t="str">
        <f t="shared" si="123"/>
        <v/>
      </c>
      <c r="BF220" s="20" t="str">
        <f t="shared" si="123"/>
        <v/>
      </c>
      <c r="BG220" s="20" t="str">
        <f t="shared" si="123"/>
        <v/>
      </c>
      <c r="BH220" s="20" t="str">
        <f t="shared" si="123"/>
        <v/>
      </c>
      <c r="BI220" s="20" t="str">
        <f t="shared" si="123"/>
        <v/>
      </c>
      <c r="BJ220" s="20" t="str">
        <f t="shared" si="123"/>
        <v/>
      </c>
      <c r="BK220" s="20" t="str">
        <f t="shared" si="123"/>
        <v/>
      </c>
      <c r="BL220" s="20" t="str">
        <f t="shared" si="123"/>
        <v/>
      </c>
      <c r="BM220" s="20" t="str">
        <f t="shared" si="123"/>
        <v/>
      </c>
      <c r="BN220" s="20" t="str">
        <f t="shared" si="123"/>
        <v/>
      </c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30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30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30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30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</row>
    <row r="221" spans="1:147" ht="13">
      <c r="A221" s="2" t="s">
        <v>885</v>
      </c>
      <c r="B221" s="2" t="s">
        <v>822</v>
      </c>
      <c r="C221" s="2" t="s">
        <v>174</v>
      </c>
      <c r="D221" s="2" t="s">
        <v>537</v>
      </c>
      <c r="E221" s="11" t="s">
        <v>538</v>
      </c>
      <c r="F221" s="20" t="str">
        <f>IF(F138&lt;&gt;0,F138/F217,"")</f>
        <v/>
      </c>
      <c r="G221" s="20" t="str">
        <f>IF(G138&lt;&gt;0,G138/G217,"")</f>
        <v/>
      </c>
      <c r="H221" s="20" t="str">
        <f t="shared" ref="H221:BN221" si="124">IF(H138&lt;&gt;0,H138/H217,"")</f>
        <v/>
      </c>
      <c r="I221" s="20" t="str">
        <f t="shared" si="124"/>
        <v/>
      </c>
      <c r="J221" s="20" t="str">
        <f t="shared" si="124"/>
        <v/>
      </c>
      <c r="K221" s="20" t="str">
        <f t="shared" si="124"/>
        <v/>
      </c>
      <c r="L221" s="20" t="str">
        <f t="shared" si="124"/>
        <v/>
      </c>
      <c r="M221" s="20" t="str">
        <f t="shared" si="124"/>
        <v/>
      </c>
      <c r="N221" s="20" t="str">
        <f t="shared" si="124"/>
        <v/>
      </c>
      <c r="O221" s="20" t="str">
        <f t="shared" si="124"/>
        <v/>
      </c>
      <c r="P221" s="20" t="str">
        <f t="shared" si="124"/>
        <v/>
      </c>
      <c r="Q221" s="20" t="str">
        <f t="shared" si="124"/>
        <v/>
      </c>
      <c r="R221" s="20" t="str">
        <f t="shared" si="124"/>
        <v/>
      </c>
      <c r="S221" s="20" t="str">
        <f t="shared" si="124"/>
        <v/>
      </c>
      <c r="T221" s="20" t="str">
        <f t="shared" si="124"/>
        <v/>
      </c>
      <c r="U221" s="20" t="str">
        <f t="shared" si="124"/>
        <v/>
      </c>
      <c r="V221" s="20" t="str">
        <f t="shared" si="124"/>
        <v/>
      </c>
      <c r="W221" s="20" t="str">
        <f t="shared" si="124"/>
        <v/>
      </c>
      <c r="X221" s="20" t="str">
        <f t="shared" si="124"/>
        <v/>
      </c>
      <c r="Y221" s="20" t="str">
        <f t="shared" si="124"/>
        <v/>
      </c>
      <c r="Z221" s="20" t="str">
        <f t="shared" si="124"/>
        <v/>
      </c>
      <c r="AA221" s="20" t="str">
        <f t="shared" si="124"/>
        <v/>
      </c>
      <c r="AB221" s="20" t="str">
        <f t="shared" si="124"/>
        <v/>
      </c>
      <c r="AC221" s="20" t="str">
        <f t="shared" si="124"/>
        <v/>
      </c>
      <c r="AD221" s="20" t="str">
        <f t="shared" si="124"/>
        <v/>
      </c>
      <c r="AE221" s="20" t="str">
        <f t="shared" si="124"/>
        <v/>
      </c>
      <c r="AF221" s="20" t="str">
        <f t="shared" si="124"/>
        <v/>
      </c>
      <c r="AG221" s="20" t="str">
        <f t="shared" si="124"/>
        <v/>
      </c>
      <c r="AH221" s="20" t="str">
        <f t="shared" si="124"/>
        <v/>
      </c>
      <c r="AI221" s="20" t="str">
        <f t="shared" si="124"/>
        <v/>
      </c>
      <c r="AJ221" s="20" t="str">
        <f t="shared" si="124"/>
        <v/>
      </c>
      <c r="AK221" s="20" t="str">
        <f t="shared" si="124"/>
        <v/>
      </c>
      <c r="AL221" s="20" t="str">
        <f t="shared" si="124"/>
        <v/>
      </c>
      <c r="AM221" s="20" t="str">
        <f t="shared" si="124"/>
        <v/>
      </c>
      <c r="AN221" s="20" t="str">
        <f t="shared" si="124"/>
        <v/>
      </c>
      <c r="AO221" s="20" t="str">
        <f t="shared" si="124"/>
        <v/>
      </c>
      <c r="AP221" s="20" t="str">
        <f t="shared" si="124"/>
        <v/>
      </c>
      <c r="AQ221" s="20" t="str">
        <f t="shared" si="124"/>
        <v/>
      </c>
      <c r="AR221" s="20" t="str">
        <f t="shared" si="124"/>
        <v/>
      </c>
      <c r="AS221" s="20" t="str">
        <f t="shared" si="124"/>
        <v/>
      </c>
      <c r="AT221" s="20" t="str">
        <f t="shared" si="124"/>
        <v/>
      </c>
      <c r="AU221" s="20" t="str">
        <f t="shared" si="124"/>
        <v/>
      </c>
      <c r="AV221" s="20" t="str">
        <f t="shared" si="124"/>
        <v/>
      </c>
      <c r="AW221" s="20" t="str">
        <f t="shared" si="124"/>
        <v/>
      </c>
      <c r="AX221" s="20" t="str">
        <f t="shared" si="124"/>
        <v/>
      </c>
      <c r="AY221" s="20" t="str">
        <f t="shared" si="124"/>
        <v/>
      </c>
      <c r="AZ221" s="20" t="str">
        <f t="shared" si="124"/>
        <v/>
      </c>
      <c r="BA221" s="20" t="str">
        <f t="shared" si="124"/>
        <v/>
      </c>
      <c r="BB221" s="20" t="str">
        <f t="shared" si="124"/>
        <v/>
      </c>
      <c r="BC221" s="20" t="str">
        <f t="shared" si="124"/>
        <v/>
      </c>
      <c r="BD221" s="20" t="str">
        <f t="shared" si="124"/>
        <v/>
      </c>
      <c r="BE221" s="20" t="str">
        <f t="shared" si="124"/>
        <v/>
      </c>
      <c r="BF221" s="20" t="str">
        <f t="shared" si="124"/>
        <v/>
      </c>
      <c r="BG221" s="20" t="str">
        <f t="shared" si="124"/>
        <v/>
      </c>
      <c r="BH221" s="20" t="str">
        <f t="shared" si="124"/>
        <v/>
      </c>
      <c r="BI221" s="20" t="str">
        <f t="shared" si="124"/>
        <v/>
      </c>
      <c r="BJ221" s="20" t="str">
        <f t="shared" si="124"/>
        <v/>
      </c>
      <c r="BK221" s="20" t="str">
        <f t="shared" si="124"/>
        <v/>
      </c>
      <c r="BL221" s="20" t="str">
        <f t="shared" si="124"/>
        <v/>
      </c>
      <c r="BM221" s="20" t="str">
        <f t="shared" si="124"/>
        <v/>
      </c>
      <c r="BN221" s="20" t="str">
        <f t="shared" si="124"/>
        <v/>
      </c>
      <c r="BO221" s="2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</row>
    <row r="222" spans="1:147" ht="28">
      <c r="A222" s="2" t="s">
        <v>886</v>
      </c>
      <c r="B222" s="2" t="s">
        <v>25</v>
      </c>
      <c r="C222" s="2" t="s">
        <v>39</v>
      </c>
      <c r="D222" s="2" t="s">
        <v>25</v>
      </c>
      <c r="E222" s="18" t="s">
        <v>229</v>
      </c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30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30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30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30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</row>
    <row r="223" spans="1:147" ht="13">
      <c r="A223" s="2" t="s">
        <v>887</v>
      </c>
      <c r="B223" s="2" t="s">
        <v>886</v>
      </c>
      <c r="C223" s="2" t="s">
        <v>178</v>
      </c>
      <c r="D223" s="2" t="s">
        <v>539</v>
      </c>
      <c r="E223" s="7" t="s">
        <v>540</v>
      </c>
      <c r="F223" s="20">
        <f t="shared" ref="F223:BN223" si="125">SUM(F224:F233)</f>
        <v>0</v>
      </c>
      <c r="G223" s="20">
        <f t="shared" si="125"/>
        <v>0</v>
      </c>
      <c r="H223" s="20">
        <f t="shared" si="125"/>
        <v>0</v>
      </c>
      <c r="I223" s="20">
        <f t="shared" si="125"/>
        <v>0</v>
      </c>
      <c r="J223" s="20">
        <f t="shared" si="125"/>
        <v>0</v>
      </c>
      <c r="K223" s="20">
        <f t="shared" si="125"/>
        <v>0</v>
      </c>
      <c r="L223" s="20">
        <f t="shared" si="125"/>
        <v>0</v>
      </c>
      <c r="M223" s="20">
        <f t="shared" si="125"/>
        <v>0</v>
      </c>
      <c r="N223" s="20">
        <f t="shared" si="125"/>
        <v>0</v>
      </c>
      <c r="O223" s="20">
        <f t="shared" si="125"/>
        <v>0</v>
      </c>
      <c r="P223" s="20">
        <f t="shared" si="125"/>
        <v>0</v>
      </c>
      <c r="Q223" s="20">
        <f t="shared" si="125"/>
        <v>0</v>
      </c>
      <c r="R223" s="20">
        <f t="shared" si="125"/>
        <v>0</v>
      </c>
      <c r="S223" s="20">
        <f t="shared" si="125"/>
        <v>0</v>
      </c>
      <c r="T223" s="20">
        <f t="shared" si="125"/>
        <v>0</v>
      </c>
      <c r="U223" s="20">
        <f t="shared" si="125"/>
        <v>0</v>
      </c>
      <c r="V223" s="20">
        <f t="shared" si="125"/>
        <v>0</v>
      </c>
      <c r="W223" s="20">
        <f t="shared" si="125"/>
        <v>0</v>
      </c>
      <c r="X223" s="20">
        <f t="shared" si="125"/>
        <v>0</v>
      </c>
      <c r="Y223" s="20">
        <f t="shared" si="125"/>
        <v>0</v>
      </c>
      <c r="Z223" s="20">
        <f t="shared" si="125"/>
        <v>0</v>
      </c>
      <c r="AA223" s="20">
        <f t="shared" si="125"/>
        <v>0</v>
      </c>
      <c r="AB223" s="20">
        <f t="shared" si="125"/>
        <v>0</v>
      </c>
      <c r="AC223" s="20">
        <f t="shared" si="125"/>
        <v>0</v>
      </c>
      <c r="AD223" s="20">
        <f t="shared" si="125"/>
        <v>0</v>
      </c>
      <c r="AE223" s="20">
        <f t="shared" si="125"/>
        <v>0</v>
      </c>
      <c r="AF223" s="20">
        <f t="shared" si="125"/>
        <v>0</v>
      </c>
      <c r="AG223" s="20">
        <f t="shared" si="125"/>
        <v>0</v>
      </c>
      <c r="AH223" s="20">
        <f t="shared" si="125"/>
        <v>0</v>
      </c>
      <c r="AI223" s="20">
        <f t="shared" si="125"/>
        <v>0</v>
      </c>
      <c r="AJ223" s="20">
        <f t="shared" si="125"/>
        <v>0</v>
      </c>
      <c r="AK223" s="20">
        <f t="shared" si="125"/>
        <v>0</v>
      </c>
      <c r="AL223" s="20">
        <f t="shared" si="125"/>
        <v>0</v>
      </c>
      <c r="AM223" s="20">
        <f t="shared" si="125"/>
        <v>0</v>
      </c>
      <c r="AN223" s="20">
        <f t="shared" si="125"/>
        <v>0</v>
      </c>
      <c r="AO223" s="20">
        <f t="shared" si="125"/>
        <v>0</v>
      </c>
      <c r="AP223" s="20">
        <f t="shared" si="125"/>
        <v>0</v>
      </c>
      <c r="AQ223" s="20">
        <f t="shared" si="125"/>
        <v>0</v>
      </c>
      <c r="AR223" s="20">
        <f t="shared" si="125"/>
        <v>0</v>
      </c>
      <c r="AS223" s="20">
        <f t="shared" si="125"/>
        <v>0</v>
      </c>
      <c r="AT223" s="20">
        <f t="shared" si="125"/>
        <v>0</v>
      </c>
      <c r="AU223" s="20">
        <f t="shared" si="125"/>
        <v>0</v>
      </c>
      <c r="AV223" s="20">
        <f t="shared" si="125"/>
        <v>0</v>
      </c>
      <c r="AW223" s="20">
        <f t="shared" si="125"/>
        <v>0</v>
      </c>
      <c r="AX223" s="20">
        <f t="shared" si="125"/>
        <v>0</v>
      </c>
      <c r="AY223" s="20">
        <f t="shared" si="125"/>
        <v>0</v>
      </c>
      <c r="AZ223" s="20">
        <f t="shared" si="125"/>
        <v>0</v>
      </c>
      <c r="BA223" s="20">
        <f t="shared" si="125"/>
        <v>0</v>
      </c>
      <c r="BB223" s="20">
        <f t="shared" si="125"/>
        <v>0</v>
      </c>
      <c r="BC223" s="20">
        <f t="shared" si="125"/>
        <v>0</v>
      </c>
      <c r="BD223" s="20">
        <f t="shared" si="125"/>
        <v>0</v>
      </c>
      <c r="BE223" s="20">
        <f t="shared" si="125"/>
        <v>0</v>
      </c>
      <c r="BF223" s="20">
        <f t="shared" si="125"/>
        <v>0</v>
      </c>
      <c r="BG223" s="20">
        <f t="shared" si="125"/>
        <v>0</v>
      </c>
      <c r="BH223" s="20">
        <f t="shared" si="125"/>
        <v>0</v>
      </c>
      <c r="BI223" s="20">
        <f t="shared" si="125"/>
        <v>0</v>
      </c>
      <c r="BJ223" s="20">
        <f t="shared" si="125"/>
        <v>0</v>
      </c>
      <c r="BK223" s="20">
        <f t="shared" si="125"/>
        <v>0</v>
      </c>
      <c r="BL223" s="20">
        <f t="shared" si="125"/>
        <v>0</v>
      </c>
      <c r="BM223" s="20">
        <f t="shared" si="125"/>
        <v>0</v>
      </c>
      <c r="BN223" s="20">
        <f t="shared" si="125"/>
        <v>0</v>
      </c>
      <c r="BO223" s="2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</row>
    <row r="224" spans="1:147" ht="13">
      <c r="A224" s="2" t="s">
        <v>888</v>
      </c>
      <c r="B224" s="2" t="s">
        <v>887</v>
      </c>
      <c r="C224" s="2" t="s">
        <v>541</v>
      </c>
      <c r="D224" s="2" t="s">
        <v>542</v>
      </c>
      <c r="E224" s="6" t="s">
        <v>180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</row>
    <row r="225" spans="1:147" ht="13">
      <c r="A225" s="2" t="s">
        <v>889</v>
      </c>
      <c r="B225" s="2" t="s">
        <v>887</v>
      </c>
      <c r="C225" s="2" t="s">
        <v>543</v>
      </c>
      <c r="D225" s="2" t="s">
        <v>544</v>
      </c>
      <c r="E225" s="11" t="s">
        <v>181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</row>
    <row r="226" spans="1:147" ht="13">
      <c r="A226" s="2" t="s">
        <v>890</v>
      </c>
      <c r="B226" s="2" t="s">
        <v>887</v>
      </c>
      <c r="C226" s="2" t="s">
        <v>545</v>
      </c>
      <c r="D226" s="2" t="s">
        <v>343</v>
      </c>
      <c r="E226" s="11" t="s">
        <v>182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</row>
    <row r="227" spans="1:147" ht="13">
      <c r="A227" s="2" t="s">
        <v>891</v>
      </c>
      <c r="B227" s="2" t="s">
        <v>887</v>
      </c>
      <c r="C227" s="2" t="s">
        <v>546</v>
      </c>
      <c r="D227" s="2" t="s">
        <v>247</v>
      </c>
      <c r="E227" s="11" t="s">
        <v>547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</row>
    <row r="228" spans="1:147" ht="13">
      <c r="A228" s="2" t="s">
        <v>892</v>
      </c>
      <c r="B228" s="2" t="s">
        <v>887</v>
      </c>
      <c r="C228" s="2" t="s">
        <v>548</v>
      </c>
      <c r="D228" s="2" t="s">
        <v>549</v>
      </c>
      <c r="E228" s="6" t="s">
        <v>550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</row>
    <row r="229" spans="1:147" ht="13">
      <c r="A229" s="2" t="s">
        <v>893</v>
      </c>
      <c r="B229" s="2" t="s">
        <v>887</v>
      </c>
      <c r="C229" s="2" t="s">
        <v>551</v>
      </c>
      <c r="D229" s="2" t="s">
        <v>244</v>
      </c>
      <c r="E229" s="11" t="s">
        <v>552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</row>
    <row r="230" spans="1:147" ht="13">
      <c r="A230" s="2" t="s">
        <v>894</v>
      </c>
      <c r="B230" s="2" t="s">
        <v>887</v>
      </c>
      <c r="C230" s="2" t="s">
        <v>553</v>
      </c>
      <c r="D230" s="2" t="s">
        <v>245</v>
      </c>
      <c r="E230" s="6" t="s">
        <v>554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</row>
    <row r="231" spans="1:147" ht="13">
      <c r="A231" s="2" t="s">
        <v>895</v>
      </c>
      <c r="B231" s="2" t="s">
        <v>887</v>
      </c>
      <c r="C231" s="2" t="s">
        <v>555</v>
      </c>
      <c r="D231" s="2" t="s">
        <v>256</v>
      </c>
      <c r="E231" s="11" t="s">
        <v>556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</row>
    <row r="232" spans="1:147" ht="13">
      <c r="A232" s="2" t="s">
        <v>896</v>
      </c>
      <c r="B232" s="2" t="s">
        <v>887</v>
      </c>
      <c r="C232" s="2" t="s">
        <v>557</v>
      </c>
      <c r="D232" s="2" t="s">
        <v>558</v>
      </c>
      <c r="E232" s="11" t="s">
        <v>559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</row>
    <row r="233" spans="1:147" ht="13">
      <c r="A233" s="2" t="s">
        <v>897</v>
      </c>
      <c r="B233" s="2" t="s">
        <v>887</v>
      </c>
      <c r="C233" s="2" t="s">
        <v>560</v>
      </c>
      <c r="D233" s="2" t="s">
        <v>244</v>
      </c>
      <c r="E233" s="11" t="s">
        <v>561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</row>
    <row r="234" spans="1:147" ht="13">
      <c r="A234" s="2" t="s">
        <v>898</v>
      </c>
      <c r="B234" s="2" t="s">
        <v>886</v>
      </c>
      <c r="C234" s="2" t="s">
        <v>179</v>
      </c>
      <c r="D234" s="2" t="s">
        <v>562</v>
      </c>
      <c r="E234" s="9" t="s">
        <v>563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</row>
    <row r="235" spans="1:147" ht="13">
      <c r="A235" s="2" t="s">
        <v>899</v>
      </c>
      <c r="B235" s="2" t="s">
        <v>886</v>
      </c>
      <c r="C235" s="2" t="s">
        <v>183</v>
      </c>
      <c r="D235" s="2" t="s">
        <v>564</v>
      </c>
      <c r="E235" s="9" t="s">
        <v>565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</row>
    <row r="236" spans="1:147" ht="26">
      <c r="A236" s="2" t="s">
        <v>900</v>
      </c>
      <c r="B236" s="2" t="s">
        <v>886</v>
      </c>
      <c r="C236" s="2" t="s">
        <v>184</v>
      </c>
      <c r="D236" s="2" t="s">
        <v>566</v>
      </c>
      <c r="E236" s="9" t="s">
        <v>567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</row>
    <row r="237" spans="1:147" ht="13">
      <c r="A237" s="2" t="s">
        <v>901</v>
      </c>
      <c r="B237" s="2" t="s">
        <v>886</v>
      </c>
      <c r="C237" s="2" t="s">
        <v>195</v>
      </c>
      <c r="D237" s="2" t="s">
        <v>568</v>
      </c>
      <c r="E237" s="9" t="s">
        <v>569</v>
      </c>
      <c r="F237" s="20">
        <f t="shared" ref="F237:AG237" si="126">F79</f>
        <v>0</v>
      </c>
      <c r="G237" s="20">
        <f t="shared" si="126"/>
        <v>0</v>
      </c>
      <c r="H237" s="20">
        <f t="shared" si="126"/>
        <v>0</v>
      </c>
      <c r="I237" s="20">
        <f t="shared" si="126"/>
        <v>0</v>
      </c>
      <c r="J237" s="20">
        <f t="shared" si="126"/>
        <v>0</v>
      </c>
      <c r="K237" s="20">
        <f t="shared" si="126"/>
        <v>0</v>
      </c>
      <c r="L237" s="20">
        <f t="shared" si="126"/>
        <v>0</v>
      </c>
      <c r="M237" s="20">
        <f t="shared" si="126"/>
        <v>0</v>
      </c>
      <c r="N237" s="20">
        <f t="shared" si="126"/>
        <v>0</v>
      </c>
      <c r="O237" s="20">
        <f t="shared" si="126"/>
        <v>0</v>
      </c>
      <c r="P237" s="20">
        <f t="shared" si="126"/>
        <v>0</v>
      </c>
      <c r="Q237" s="20">
        <f t="shared" si="126"/>
        <v>0</v>
      </c>
      <c r="R237" s="20">
        <f t="shared" si="126"/>
        <v>0</v>
      </c>
      <c r="S237" s="20">
        <f t="shared" si="126"/>
        <v>0</v>
      </c>
      <c r="T237" s="20">
        <f t="shared" si="126"/>
        <v>0</v>
      </c>
      <c r="U237" s="20">
        <f t="shared" si="126"/>
        <v>0</v>
      </c>
      <c r="V237" s="20">
        <f t="shared" si="126"/>
        <v>0</v>
      </c>
      <c r="W237" s="20">
        <f t="shared" si="126"/>
        <v>0</v>
      </c>
      <c r="X237" s="20">
        <f t="shared" si="126"/>
        <v>0</v>
      </c>
      <c r="Y237" s="20">
        <f t="shared" si="126"/>
        <v>0</v>
      </c>
      <c r="Z237" s="20">
        <f t="shared" si="126"/>
        <v>0</v>
      </c>
      <c r="AA237" s="20">
        <f t="shared" si="126"/>
        <v>0</v>
      </c>
      <c r="AB237" s="20">
        <f t="shared" si="126"/>
        <v>0</v>
      </c>
      <c r="AC237" s="20">
        <f t="shared" si="126"/>
        <v>0</v>
      </c>
      <c r="AD237" s="20">
        <f t="shared" si="126"/>
        <v>0</v>
      </c>
      <c r="AE237" s="20">
        <f t="shared" si="126"/>
        <v>0</v>
      </c>
      <c r="AF237" s="20">
        <f t="shared" si="126"/>
        <v>0</v>
      </c>
      <c r="AG237" s="20">
        <f t="shared" si="126"/>
        <v>0</v>
      </c>
      <c r="AH237" s="20">
        <f t="shared" ref="AH237:BN237" si="127">AH79</f>
        <v>0</v>
      </c>
      <c r="AI237" s="20">
        <f t="shared" si="127"/>
        <v>0</v>
      </c>
      <c r="AJ237" s="20">
        <f t="shared" si="127"/>
        <v>0</v>
      </c>
      <c r="AK237" s="20">
        <f t="shared" si="127"/>
        <v>0</v>
      </c>
      <c r="AL237" s="20">
        <f t="shared" si="127"/>
        <v>0</v>
      </c>
      <c r="AM237" s="20">
        <f t="shared" si="127"/>
        <v>0</v>
      </c>
      <c r="AN237" s="20">
        <f t="shared" si="127"/>
        <v>0</v>
      </c>
      <c r="AO237" s="20">
        <f t="shared" si="127"/>
        <v>0</v>
      </c>
      <c r="AP237" s="20">
        <f t="shared" si="127"/>
        <v>0</v>
      </c>
      <c r="AQ237" s="20">
        <f t="shared" si="127"/>
        <v>0</v>
      </c>
      <c r="AR237" s="20">
        <f t="shared" si="127"/>
        <v>0</v>
      </c>
      <c r="AS237" s="20">
        <f t="shared" si="127"/>
        <v>0</v>
      </c>
      <c r="AT237" s="20">
        <f t="shared" si="127"/>
        <v>0</v>
      </c>
      <c r="AU237" s="20">
        <f t="shared" si="127"/>
        <v>0</v>
      </c>
      <c r="AV237" s="20">
        <f t="shared" si="127"/>
        <v>0</v>
      </c>
      <c r="AW237" s="20">
        <f t="shared" si="127"/>
        <v>0</v>
      </c>
      <c r="AX237" s="20">
        <f t="shared" si="127"/>
        <v>0</v>
      </c>
      <c r="AY237" s="20">
        <f t="shared" si="127"/>
        <v>0</v>
      </c>
      <c r="AZ237" s="20">
        <f t="shared" si="127"/>
        <v>0</v>
      </c>
      <c r="BA237" s="20">
        <f t="shared" si="127"/>
        <v>0</v>
      </c>
      <c r="BB237" s="20">
        <f t="shared" si="127"/>
        <v>0</v>
      </c>
      <c r="BC237" s="20">
        <f t="shared" si="127"/>
        <v>0</v>
      </c>
      <c r="BD237" s="20">
        <f t="shared" si="127"/>
        <v>0</v>
      </c>
      <c r="BE237" s="20">
        <f t="shared" si="127"/>
        <v>0</v>
      </c>
      <c r="BF237" s="20">
        <f t="shared" si="127"/>
        <v>0</v>
      </c>
      <c r="BG237" s="20">
        <f t="shared" si="127"/>
        <v>0</v>
      </c>
      <c r="BH237" s="20">
        <f t="shared" si="127"/>
        <v>0</v>
      </c>
      <c r="BI237" s="20">
        <f t="shared" si="127"/>
        <v>0</v>
      </c>
      <c r="BJ237" s="20">
        <f t="shared" si="127"/>
        <v>0</v>
      </c>
      <c r="BK237" s="20">
        <f t="shared" si="127"/>
        <v>0</v>
      </c>
      <c r="BL237" s="20">
        <f t="shared" si="127"/>
        <v>0</v>
      </c>
      <c r="BM237" s="20">
        <f t="shared" si="127"/>
        <v>0</v>
      </c>
      <c r="BN237" s="20">
        <f t="shared" si="127"/>
        <v>0</v>
      </c>
      <c r="BO237" s="2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</row>
    <row r="238" spans="1:147" ht="13">
      <c r="A238" s="2" t="s">
        <v>902</v>
      </c>
      <c r="B238" s="2" t="s">
        <v>886</v>
      </c>
      <c r="C238" s="2" t="s">
        <v>196</v>
      </c>
      <c r="D238" s="2" t="s">
        <v>570</v>
      </c>
      <c r="E238" s="9" t="s">
        <v>571</v>
      </c>
      <c r="F238" s="20">
        <f t="shared" ref="F238:AG238" si="128">F80</f>
        <v>0</v>
      </c>
      <c r="G238" s="20">
        <f t="shared" si="128"/>
        <v>0</v>
      </c>
      <c r="H238" s="20">
        <f t="shared" si="128"/>
        <v>0</v>
      </c>
      <c r="I238" s="20">
        <f t="shared" si="128"/>
        <v>0</v>
      </c>
      <c r="J238" s="20">
        <f t="shared" si="128"/>
        <v>0</v>
      </c>
      <c r="K238" s="20">
        <f t="shared" si="128"/>
        <v>0</v>
      </c>
      <c r="L238" s="20">
        <f t="shared" si="128"/>
        <v>0</v>
      </c>
      <c r="M238" s="20">
        <f t="shared" si="128"/>
        <v>0</v>
      </c>
      <c r="N238" s="20">
        <f t="shared" si="128"/>
        <v>0</v>
      </c>
      <c r="O238" s="20">
        <f t="shared" si="128"/>
        <v>0</v>
      </c>
      <c r="P238" s="20">
        <f t="shared" si="128"/>
        <v>0</v>
      </c>
      <c r="Q238" s="20">
        <f t="shared" si="128"/>
        <v>0</v>
      </c>
      <c r="R238" s="20">
        <f t="shared" si="128"/>
        <v>0</v>
      </c>
      <c r="S238" s="20">
        <f t="shared" si="128"/>
        <v>0</v>
      </c>
      <c r="T238" s="20">
        <f t="shared" si="128"/>
        <v>0</v>
      </c>
      <c r="U238" s="20">
        <f t="shared" si="128"/>
        <v>0</v>
      </c>
      <c r="V238" s="20">
        <f t="shared" si="128"/>
        <v>0</v>
      </c>
      <c r="W238" s="20">
        <f t="shared" si="128"/>
        <v>0</v>
      </c>
      <c r="X238" s="20">
        <f t="shared" si="128"/>
        <v>0</v>
      </c>
      <c r="Y238" s="20">
        <f t="shared" si="128"/>
        <v>0</v>
      </c>
      <c r="Z238" s="20">
        <f t="shared" si="128"/>
        <v>0</v>
      </c>
      <c r="AA238" s="20">
        <f t="shared" si="128"/>
        <v>0</v>
      </c>
      <c r="AB238" s="20">
        <f t="shared" si="128"/>
        <v>0</v>
      </c>
      <c r="AC238" s="20">
        <f t="shared" si="128"/>
        <v>0</v>
      </c>
      <c r="AD238" s="20">
        <f t="shared" si="128"/>
        <v>0</v>
      </c>
      <c r="AE238" s="20">
        <f t="shared" si="128"/>
        <v>0</v>
      </c>
      <c r="AF238" s="20">
        <f t="shared" si="128"/>
        <v>0</v>
      </c>
      <c r="AG238" s="20">
        <f t="shared" si="128"/>
        <v>0</v>
      </c>
      <c r="AH238" s="20">
        <f t="shared" ref="AH238:BN238" si="129">AH80</f>
        <v>0</v>
      </c>
      <c r="AI238" s="20">
        <f t="shared" si="129"/>
        <v>0</v>
      </c>
      <c r="AJ238" s="20">
        <f t="shared" si="129"/>
        <v>0</v>
      </c>
      <c r="AK238" s="20">
        <f t="shared" si="129"/>
        <v>0</v>
      </c>
      <c r="AL238" s="20">
        <f t="shared" si="129"/>
        <v>0</v>
      </c>
      <c r="AM238" s="20">
        <f t="shared" si="129"/>
        <v>0</v>
      </c>
      <c r="AN238" s="20">
        <f t="shared" si="129"/>
        <v>0</v>
      </c>
      <c r="AO238" s="20">
        <f t="shared" si="129"/>
        <v>0</v>
      </c>
      <c r="AP238" s="20">
        <f t="shared" si="129"/>
        <v>0</v>
      </c>
      <c r="AQ238" s="20">
        <f t="shared" si="129"/>
        <v>0</v>
      </c>
      <c r="AR238" s="20">
        <f t="shared" si="129"/>
        <v>0</v>
      </c>
      <c r="AS238" s="20">
        <f t="shared" si="129"/>
        <v>0</v>
      </c>
      <c r="AT238" s="20">
        <f t="shared" si="129"/>
        <v>0</v>
      </c>
      <c r="AU238" s="20">
        <f t="shared" si="129"/>
        <v>0</v>
      </c>
      <c r="AV238" s="20">
        <f t="shared" si="129"/>
        <v>0</v>
      </c>
      <c r="AW238" s="20">
        <f t="shared" si="129"/>
        <v>0</v>
      </c>
      <c r="AX238" s="20">
        <f t="shared" si="129"/>
        <v>0</v>
      </c>
      <c r="AY238" s="20">
        <f t="shared" si="129"/>
        <v>0</v>
      </c>
      <c r="AZ238" s="20">
        <f t="shared" si="129"/>
        <v>0</v>
      </c>
      <c r="BA238" s="20">
        <f t="shared" si="129"/>
        <v>0</v>
      </c>
      <c r="BB238" s="20">
        <f t="shared" si="129"/>
        <v>0</v>
      </c>
      <c r="BC238" s="20">
        <f t="shared" si="129"/>
        <v>0</v>
      </c>
      <c r="BD238" s="20">
        <f t="shared" si="129"/>
        <v>0</v>
      </c>
      <c r="BE238" s="20">
        <f t="shared" si="129"/>
        <v>0</v>
      </c>
      <c r="BF238" s="20">
        <f t="shared" si="129"/>
        <v>0</v>
      </c>
      <c r="BG238" s="20">
        <f t="shared" si="129"/>
        <v>0</v>
      </c>
      <c r="BH238" s="20">
        <f t="shared" si="129"/>
        <v>0</v>
      </c>
      <c r="BI238" s="20">
        <f t="shared" si="129"/>
        <v>0</v>
      </c>
      <c r="BJ238" s="20">
        <f t="shared" si="129"/>
        <v>0</v>
      </c>
      <c r="BK238" s="20">
        <f t="shared" si="129"/>
        <v>0</v>
      </c>
      <c r="BL238" s="20">
        <f t="shared" si="129"/>
        <v>0</v>
      </c>
      <c r="BM238" s="20">
        <f t="shared" si="129"/>
        <v>0</v>
      </c>
      <c r="BN238" s="20">
        <f t="shared" si="129"/>
        <v>0</v>
      </c>
      <c r="BO238" s="2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</row>
    <row r="239" spans="1:147" ht="28">
      <c r="A239" s="2" t="s">
        <v>903</v>
      </c>
      <c r="B239" s="2" t="s">
        <v>25</v>
      </c>
      <c r="C239" s="2" t="s">
        <v>42</v>
      </c>
      <c r="D239" s="2" t="s">
        <v>25</v>
      </c>
      <c r="E239" s="10" t="s">
        <v>198</v>
      </c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30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30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30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30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</row>
    <row r="240" spans="1:147" ht="13">
      <c r="A240" s="2" t="s">
        <v>904</v>
      </c>
      <c r="B240" s="2" t="s">
        <v>903</v>
      </c>
      <c r="C240" s="2" t="s">
        <v>185</v>
      </c>
      <c r="D240" s="2" t="s">
        <v>26</v>
      </c>
      <c r="E240" s="7" t="s">
        <v>572</v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>
        <f>AH29+AH27</f>
        <v>0</v>
      </c>
      <c r="AI240" s="20">
        <f t="shared" ref="AI240:AS240" si="130">AI29+AI27</f>
        <v>0</v>
      </c>
      <c r="AJ240" s="20">
        <f t="shared" si="130"/>
        <v>0</v>
      </c>
      <c r="AK240" s="20">
        <f t="shared" si="130"/>
        <v>0</v>
      </c>
      <c r="AL240" s="20">
        <f t="shared" si="130"/>
        <v>0</v>
      </c>
      <c r="AM240" s="20">
        <f t="shared" si="130"/>
        <v>0</v>
      </c>
      <c r="AN240" s="20">
        <f t="shared" si="130"/>
        <v>0</v>
      </c>
      <c r="AO240" s="20">
        <f t="shared" si="130"/>
        <v>0</v>
      </c>
      <c r="AP240" s="20">
        <f t="shared" si="130"/>
        <v>0</v>
      </c>
      <c r="AQ240" s="20">
        <f t="shared" si="130"/>
        <v>0</v>
      </c>
      <c r="AR240" s="20">
        <f t="shared" si="130"/>
        <v>0</v>
      </c>
      <c r="AS240" s="20">
        <f t="shared" si="130"/>
        <v>0</v>
      </c>
      <c r="AT240" s="20">
        <f t="shared" ref="AT240:BN240" si="131">AT29+AT27</f>
        <v>0</v>
      </c>
      <c r="AU240" s="20">
        <f t="shared" si="131"/>
        <v>0</v>
      </c>
      <c r="AV240" s="20">
        <f t="shared" si="131"/>
        <v>0</v>
      </c>
      <c r="AW240" s="20">
        <f t="shared" si="131"/>
        <v>0</v>
      </c>
      <c r="AX240" s="20">
        <f t="shared" si="131"/>
        <v>0</v>
      </c>
      <c r="AY240" s="20">
        <f t="shared" si="131"/>
        <v>0</v>
      </c>
      <c r="AZ240" s="20">
        <f t="shared" si="131"/>
        <v>0</v>
      </c>
      <c r="BA240" s="20">
        <f t="shared" si="131"/>
        <v>0</v>
      </c>
      <c r="BB240" s="20">
        <f t="shared" si="131"/>
        <v>0</v>
      </c>
      <c r="BC240" s="20">
        <f t="shared" si="131"/>
        <v>0</v>
      </c>
      <c r="BD240" s="20">
        <f t="shared" si="131"/>
        <v>0</v>
      </c>
      <c r="BE240" s="20">
        <f t="shared" si="131"/>
        <v>0</v>
      </c>
      <c r="BF240" s="20">
        <f t="shared" si="131"/>
        <v>0</v>
      </c>
      <c r="BG240" s="20">
        <f t="shared" si="131"/>
        <v>0</v>
      </c>
      <c r="BH240" s="20">
        <f t="shared" si="131"/>
        <v>0</v>
      </c>
      <c r="BI240" s="20">
        <f t="shared" si="131"/>
        <v>0</v>
      </c>
      <c r="BJ240" s="20">
        <f t="shared" si="131"/>
        <v>0</v>
      </c>
      <c r="BK240" s="20">
        <f t="shared" si="131"/>
        <v>0</v>
      </c>
      <c r="BL240" s="20">
        <f t="shared" si="131"/>
        <v>0</v>
      </c>
      <c r="BM240" s="20">
        <f t="shared" si="131"/>
        <v>0</v>
      </c>
      <c r="BN240" s="20">
        <f t="shared" si="131"/>
        <v>0</v>
      </c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30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30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30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30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</row>
    <row r="241" spans="1:147" ht="13">
      <c r="A241" s="2" t="s">
        <v>905</v>
      </c>
      <c r="B241" s="2" t="s">
        <v>903</v>
      </c>
      <c r="C241" s="2" t="s">
        <v>186</v>
      </c>
      <c r="D241" s="2" t="s">
        <v>36</v>
      </c>
      <c r="E241" s="7" t="s">
        <v>573</v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>
        <f>AH59+AH42+AH43</f>
        <v>0</v>
      </c>
      <c r="AI241" s="20">
        <f t="shared" ref="AI241:BN241" si="132">AI59+AI42+AI43</f>
        <v>0</v>
      </c>
      <c r="AJ241" s="20">
        <f t="shared" si="132"/>
        <v>0</v>
      </c>
      <c r="AK241" s="20">
        <f t="shared" si="132"/>
        <v>0</v>
      </c>
      <c r="AL241" s="20">
        <f t="shared" si="132"/>
        <v>0</v>
      </c>
      <c r="AM241" s="20">
        <f t="shared" si="132"/>
        <v>0</v>
      </c>
      <c r="AN241" s="20">
        <f t="shared" si="132"/>
        <v>0</v>
      </c>
      <c r="AO241" s="20">
        <f t="shared" si="132"/>
        <v>0</v>
      </c>
      <c r="AP241" s="20">
        <f t="shared" si="132"/>
        <v>0</v>
      </c>
      <c r="AQ241" s="20">
        <f t="shared" si="132"/>
        <v>0</v>
      </c>
      <c r="AR241" s="20">
        <f t="shared" si="132"/>
        <v>0</v>
      </c>
      <c r="AS241" s="20">
        <f t="shared" si="132"/>
        <v>0</v>
      </c>
      <c r="AT241" s="20">
        <f t="shared" si="132"/>
        <v>0</v>
      </c>
      <c r="AU241" s="20">
        <f t="shared" si="132"/>
        <v>0</v>
      </c>
      <c r="AV241" s="20">
        <f t="shared" si="132"/>
        <v>0</v>
      </c>
      <c r="AW241" s="20">
        <f t="shared" si="132"/>
        <v>0</v>
      </c>
      <c r="AX241" s="20">
        <f t="shared" si="132"/>
        <v>0</v>
      </c>
      <c r="AY241" s="20">
        <f t="shared" si="132"/>
        <v>0</v>
      </c>
      <c r="AZ241" s="20">
        <f t="shared" si="132"/>
        <v>0</v>
      </c>
      <c r="BA241" s="20">
        <f t="shared" si="132"/>
        <v>0</v>
      </c>
      <c r="BB241" s="20">
        <f t="shared" si="132"/>
        <v>0</v>
      </c>
      <c r="BC241" s="20">
        <f t="shared" si="132"/>
        <v>0</v>
      </c>
      <c r="BD241" s="20">
        <f t="shared" si="132"/>
        <v>0</v>
      </c>
      <c r="BE241" s="20">
        <f t="shared" si="132"/>
        <v>0</v>
      </c>
      <c r="BF241" s="20">
        <f t="shared" si="132"/>
        <v>0</v>
      </c>
      <c r="BG241" s="20">
        <f t="shared" si="132"/>
        <v>0</v>
      </c>
      <c r="BH241" s="20">
        <f t="shared" si="132"/>
        <v>0</v>
      </c>
      <c r="BI241" s="20">
        <f t="shared" si="132"/>
        <v>0</v>
      </c>
      <c r="BJ241" s="20">
        <f t="shared" si="132"/>
        <v>0</v>
      </c>
      <c r="BK241" s="20">
        <f t="shared" si="132"/>
        <v>0</v>
      </c>
      <c r="BL241" s="20">
        <f t="shared" si="132"/>
        <v>0</v>
      </c>
      <c r="BM241" s="20">
        <f t="shared" si="132"/>
        <v>0</v>
      </c>
      <c r="BN241" s="20">
        <f t="shared" si="132"/>
        <v>0</v>
      </c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30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30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30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30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</row>
    <row r="242" spans="1:147" ht="13">
      <c r="A242" s="2" t="s">
        <v>906</v>
      </c>
      <c r="B242" s="2" t="s">
        <v>903</v>
      </c>
      <c r="C242" s="2" t="s">
        <v>187</v>
      </c>
      <c r="D242" s="2" t="s">
        <v>39</v>
      </c>
      <c r="E242" s="7" t="s">
        <v>574</v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>
        <f>IFERROR(AH241/AH240*100,0)</f>
        <v>0</v>
      </c>
      <c r="AI242" s="20">
        <f t="shared" ref="AI242:BN242" si="133">IFERROR(AI241/AI240*100,0)</f>
        <v>0</v>
      </c>
      <c r="AJ242" s="20">
        <f t="shared" si="133"/>
        <v>0</v>
      </c>
      <c r="AK242" s="20">
        <f t="shared" si="133"/>
        <v>0</v>
      </c>
      <c r="AL242" s="20">
        <f t="shared" si="133"/>
        <v>0</v>
      </c>
      <c r="AM242" s="20">
        <f t="shared" si="133"/>
        <v>0</v>
      </c>
      <c r="AN242" s="20">
        <f t="shared" si="133"/>
        <v>0</v>
      </c>
      <c r="AO242" s="20">
        <f t="shared" si="133"/>
        <v>0</v>
      </c>
      <c r="AP242" s="20">
        <f t="shared" si="133"/>
        <v>0</v>
      </c>
      <c r="AQ242" s="20">
        <f t="shared" si="133"/>
        <v>0</v>
      </c>
      <c r="AR242" s="20">
        <f t="shared" si="133"/>
        <v>0</v>
      </c>
      <c r="AS242" s="20">
        <f t="shared" si="133"/>
        <v>0</v>
      </c>
      <c r="AT242" s="20">
        <f t="shared" si="133"/>
        <v>0</v>
      </c>
      <c r="AU242" s="20">
        <f t="shared" si="133"/>
        <v>0</v>
      </c>
      <c r="AV242" s="20">
        <f t="shared" si="133"/>
        <v>0</v>
      </c>
      <c r="AW242" s="20">
        <f t="shared" si="133"/>
        <v>0</v>
      </c>
      <c r="AX242" s="20">
        <f t="shared" si="133"/>
        <v>0</v>
      </c>
      <c r="AY242" s="20">
        <f t="shared" si="133"/>
        <v>0</v>
      </c>
      <c r="AZ242" s="20">
        <f t="shared" si="133"/>
        <v>0</v>
      </c>
      <c r="BA242" s="20">
        <f t="shared" si="133"/>
        <v>0</v>
      </c>
      <c r="BB242" s="20">
        <f t="shared" si="133"/>
        <v>0</v>
      </c>
      <c r="BC242" s="20">
        <f t="shared" si="133"/>
        <v>0</v>
      </c>
      <c r="BD242" s="20">
        <f t="shared" si="133"/>
        <v>0</v>
      </c>
      <c r="BE242" s="20">
        <f t="shared" si="133"/>
        <v>0</v>
      </c>
      <c r="BF242" s="20">
        <f t="shared" si="133"/>
        <v>0</v>
      </c>
      <c r="BG242" s="20">
        <f t="shared" si="133"/>
        <v>0</v>
      </c>
      <c r="BH242" s="20">
        <f t="shared" si="133"/>
        <v>0</v>
      </c>
      <c r="BI242" s="20">
        <f t="shared" si="133"/>
        <v>0</v>
      </c>
      <c r="BJ242" s="20">
        <f t="shared" si="133"/>
        <v>0</v>
      </c>
      <c r="BK242" s="20">
        <f t="shared" si="133"/>
        <v>0</v>
      </c>
      <c r="BL242" s="20">
        <f t="shared" si="133"/>
        <v>0</v>
      </c>
      <c r="BM242" s="20">
        <f t="shared" si="133"/>
        <v>0</v>
      </c>
      <c r="BN242" s="20">
        <f t="shared" si="133"/>
        <v>0</v>
      </c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30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30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30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30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</row>
    <row r="243" spans="1:147" ht="13">
      <c r="A243" s="2" t="s">
        <v>907</v>
      </c>
      <c r="B243" s="2" t="s">
        <v>903</v>
      </c>
      <c r="C243" s="2" t="s">
        <v>188</v>
      </c>
      <c r="D243" s="2" t="s">
        <v>42</v>
      </c>
      <c r="E243" s="7" t="s">
        <v>575</v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35">
        <f>AH60</f>
        <v>0</v>
      </c>
      <c r="AI243" s="35">
        <f t="shared" ref="AI243:BN243" si="134">AI60</f>
        <v>0</v>
      </c>
      <c r="AJ243" s="35">
        <f t="shared" si="134"/>
        <v>0</v>
      </c>
      <c r="AK243" s="35">
        <f t="shared" si="134"/>
        <v>0</v>
      </c>
      <c r="AL243" s="35">
        <f t="shared" si="134"/>
        <v>0</v>
      </c>
      <c r="AM243" s="35">
        <f t="shared" si="134"/>
        <v>0</v>
      </c>
      <c r="AN243" s="35">
        <f t="shared" si="134"/>
        <v>0</v>
      </c>
      <c r="AO243" s="35">
        <f t="shared" si="134"/>
        <v>0</v>
      </c>
      <c r="AP243" s="35">
        <f t="shared" si="134"/>
        <v>0</v>
      </c>
      <c r="AQ243" s="35">
        <f t="shared" si="134"/>
        <v>0</v>
      </c>
      <c r="AR243" s="35">
        <f t="shared" si="134"/>
        <v>0</v>
      </c>
      <c r="AS243" s="35">
        <f t="shared" si="134"/>
        <v>0</v>
      </c>
      <c r="AT243" s="35">
        <f t="shared" si="134"/>
        <v>0</v>
      </c>
      <c r="AU243" s="35">
        <f t="shared" si="134"/>
        <v>0</v>
      </c>
      <c r="AV243" s="35">
        <f t="shared" si="134"/>
        <v>0</v>
      </c>
      <c r="AW243" s="35">
        <f t="shared" si="134"/>
        <v>0</v>
      </c>
      <c r="AX243" s="35">
        <f t="shared" si="134"/>
        <v>0</v>
      </c>
      <c r="AY243" s="35">
        <f t="shared" si="134"/>
        <v>0</v>
      </c>
      <c r="AZ243" s="35">
        <f t="shared" si="134"/>
        <v>0</v>
      </c>
      <c r="BA243" s="35">
        <f t="shared" si="134"/>
        <v>0</v>
      </c>
      <c r="BB243" s="35">
        <f t="shared" si="134"/>
        <v>0</v>
      </c>
      <c r="BC243" s="35">
        <f t="shared" si="134"/>
        <v>0</v>
      </c>
      <c r="BD243" s="35">
        <f t="shared" si="134"/>
        <v>0</v>
      </c>
      <c r="BE243" s="35">
        <f t="shared" si="134"/>
        <v>0</v>
      </c>
      <c r="BF243" s="35">
        <f t="shared" si="134"/>
        <v>0</v>
      </c>
      <c r="BG243" s="35">
        <f t="shared" si="134"/>
        <v>0</v>
      </c>
      <c r="BH243" s="35">
        <f t="shared" si="134"/>
        <v>0</v>
      </c>
      <c r="BI243" s="35">
        <f t="shared" si="134"/>
        <v>0</v>
      </c>
      <c r="BJ243" s="35">
        <f t="shared" si="134"/>
        <v>0</v>
      </c>
      <c r="BK243" s="35">
        <f t="shared" si="134"/>
        <v>0</v>
      </c>
      <c r="BL243" s="35">
        <f t="shared" si="134"/>
        <v>0</v>
      </c>
      <c r="BM243" s="35">
        <f t="shared" si="134"/>
        <v>0</v>
      </c>
      <c r="BN243" s="35">
        <f t="shared" si="134"/>
        <v>0</v>
      </c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0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30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30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30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</row>
    <row r="244" spans="1:147" ht="13">
      <c r="A244" s="2" t="s">
        <v>908</v>
      </c>
      <c r="B244" s="2" t="s">
        <v>903</v>
      </c>
      <c r="C244" s="2" t="s">
        <v>189</v>
      </c>
      <c r="D244" s="2" t="s">
        <v>45</v>
      </c>
      <c r="E244" s="7" t="s">
        <v>576</v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35">
        <f>AH43+AH42</f>
        <v>0</v>
      </c>
      <c r="AI244" s="35">
        <f t="shared" ref="AI244:AS244" si="135">AI43+AI42</f>
        <v>0</v>
      </c>
      <c r="AJ244" s="35">
        <f t="shared" si="135"/>
        <v>0</v>
      </c>
      <c r="AK244" s="35">
        <f t="shared" si="135"/>
        <v>0</v>
      </c>
      <c r="AL244" s="35">
        <f t="shared" si="135"/>
        <v>0</v>
      </c>
      <c r="AM244" s="35">
        <f t="shared" si="135"/>
        <v>0</v>
      </c>
      <c r="AN244" s="35">
        <f t="shared" si="135"/>
        <v>0</v>
      </c>
      <c r="AO244" s="35">
        <f t="shared" si="135"/>
        <v>0</v>
      </c>
      <c r="AP244" s="35">
        <f t="shared" si="135"/>
        <v>0</v>
      </c>
      <c r="AQ244" s="35">
        <f t="shared" si="135"/>
        <v>0</v>
      </c>
      <c r="AR244" s="35">
        <f t="shared" si="135"/>
        <v>0</v>
      </c>
      <c r="AS244" s="35">
        <f t="shared" si="135"/>
        <v>0</v>
      </c>
      <c r="AT244" s="35">
        <f t="shared" ref="AT244:BN244" si="136">AT43+AT42</f>
        <v>0</v>
      </c>
      <c r="AU244" s="35">
        <f t="shared" si="136"/>
        <v>0</v>
      </c>
      <c r="AV244" s="35">
        <f t="shared" si="136"/>
        <v>0</v>
      </c>
      <c r="AW244" s="35">
        <f t="shared" si="136"/>
        <v>0</v>
      </c>
      <c r="AX244" s="35">
        <f t="shared" si="136"/>
        <v>0</v>
      </c>
      <c r="AY244" s="35">
        <f t="shared" si="136"/>
        <v>0</v>
      </c>
      <c r="AZ244" s="35">
        <f t="shared" si="136"/>
        <v>0</v>
      </c>
      <c r="BA244" s="35">
        <f t="shared" si="136"/>
        <v>0</v>
      </c>
      <c r="BB244" s="35">
        <f t="shared" si="136"/>
        <v>0</v>
      </c>
      <c r="BC244" s="35">
        <f t="shared" si="136"/>
        <v>0</v>
      </c>
      <c r="BD244" s="35">
        <f t="shared" si="136"/>
        <v>0</v>
      </c>
      <c r="BE244" s="35">
        <f t="shared" si="136"/>
        <v>0</v>
      </c>
      <c r="BF244" s="35">
        <f t="shared" si="136"/>
        <v>0</v>
      </c>
      <c r="BG244" s="35">
        <f t="shared" si="136"/>
        <v>0</v>
      </c>
      <c r="BH244" s="35">
        <f t="shared" si="136"/>
        <v>0</v>
      </c>
      <c r="BI244" s="35">
        <f t="shared" si="136"/>
        <v>0</v>
      </c>
      <c r="BJ244" s="35">
        <f t="shared" si="136"/>
        <v>0</v>
      </c>
      <c r="BK244" s="35">
        <f t="shared" si="136"/>
        <v>0</v>
      </c>
      <c r="BL244" s="35">
        <f t="shared" si="136"/>
        <v>0</v>
      </c>
      <c r="BM244" s="35">
        <f t="shared" si="136"/>
        <v>0</v>
      </c>
      <c r="BN244" s="35">
        <f t="shared" si="136"/>
        <v>0</v>
      </c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0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30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30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30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</row>
    <row r="245" spans="1:147" ht="13">
      <c r="A245" s="2" t="s">
        <v>909</v>
      </c>
      <c r="B245" s="2" t="s">
        <v>903</v>
      </c>
      <c r="C245" s="2" t="s">
        <v>190</v>
      </c>
      <c r="D245" s="2" t="s">
        <v>52</v>
      </c>
      <c r="E245" s="7" t="s">
        <v>577</v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35">
        <f t="shared" ref="AH245" si="137">AH241-AH243-AH244</f>
        <v>0</v>
      </c>
      <c r="AI245" s="35">
        <f t="shared" ref="AI245:AS245" si="138">AI241-AI243-AI244</f>
        <v>0</v>
      </c>
      <c r="AJ245" s="35">
        <f t="shared" si="138"/>
        <v>0</v>
      </c>
      <c r="AK245" s="35">
        <f t="shared" si="138"/>
        <v>0</v>
      </c>
      <c r="AL245" s="35">
        <f t="shared" si="138"/>
        <v>0</v>
      </c>
      <c r="AM245" s="35">
        <f t="shared" si="138"/>
        <v>0</v>
      </c>
      <c r="AN245" s="35">
        <f t="shared" si="138"/>
        <v>0</v>
      </c>
      <c r="AO245" s="35">
        <f t="shared" si="138"/>
        <v>0</v>
      </c>
      <c r="AP245" s="35">
        <f t="shared" si="138"/>
        <v>0</v>
      </c>
      <c r="AQ245" s="35">
        <f t="shared" si="138"/>
        <v>0</v>
      </c>
      <c r="AR245" s="35">
        <f t="shared" si="138"/>
        <v>0</v>
      </c>
      <c r="AS245" s="35">
        <f t="shared" si="138"/>
        <v>0</v>
      </c>
      <c r="AT245" s="35">
        <f t="shared" ref="AT245:BN245" si="139">AT241-AT243-AT244</f>
        <v>0</v>
      </c>
      <c r="AU245" s="35">
        <f t="shared" si="139"/>
        <v>0</v>
      </c>
      <c r="AV245" s="35">
        <f t="shared" si="139"/>
        <v>0</v>
      </c>
      <c r="AW245" s="35">
        <f t="shared" si="139"/>
        <v>0</v>
      </c>
      <c r="AX245" s="35">
        <f t="shared" si="139"/>
        <v>0</v>
      </c>
      <c r="AY245" s="35">
        <f t="shared" si="139"/>
        <v>0</v>
      </c>
      <c r="AZ245" s="35">
        <f t="shared" si="139"/>
        <v>0</v>
      </c>
      <c r="BA245" s="35">
        <f t="shared" si="139"/>
        <v>0</v>
      </c>
      <c r="BB245" s="35">
        <f t="shared" si="139"/>
        <v>0</v>
      </c>
      <c r="BC245" s="35">
        <f t="shared" si="139"/>
        <v>0</v>
      </c>
      <c r="BD245" s="35">
        <f t="shared" si="139"/>
        <v>0</v>
      </c>
      <c r="BE245" s="35">
        <f t="shared" si="139"/>
        <v>0</v>
      </c>
      <c r="BF245" s="35">
        <f t="shared" si="139"/>
        <v>0</v>
      </c>
      <c r="BG245" s="35">
        <f t="shared" si="139"/>
        <v>0</v>
      </c>
      <c r="BH245" s="35">
        <f t="shared" si="139"/>
        <v>0</v>
      </c>
      <c r="BI245" s="35">
        <f t="shared" si="139"/>
        <v>0</v>
      </c>
      <c r="BJ245" s="35">
        <f t="shared" si="139"/>
        <v>0</v>
      </c>
      <c r="BK245" s="35">
        <f t="shared" si="139"/>
        <v>0</v>
      </c>
      <c r="BL245" s="35">
        <f t="shared" si="139"/>
        <v>0</v>
      </c>
      <c r="BM245" s="35">
        <f t="shared" si="139"/>
        <v>0</v>
      </c>
      <c r="BN245" s="35">
        <f t="shared" si="139"/>
        <v>0</v>
      </c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0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30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30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30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</row>
    <row r="246" spans="1:147" ht="13">
      <c r="A246" s="2" t="s">
        <v>910</v>
      </c>
      <c r="B246" s="2" t="s">
        <v>903</v>
      </c>
      <c r="C246" s="2" t="s">
        <v>191</v>
      </c>
      <c r="D246" s="2" t="s">
        <v>58</v>
      </c>
      <c r="E246" s="7" t="s">
        <v>578</v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35">
        <f>AH90</f>
        <v>0</v>
      </c>
      <c r="AI246" s="35">
        <f t="shared" ref="AI246:AS246" si="140">AI90</f>
        <v>0</v>
      </c>
      <c r="AJ246" s="35">
        <f t="shared" si="140"/>
        <v>0</v>
      </c>
      <c r="AK246" s="35">
        <f t="shared" si="140"/>
        <v>0</v>
      </c>
      <c r="AL246" s="35">
        <f t="shared" si="140"/>
        <v>0</v>
      </c>
      <c r="AM246" s="35">
        <f t="shared" si="140"/>
        <v>0</v>
      </c>
      <c r="AN246" s="35">
        <f t="shared" si="140"/>
        <v>0</v>
      </c>
      <c r="AO246" s="35">
        <f t="shared" si="140"/>
        <v>0</v>
      </c>
      <c r="AP246" s="35">
        <f t="shared" si="140"/>
        <v>0</v>
      </c>
      <c r="AQ246" s="35">
        <f t="shared" si="140"/>
        <v>0</v>
      </c>
      <c r="AR246" s="35">
        <f t="shared" si="140"/>
        <v>0</v>
      </c>
      <c r="AS246" s="35">
        <f t="shared" si="140"/>
        <v>0</v>
      </c>
      <c r="AT246" s="35">
        <f t="shared" ref="AT246:BN246" si="141">AT90</f>
        <v>0</v>
      </c>
      <c r="AU246" s="35">
        <f t="shared" si="141"/>
        <v>0</v>
      </c>
      <c r="AV246" s="35">
        <f t="shared" si="141"/>
        <v>0</v>
      </c>
      <c r="AW246" s="35">
        <f t="shared" si="141"/>
        <v>0</v>
      </c>
      <c r="AX246" s="35">
        <f t="shared" si="141"/>
        <v>0</v>
      </c>
      <c r="AY246" s="35">
        <f t="shared" si="141"/>
        <v>0</v>
      </c>
      <c r="AZ246" s="35">
        <f t="shared" si="141"/>
        <v>0</v>
      </c>
      <c r="BA246" s="35">
        <f t="shared" si="141"/>
        <v>0</v>
      </c>
      <c r="BB246" s="35">
        <f t="shared" si="141"/>
        <v>0</v>
      </c>
      <c r="BC246" s="35">
        <f t="shared" si="141"/>
        <v>0</v>
      </c>
      <c r="BD246" s="35">
        <f t="shared" si="141"/>
        <v>0</v>
      </c>
      <c r="BE246" s="35">
        <f t="shared" si="141"/>
        <v>0</v>
      </c>
      <c r="BF246" s="35">
        <f t="shared" si="141"/>
        <v>0</v>
      </c>
      <c r="BG246" s="35">
        <f t="shared" si="141"/>
        <v>0</v>
      </c>
      <c r="BH246" s="35">
        <f t="shared" si="141"/>
        <v>0</v>
      </c>
      <c r="BI246" s="35">
        <f t="shared" si="141"/>
        <v>0</v>
      </c>
      <c r="BJ246" s="35">
        <f t="shared" si="141"/>
        <v>0</v>
      </c>
      <c r="BK246" s="35">
        <f t="shared" si="141"/>
        <v>0</v>
      </c>
      <c r="BL246" s="35">
        <f t="shared" si="141"/>
        <v>0</v>
      </c>
      <c r="BM246" s="35">
        <f t="shared" si="141"/>
        <v>0</v>
      </c>
      <c r="BN246" s="35">
        <f t="shared" si="141"/>
        <v>0</v>
      </c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30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30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30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30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</row>
    <row r="247" spans="1:147" ht="13">
      <c r="A247" s="2" t="s">
        <v>911</v>
      </c>
      <c r="B247" s="2" t="s">
        <v>903</v>
      </c>
      <c r="C247" s="2" t="s">
        <v>192</v>
      </c>
      <c r="D247" s="2" t="s">
        <v>60</v>
      </c>
      <c r="E247" s="7" t="s">
        <v>579</v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35">
        <f>AH91</f>
        <v>0</v>
      </c>
      <c r="AI247" s="35">
        <f t="shared" ref="AI247:AS247" si="142">AI91</f>
        <v>0</v>
      </c>
      <c r="AJ247" s="35">
        <f t="shared" si="142"/>
        <v>0</v>
      </c>
      <c r="AK247" s="35">
        <f t="shared" si="142"/>
        <v>0</v>
      </c>
      <c r="AL247" s="35">
        <f t="shared" si="142"/>
        <v>0</v>
      </c>
      <c r="AM247" s="35">
        <f t="shared" si="142"/>
        <v>0</v>
      </c>
      <c r="AN247" s="35">
        <f t="shared" si="142"/>
        <v>0</v>
      </c>
      <c r="AO247" s="35">
        <f t="shared" si="142"/>
        <v>0</v>
      </c>
      <c r="AP247" s="35">
        <f t="shared" si="142"/>
        <v>0</v>
      </c>
      <c r="AQ247" s="35">
        <f t="shared" si="142"/>
        <v>0</v>
      </c>
      <c r="AR247" s="35">
        <f t="shared" si="142"/>
        <v>0</v>
      </c>
      <c r="AS247" s="35">
        <f t="shared" si="142"/>
        <v>0</v>
      </c>
      <c r="AT247" s="35">
        <f t="shared" ref="AT247:BN247" si="143">AT91</f>
        <v>0</v>
      </c>
      <c r="AU247" s="35">
        <f t="shared" si="143"/>
        <v>0</v>
      </c>
      <c r="AV247" s="35">
        <f t="shared" si="143"/>
        <v>0</v>
      </c>
      <c r="AW247" s="35">
        <f t="shared" si="143"/>
        <v>0</v>
      </c>
      <c r="AX247" s="35">
        <f t="shared" si="143"/>
        <v>0</v>
      </c>
      <c r="AY247" s="35">
        <f t="shared" si="143"/>
        <v>0</v>
      </c>
      <c r="AZ247" s="35">
        <f t="shared" si="143"/>
        <v>0</v>
      </c>
      <c r="BA247" s="35">
        <f t="shared" si="143"/>
        <v>0</v>
      </c>
      <c r="BB247" s="35">
        <f t="shared" si="143"/>
        <v>0</v>
      </c>
      <c r="BC247" s="35">
        <f t="shared" si="143"/>
        <v>0</v>
      </c>
      <c r="BD247" s="35">
        <f t="shared" si="143"/>
        <v>0</v>
      </c>
      <c r="BE247" s="35">
        <f t="shared" si="143"/>
        <v>0</v>
      </c>
      <c r="BF247" s="35">
        <f t="shared" si="143"/>
        <v>0</v>
      </c>
      <c r="BG247" s="35">
        <f t="shared" si="143"/>
        <v>0</v>
      </c>
      <c r="BH247" s="35">
        <f t="shared" si="143"/>
        <v>0</v>
      </c>
      <c r="BI247" s="35">
        <f t="shared" si="143"/>
        <v>0</v>
      </c>
      <c r="BJ247" s="35">
        <f t="shared" si="143"/>
        <v>0</v>
      </c>
      <c r="BK247" s="35">
        <f t="shared" si="143"/>
        <v>0</v>
      </c>
      <c r="BL247" s="35">
        <f t="shared" si="143"/>
        <v>0</v>
      </c>
      <c r="BM247" s="35">
        <f t="shared" si="143"/>
        <v>0</v>
      </c>
      <c r="BN247" s="35">
        <f t="shared" si="143"/>
        <v>0</v>
      </c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30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30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30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30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</row>
    <row r="248" spans="1:147" ht="13">
      <c r="A248" s="2" t="s">
        <v>912</v>
      </c>
      <c r="B248" s="2" t="s">
        <v>903</v>
      </c>
      <c r="C248" s="2" t="s">
        <v>193</v>
      </c>
      <c r="D248" s="2" t="s">
        <v>62</v>
      </c>
      <c r="E248" s="7" t="s">
        <v>580</v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35">
        <f>AH95</f>
        <v>0</v>
      </c>
      <c r="AI248" s="35">
        <f t="shared" ref="AI248:AS248" si="144">AI95</f>
        <v>0</v>
      </c>
      <c r="AJ248" s="35">
        <f t="shared" si="144"/>
        <v>0</v>
      </c>
      <c r="AK248" s="35">
        <f t="shared" si="144"/>
        <v>0</v>
      </c>
      <c r="AL248" s="35">
        <f t="shared" si="144"/>
        <v>0</v>
      </c>
      <c r="AM248" s="35">
        <f t="shared" si="144"/>
        <v>0</v>
      </c>
      <c r="AN248" s="35">
        <f t="shared" si="144"/>
        <v>0</v>
      </c>
      <c r="AO248" s="35">
        <f t="shared" si="144"/>
        <v>0</v>
      </c>
      <c r="AP248" s="35">
        <f t="shared" si="144"/>
        <v>0</v>
      </c>
      <c r="AQ248" s="35">
        <f t="shared" si="144"/>
        <v>0</v>
      </c>
      <c r="AR248" s="35">
        <f t="shared" si="144"/>
        <v>0</v>
      </c>
      <c r="AS248" s="35">
        <f t="shared" si="144"/>
        <v>0</v>
      </c>
      <c r="AT248" s="35">
        <f t="shared" ref="AT248:BN248" si="145">AT95</f>
        <v>0</v>
      </c>
      <c r="AU248" s="35">
        <f t="shared" si="145"/>
        <v>0</v>
      </c>
      <c r="AV248" s="35">
        <f t="shared" si="145"/>
        <v>0</v>
      </c>
      <c r="AW248" s="35">
        <f t="shared" si="145"/>
        <v>0</v>
      </c>
      <c r="AX248" s="35">
        <f t="shared" si="145"/>
        <v>0</v>
      </c>
      <c r="AY248" s="35">
        <f t="shared" si="145"/>
        <v>0</v>
      </c>
      <c r="AZ248" s="35">
        <f t="shared" si="145"/>
        <v>0</v>
      </c>
      <c r="BA248" s="35">
        <f t="shared" si="145"/>
        <v>0</v>
      </c>
      <c r="BB248" s="35">
        <f t="shared" si="145"/>
        <v>0</v>
      </c>
      <c r="BC248" s="35">
        <f t="shared" si="145"/>
        <v>0</v>
      </c>
      <c r="BD248" s="35">
        <f t="shared" si="145"/>
        <v>0</v>
      </c>
      <c r="BE248" s="35">
        <f t="shared" si="145"/>
        <v>0</v>
      </c>
      <c r="BF248" s="35">
        <f t="shared" si="145"/>
        <v>0</v>
      </c>
      <c r="BG248" s="35">
        <f t="shared" si="145"/>
        <v>0</v>
      </c>
      <c r="BH248" s="35">
        <f t="shared" si="145"/>
        <v>0</v>
      </c>
      <c r="BI248" s="35">
        <f t="shared" si="145"/>
        <v>0</v>
      </c>
      <c r="BJ248" s="35">
        <f t="shared" si="145"/>
        <v>0</v>
      </c>
      <c r="BK248" s="35">
        <f t="shared" si="145"/>
        <v>0</v>
      </c>
      <c r="BL248" s="35">
        <f t="shared" si="145"/>
        <v>0</v>
      </c>
      <c r="BM248" s="35">
        <f t="shared" si="145"/>
        <v>0</v>
      </c>
      <c r="BN248" s="35">
        <f t="shared" si="145"/>
        <v>0</v>
      </c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30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30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30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30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</row>
    <row r="249" spans="1:147" ht="13">
      <c r="A249" s="2" t="s">
        <v>913</v>
      </c>
      <c r="B249" s="2" t="s">
        <v>903</v>
      </c>
      <c r="C249" s="2" t="s">
        <v>194</v>
      </c>
      <c r="D249" s="2" t="s">
        <v>64</v>
      </c>
      <c r="E249" s="7" t="s">
        <v>581</v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35">
        <f>IFERROR(AH248/AH240*100,0)</f>
        <v>0</v>
      </c>
      <c r="AI249" s="35">
        <f t="shared" ref="AI249:BN249" si="146">IFERROR(AI248/AI240*100,0)</f>
        <v>0</v>
      </c>
      <c r="AJ249" s="35">
        <f t="shared" si="146"/>
        <v>0</v>
      </c>
      <c r="AK249" s="35">
        <f t="shared" si="146"/>
        <v>0</v>
      </c>
      <c r="AL249" s="35">
        <f t="shared" si="146"/>
        <v>0</v>
      </c>
      <c r="AM249" s="35">
        <f t="shared" si="146"/>
        <v>0</v>
      </c>
      <c r="AN249" s="35">
        <f t="shared" si="146"/>
        <v>0</v>
      </c>
      <c r="AO249" s="35">
        <f t="shared" si="146"/>
        <v>0</v>
      </c>
      <c r="AP249" s="35">
        <f t="shared" si="146"/>
        <v>0</v>
      </c>
      <c r="AQ249" s="35">
        <f t="shared" si="146"/>
        <v>0</v>
      </c>
      <c r="AR249" s="35">
        <f t="shared" si="146"/>
        <v>0</v>
      </c>
      <c r="AS249" s="35">
        <f t="shared" si="146"/>
        <v>0</v>
      </c>
      <c r="AT249" s="35">
        <f t="shared" si="146"/>
        <v>0</v>
      </c>
      <c r="AU249" s="35">
        <f t="shared" si="146"/>
        <v>0</v>
      </c>
      <c r="AV249" s="35">
        <f t="shared" si="146"/>
        <v>0</v>
      </c>
      <c r="AW249" s="35">
        <f t="shared" si="146"/>
        <v>0</v>
      </c>
      <c r="AX249" s="35">
        <f t="shared" si="146"/>
        <v>0</v>
      </c>
      <c r="AY249" s="35">
        <f t="shared" si="146"/>
        <v>0</v>
      </c>
      <c r="AZ249" s="35">
        <f t="shared" si="146"/>
        <v>0</v>
      </c>
      <c r="BA249" s="35">
        <f t="shared" si="146"/>
        <v>0</v>
      </c>
      <c r="BB249" s="35">
        <f t="shared" si="146"/>
        <v>0</v>
      </c>
      <c r="BC249" s="35">
        <f t="shared" si="146"/>
        <v>0</v>
      </c>
      <c r="BD249" s="35">
        <f t="shared" si="146"/>
        <v>0</v>
      </c>
      <c r="BE249" s="35">
        <f t="shared" si="146"/>
        <v>0</v>
      </c>
      <c r="BF249" s="35">
        <f t="shared" si="146"/>
        <v>0</v>
      </c>
      <c r="BG249" s="35">
        <f t="shared" si="146"/>
        <v>0</v>
      </c>
      <c r="BH249" s="35">
        <f t="shared" si="146"/>
        <v>0</v>
      </c>
      <c r="BI249" s="35">
        <f t="shared" si="146"/>
        <v>0</v>
      </c>
      <c r="BJ249" s="35">
        <f t="shared" si="146"/>
        <v>0</v>
      </c>
      <c r="BK249" s="35">
        <f t="shared" si="146"/>
        <v>0</v>
      </c>
      <c r="BL249" s="35">
        <f t="shared" si="146"/>
        <v>0</v>
      </c>
      <c r="BM249" s="35">
        <f t="shared" si="146"/>
        <v>0</v>
      </c>
      <c r="BN249" s="35">
        <f t="shared" si="146"/>
        <v>0</v>
      </c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30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30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30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30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</row>
    <row r="250" spans="1:147" ht="13">
      <c r="A250" s="2" t="s">
        <v>914</v>
      </c>
      <c r="B250" s="2" t="s">
        <v>903</v>
      </c>
      <c r="C250" s="2" t="s">
        <v>204</v>
      </c>
      <c r="D250" s="2" t="s">
        <v>66</v>
      </c>
      <c r="E250" s="7" t="s">
        <v>582</v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35">
        <f>AH248+AH244-AH96+AH94+AH88-AH74-AH234</f>
        <v>0</v>
      </c>
      <c r="AI250" s="35">
        <f t="shared" ref="AI250:AS250" si="147">AI248+AI244-AI96+AI94+AI88-AI74-AI234</f>
        <v>0</v>
      </c>
      <c r="AJ250" s="35">
        <f t="shared" si="147"/>
        <v>0</v>
      </c>
      <c r="AK250" s="35">
        <f t="shared" si="147"/>
        <v>0</v>
      </c>
      <c r="AL250" s="35">
        <f t="shared" si="147"/>
        <v>0</v>
      </c>
      <c r="AM250" s="35">
        <f t="shared" si="147"/>
        <v>0</v>
      </c>
      <c r="AN250" s="35">
        <f t="shared" si="147"/>
        <v>0</v>
      </c>
      <c r="AO250" s="35">
        <f t="shared" si="147"/>
        <v>0</v>
      </c>
      <c r="AP250" s="35">
        <f t="shared" si="147"/>
        <v>0</v>
      </c>
      <c r="AQ250" s="35">
        <f t="shared" si="147"/>
        <v>0</v>
      </c>
      <c r="AR250" s="35">
        <f t="shared" si="147"/>
        <v>0</v>
      </c>
      <c r="AS250" s="35">
        <f t="shared" si="147"/>
        <v>0</v>
      </c>
      <c r="AT250" s="35">
        <f t="shared" ref="AT250:BN250" si="148">AT248+AT244-AT96+AT94+AT88-AT74-AT234</f>
        <v>0</v>
      </c>
      <c r="AU250" s="35">
        <f t="shared" si="148"/>
        <v>0</v>
      </c>
      <c r="AV250" s="35">
        <f t="shared" si="148"/>
        <v>0</v>
      </c>
      <c r="AW250" s="35">
        <f t="shared" si="148"/>
        <v>0</v>
      </c>
      <c r="AX250" s="35">
        <f t="shared" si="148"/>
        <v>0</v>
      </c>
      <c r="AY250" s="35">
        <f t="shared" si="148"/>
        <v>0</v>
      </c>
      <c r="AZ250" s="35">
        <f t="shared" si="148"/>
        <v>0</v>
      </c>
      <c r="BA250" s="35">
        <f t="shared" si="148"/>
        <v>0</v>
      </c>
      <c r="BB250" s="35">
        <f t="shared" si="148"/>
        <v>0</v>
      </c>
      <c r="BC250" s="35">
        <f t="shared" si="148"/>
        <v>0</v>
      </c>
      <c r="BD250" s="35">
        <f t="shared" si="148"/>
        <v>0</v>
      </c>
      <c r="BE250" s="35">
        <f t="shared" si="148"/>
        <v>0</v>
      </c>
      <c r="BF250" s="35">
        <f t="shared" si="148"/>
        <v>0</v>
      </c>
      <c r="BG250" s="35">
        <f t="shared" si="148"/>
        <v>0</v>
      </c>
      <c r="BH250" s="35">
        <f t="shared" si="148"/>
        <v>0</v>
      </c>
      <c r="BI250" s="35">
        <f t="shared" si="148"/>
        <v>0</v>
      </c>
      <c r="BJ250" s="35">
        <f t="shared" si="148"/>
        <v>0</v>
      </c>
      <c r="BK250" s="35">
        <f t="shared" si="148"/>
        <v>0</v>
      </c>
      <c r="BL250" s="35">
        <f t="shared" si="148"/>
        <v>0</v>
      </c>
      <c r="BM250" s="35">
        <f t="shared" si="148"/>
        <v>0</v>
      </c>
      <c r="BN250" s="35">
        <f t="shared" si="148"/>
        <v>0</v>
      </c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30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30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30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30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</row>
    <row r="251" spans="1:147" ht="13">
      <c r="A251" s="2" t="s">
        <v>915</v>
      </c>
      <c r="B251" s="2" t="s">
        <v>903</v>
      </c>
      <c r="C251" s="2" t="s">
        <v>205</v>
      </c>
      <c r="D251" s="2" t="s">
        <v>68</v>
      </c>
      <c r="E251" s="7" t="s">
        <v>583</v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35">
        <f t="shared" ref="AH251:BN251" si="149">AH192</f>
        <v>0</v>
      </c>
      <c r="AI251" s="35">
        <f t="shared" si="149"/>
        <v>0</v>
      </c>
      <c r="AJ251" s="35">
        <f t="shared" si="149"/>
        <v>0</v>
      </c>
      <c r="AK251" s="35">
        <f t="shared" si="149"/>
        <v>0</v>
      </c>
      <c r="AL251" s="35">
        <f t="shared" si="149"/>
        <v>0</v>
      </c>
      <c r="AM251" s="35">
        <f t="shared" si="149"/>
        <v>0</v>
      </c>
      <c r="AN251" s="35">
        <f t="shared" si="149"/>
        <v>0</v>
      </c>
      <c r="AO251" s="35">
        <f t="shared" si="149"/>
        <v>0</v>
      </c>
      <c r="AP251" s="35">
        <f t="shared" si="149"/>
        <v>0</v>
      </c>
      <c r="AQ251" s="35">
        <f t="shared" si="149"/>
        <v>0</v>
      </c>
      <c r="AR251" s="35">
        <f t="shared" si="149"/>
        <v>0</v>
      </c>
      <c r="AS251" s="35">
        <f t="shared" si="149"/>
        <v>0</v>
      </c>
      <c r="AT251" s="35">
        <f t="shared" si="149"/>
        <v>0</v>
      </c>
      <c r="AU251" s="35">
        <f t="shared" si="149"/>
        <v>0</v>
      </c>
      <c r="AV251" s="35">
        <f t="shared" si="149"/>
        <v>0</v>
      </c>
      <c r="AW251" s="35">
        <f t="shared" si="149"/>
        <v>0</v>
      </c>
      <c r="AX251" s="35">
        <f t="shared" si="149"/>
        <v>0</v>
      </c>
      <c r="AY251" s="35">
        <f t="shared" si="149"/>
        <v>0</v>
      </c>
      <c r="AZ251" s="35">
        <f t="shared" si="149"/>
        <v>0</v>
      </c>
      <c r="BA251" s="35">
        <f t="shared" si="149"/>
        <v>0</v>
      </c>
      <c r="BB251" s="35">
        <f t="shared" si="149"/>
        <v>0</v>
      </c>
      <c r="BC251" s="35">
        <f t="shared" si="149"/>
        <v>0</v>
      </c>
      <c r="BD251" s="35">
        <f t="shared" si="149"/>
        <v>0</v>
      </c>
      <c r="BE251" s="35">
        <f t="shared" si="149"/>
        <v>0</v>
      </c>
      <c r="BF251" s="35">
        <f t="shared" si="149"/>
        <v>0</v>
      </c>
      <c r="BG251" s="35">
        <f t="shared" si="149"/>
        <v>0</v>
      </c>
      <c r="BH251" s="35">
        <f t="shared" si="149"/>
        <v>0</v>
      </c>
      <c r="BI251" s="35">
        <f t="shared" si="149"/>
        <v>0</v>
      </c>
      <c r="BJ251" s="35">
        <f t="shared" si="149"/>
        <v>0</v>
      </c>
      <c r="BK251" s="35">
        <f t="shared" si="149"/>
        <v>0</v>
      </c>
      <c r="BL251" s="35">
        <f t="shared" si="149"/>
        <v>0</v>
      </c>
      <c r="BM251" s="35">
        <f t="shared" si="149"/>
        <v>0</v>
      </c>
      <c r="BN251" s="35">
        <f t="shared" si="149"/>
        <v>0</v>
      </c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30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30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30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30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</row>
    <row r="252" spans="1:147" ht="13">
      <c r="A252" s="2" t="s">
        <v>916</v>
      </c>
      <c r="B252" s="2" t="s">
        <v>903</v>
      </c>
      <c r="C252" s="2" t="s">
        <v>206</v>
      </c>
      <c r="D252" s="2" t="s">
        <v>70</v>
      </c>
      <c r="E252" s="7" t="s">
        <v>584</v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35">
        <f>AH217</f>
        <v>0</v>
      </c>
      <c r="AI252" s="35">
        <f t="shared" ref="AI252:BN252" si="150">AI217</f>
        <v>0</v>
      </c>
      <c r="AJ252" s="35">
        <f t="shared" si="150"/>
        <v>0</v>
      </c>
      <c r="AK252" s="35">
        <f t="shared" si="150"/>
        <v>0</v>
      </c>
      <c r="AL252" s="35">
        <f t="shared" si="150"/>
        <v>0</v>
      </c>
      <c r="AM252" s="35">
        <f t="shared" si="150"/>
        <v>0</v>
      </c>
      <c r="AN252" s="35">
        <f t="shared" si="150"/>
        <v>0</v>
      </c>
      <c r="AO252" s="35">
        <f t="shared" si="150"/>
        <v>0</v>
      </c>
      <c r="AP252" s="35">
        <f t="shared" si="150"/>
        <v>0</v>
      </c>
      <c r="AQ252" s="35">
        <f t="shared" si="150"/>
        <v>0</v>
      </c>
      <c r="AR252" s="35">
        <f t="shared" si="150"/>
        <v>0</v>
      </c>
      <c r="AS252" s="35">
        <f t="shared" si="150"/>
        <v>0</v>
      </c>
      <c r="AT252" s="35">
        <f t="shared" si="150"/>
        <v>0</v>
      </c>
      <c r="AU252" s="35">
        <f t="shared" si="150"/>
        <v>0</v>
      </c>
      <c r="AV252" s="35">
        <f t="shared" si="150"/>
        <v>0</v>
      </c>
      <c r="AW252" s="35">
        <f t="shared" si="150"/>
        <v>0</v>
      </c>
      <c r="AX252" s="35">
        <f t="shared" si="150"/>
        <v>0</v>
      </c>
      <c r="AY252" s="35">
        <f t="shared" si="150"/>
        <v>0</v>
      </c>
      <c r="AZ252" s="35">
        <f t="shared" si="150"/>
        <v>0</v>
      </c>
      <c r="BA252" s="35">
        <f t="shared" si="150"/>
        <v>0</v>
      </c>
      <c r="BB252" s="35">
        <f t="shared" si="150"/>
        <v>0</v>
      </c>
      <c r="BC252" s="35">
        <f t="shared" si="150"/>
        <v>0</v>
      </c>
      <c r="BD252" s="35">
        <f t="shared" si="150"/>
        <v>0</v>
      </c>
      <c r="BE252" s="35">
        <f t="shared" si="150"/>
        <v>0</v>
      </c>
      <c r="BF252" s="35">
        <f t="shared" si="150"/>
        <v>0</v>
      </c>
      <c r="BG252" s="35">
        <f t="shared" si="150"/>
        <v>0</v>
      </c>
      <c r="BH252" s="35">
        <f t="shared" si="150"/>
        <v>0</v>
      </c>
      <c r="BI252" s="35">
        <f t="shared" si="150"/>
        <v>0</v>
      </c>
      <c r="BJ252" s="35">
        <f t="shared" si="150"/>
        <v>0</v>
      </c>
      <c r="BK252" s="35">
        <f t="shared" si="150"/>
        <v>0</v>
      </c>
      <c r="BL252" s="35">
        <f t="shared" si="150"/>
        <v>0</v>
      </c>
      <c r="BM252" s="35">
        <f t="shared" si="150"/>
        <v>0</v>
      </c>
      <c r="BN252" s="35">
        <f t="shared" si="150"/>
        <v>0</v>
      </c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30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30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30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30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</row>
    <row r="253" spans="1:147" ht="13">
      <c r="A253" s="2" t="s">
        <v>917</v>
      </c>
      <c r="B253" s="2" t="s">
        <v>903</v>
      </c>
      <c r="C253" s="2" t="s">
        <v>207</v>
      </c>
      <c r="D253" s="2" t="s">
        <v>73</v>
      </c>
      <c r="E253" s="7" t="s">
        <v>437</v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35">
        <f>AH153</f>
        <v>0</v>
      </c>
      <c r="AI253" s="35">
        <f t="shared" ref="AI253:BN253" si="151">AI153</f>
        <v>0</v>
      </c>
      <c r="AJ253" s="35">
        <f t="shared" si="151"/>
        <v>0</v>
      </c>
      <c r="AK253" s="35">
        <f t="shared" si="151"/>
        <v>0</v>
      </c>
      <c r="AL253" s="35">
        <f t="shared" si="151"/>
        <v>0</v>
      </c>
      <c r="AM253" s="35">
        <f t="shared" si="151"/>
        <v>0</v>
      </c>
      <c r="AN253" s="35">
        <f t="shared" si="151"/>
        <v>0</v>
      </c>
      <c r="AO253" s="35">
        <f t="shared" si="151"/>
        <v>0</v>
      </c>
      <c r="AP253" s="35">
        <f t="shared" si="151"/>
        <v>0</v>
      </c>
      <c r="AQ253" s="35">
        <f t="shared" si="151"/>
        <v>0</v>
      </c>
      <c r="AR253" s="35">
        <f t="shared" si="151"/>
        <v>0</v>
      </c>
      <c r="AS253" s="35">
        <f t="shared" si="151"/>
        <v>0</v>
      </c>
      <c r="AT253" s="35">
        <f t="shared" si="151"/>
        <v>0</v>
      </c>
      <c r="AU253" s="35">
        <f t="shared" si="151"/>
        <v>0</v>
      </c>
      <c r="AV253" s="35">
        <f t="shared" si="151"/>
        <v>0</v>
      </c>
      <c r="AW253" s="35">
        <f t="shared" si="151"/>
        <v>0</v>
      </c>
      <c r="AX253" s="35">
        <f t="shared" si="151"/>
        <v>0</v>
      </c>
      <c r="AY253" s="35">
        <f t="shared" si="151"/>
        <v>0</v>
      </c>
      <c r="AZ253" s="35">
        <f t="shared" si="151"/>
        <v>0</v>
      </c>
      <c r="BA253" s="35">
        <f t="shared" si="151"/>
        <v>0</v>
      </c>
      <c r="BB253" s="35">
        <f t="shared" si="151"/>
        <v>0</v>
      </c>
      <c r="BC253" s="35">
        <f t="shared" si="151"/>
        <v>0</v>
      </c>
      <c r="BD253" s="35">
        <f t="shared" si="151"/>
        <v>0</v>
      </c>
      <c r="BE253" s="35">
        <f t="shared" si="151"/>
        <v>0</v>
      </c>
      <c r="BF253" s="35">
        <f t="shared" si="151"/>
        <v>0</v>
      </c>
      <c r="BG253" s="35">
        <f t="shared" si="151"/>
        <v>0</v>
      </c>
      <c r="BH253" s="35">
        <f t="shared" si="151"/>
        <v>0</v>
      </c>
      <c r="BI253" s="35">
        <f t="shared" si="151"/>
        <v>0</v>
      </c>
      <c r="BJ253" s="35">
        <f t="shared" si="151"/>
        <v>0</v>
      </c>
      <c r="BK253" s="35">
        <f t="shared" si="151"/>
        <v>0</v>
      </c>
      <c r="BL253" s="35">
        <f t="shared" si="151"/>
        <v>0</v>
      </c>
      <c r="BM253" s="35">
        <f t="shared" si="151"/>
        <v>0</v>
      </c>
      <c r="BN253" s="35">
        <f t="shared" si="151"/>
        <v>0</v>
      </c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30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30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30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30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</row>
    <row r="254" spans="1:147" ht="13">
      <c r="A254" s="2" t="s">
        <v>918</v>
      </c>
      <c r="B254" s="2" t="s">
        <v>903</v>
      </c>
      <c r="C254" s="2" t="s">
        <v>208</v>
      </c>
      <c r="D254" s="2" t="s">
        <v>75</v>
      </c>
      <c r="E254" s="9" t="s">
        <v>585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30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30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30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30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</row>
    <row r="255" spans="1:147" ht="13">
      <c r="A255" s="2" t="s">
        <v>919</v>
      </c>
      <c r="B255" s="2" t="s">
        <v>918</v>
      </c>
      <c r="C255" s="2" t="s">
        <v>586</v>
      </c>
      <c r="D255" s="2" t="s">
        <v>25</v>
      </c>
      <c r="E255" s="6" t="s">
        <v>129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0">
        <f t="shared" ref="AH255:AH256" si="152">AH196</f>
        <v>0</v>
      </c>
      <c r="AI255" s="20">
        <f t="shared" ref="AI255:BN255" si="153">AI196</f>
        <v>0</v>
      </c>
      <c r="AJ255" s="20">
        <f t="shared" si="153"/>
        <v>0</v>
      </c>
      <c r="AK255" s="20">
        <f t="shared" si="153"/>
        <v>0</v>
      </c>
      <c r="AL255" s="20">
        <f t="shared" si="153"/>
        <v>0</v>
      </c>
      <c r="AM255" s="20">
        <f t="shared" si="153"/>
        <v>0</v>
      </c>
      <c r="AN255" s="20">
        <f t="shared" si="153"/>
        <v>0</v>
      </c>
      <c r="AO255" s="20">
        <f t="shared" si="153"/>
        <v>0</v>
      </c>
      <c r="AP255" s="20">
        <f t="shared" si="153"/>
        <v>0</v>
      </c>
      <c r="AQ255" s="20">
        <f t="shared" si="153"/>
        <v>0</v>
      </c>
      <c r="AR255" s="20">
        <f t="shared" si="153"/>
        <v>0</v>
      </c>
      <c r="AS255" s="20">
        <f t="shared" si="153"/>
        <v>0</v>
      </c>
      <c r="AT255" s="20">
        <f t="shared" si="153"/>
        <v>0</v>
      </c>
      <c r="AU255" s="20">
        <f t="shared" si="153"/>
        <v>0</v>
      </c>
      <c r="AV255" s="20">
        <f t="shared" si="153"/>
        <v>0</v>
      </c>
      <c r="AW255" s="20">
        <f t="shared" si="153"/>
        <v>0</v>
      </c>
      <c r="AX255" s="20">
        <f t="shared" si="153"/>
        <v>0</v>
      </c>
      <c r="AY255" s="20">
        <f t="shared" si="153"/>
        <v>0</v>
      </c>
      <c r="AZ255" s="20">
        <f t="shared" si="153"/>
        <v>0</v>
      </c>
      <c r="BA255" s="20">
        <f t="shared" si="153"/>
        <v>0</v>
      </c>
      <c r="BB255" s="20">
        <f t="shared" si="153"/>
        <v>0</v>
      </c>
      <c r="BC255" s="20">
        <f t="shared" si="153"/>
        <v>0</v>
      </c>
      <c r="BD255" s="20">
        <f t="shared" si="153"/>
        <v>0</v>
      </c>
      <c r="BE255" s="20">
        <f t="shared" si="153"/>
        <v>0</v>
      </c>
      <c r="BF255" s="20">
        <f t="shared" si="153"/>
        <v>0</v>
      </c>
      <c r="BG255" s="20">
        <f t="shared" si="153"/>
        <v>0</v>
      </c>
      <c r="BH255" s="20">
        <f t="shared" si="153"/>
        <v>0</v>
      </c>
      <c r="BI255" s="20">
        <f t="shared" si="153"/>
        <v>0</v>
      </c>
      <c r="BJ255" s="20">
        <f t="shared" si="153"/>
        <v>0</v>
      </c>
      <c r="BK255" s="20">
        <f t="shared" si="153"/>
        <v>0</v>
      </c>
      <c r="BL255" s="20">
        <f t="shared" si="153"/>
        <v>0</v>
      </c>
      <c r="BM255" s="20">
        <f t="shared" si="153"/>
        <v>0</v>
      </c>
      <c r="BN255" s="20">
        <f t="shared" si="153"/>
        <v>0</v>
      </c>
      <c r="BO255" s="2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</row>
    <row r="256" spans="1:147" ht="13">
      <c r="A256" s="2" t="s">
        <v>920</v>
      </c>
      <c r="B256" s="2" t="s">
        <v>918</v>
      </c>
      <c r="C256" s="2" t="s">
        <v>587</v>
      </c>
      <c r="D256" s="2" t="s">
        <v>25</v>
      </c>
      <c r="E256" s="6" t="s">
        <v>588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0">
        <f t="shared" si="152"/>
        <v>0</v>
      </c>
      <c r="AI256" s="20">
        <f t="shared" ref="AI256:BN256" si="154">AI197</f>
        <v>0</v>
      </c>
      <c r="AJ256" s="20">
        <f t="shared" si="154"/>
        <v>0</v>
      </c>
      <c r="AK256" s="20">
        <f t="shared" si="154"/>
        <v>0</v>
      </c>
      <c r="AL256" s="20">
        <f t="shared" si="154"/>
        <v>0</v>
      </c>
      <c r="AM256" s="20">
        <f t="shared" si="154"/>
        <v>0</v>
      </c>
      <c r="AN256" s="20">
        <f t="shared" si="154"/>
        <v>0</v>
      </c>
      <c r="AO256" s="20">
        <f t="shared" si="154"/>
        <v>0</v>
      </c>
      <c r="AP256" s="20">
        <f t="shared" si="154"/>
        <v>0</v>
      </c>
      <c r="AQ256" s="20">
        <f t="shared" si="154"/>
        <v>0</v>
      </c>
      <c r="AR256" s="20">
        <f t="shared" si="154"/>
        <v>0</v>
      </c>
      <c r="AS256" s="20">
        <f t="shared" si="154"/>
        <v>0</v>
      </c>
      <c r="AT256" s="20">
        <f t="shared" si="154"/>
        <v>0</v>
      </c>
      <c r="AU256" s="20">
        <f t="shared" si="154"/>
        <v>0</v>
      </c>
      <c r="AV256" s="20">
        <f t="shared" si="154"/>
        <v>0</v>
      </c>
      <c r="AW256" s="20">
        <f t="shared" si="154"/>
        <v>0</v>
      </c>
      <c r="AX256" s="20">
        <f t="shared" si="154"/>
        <v>0</v>
      </c>
      <c r="AY256" s="20">
        <f t="shared" si="154"/>
        <v>0</v>
      </c>
      <c r="AZ256" s="20">
        <f t="shared" si="154"/>
        <v>0</v>
      </c>
      <c r="BA256" s="20">
        <f t="shared" si="154"/>
        <v>0</v>
      </c>
      <c r="BB256" s="20">
        <f t="shared" si="154"/>
        <v>0</v>
      </c>
      <c r="BC256" s="20">
        <f t="shared" si="154"/>
        <v>0</v>
      </c>
      <c r="BD256" s="20">
        <f t="shared" si="154"/>
        <v>0</v>
      </c>
      <c r="BE256" s="20">
        <f t="shared" si="154"/>
        <v>0</v>
      </c>
      <c r="BF256" s="20">
        <f t="shared" si="154"/>
        <v>0</v>
      </c>
      <c r="BG256" s="20">
        <f t="shared" si="154"/>
        <v>0</v>
      </c>
      <c r="BH256" s="20">
        <f t="shared" si="154"/>
        <v>0</v>
      </c>
      <c r="BI256" s="20">
        <f t="shared" si="154"/>
        <v>0</v>
      </c>
      <c r="BJ256" s="20">
        <f t="shared" si="154"/>
        <v>0</v>
      </c>
      <c r="BK256" s="20">
        <f t="shared" si="154"/>
        <v>0</v>
      </c>
      <c r="BL256" s="20">
        <f t="shared" si="154"/>
        <v>0</v>
      </c>
      <c r="BM256" s="20">
        <f t="shared" si="154"/>
        <v>0</v>
      </c>
      <c r="BN256" s="20">
        <f t="shared" si="154"/>
        <v>0</v>
      </c>
      <c r="BO256" s="2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</row>
    <row r="257" spans="1:147" ht="13">
      <c r="A257" s="2" t="s">
        <v>921</v>
      </c>
      <c r="B257" s="2" t="s">
        <v>903</v>
      </c>
      <c r="C257" s="2" t="s">
        <v>209</v>
      </c>
      <c r="D257" s="2" t="s">
        <v>77</v>
      </c>
      <c r="E257" s="7" t="s">
        <v>589</v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>
        <f t="shared" ref="AH257" si="155">AH252-AH255-AH256+AH253</f>
        <v>0</v>
      </c>
      <c r="AI257" s="20">
        <f t="shared" ref="AI257:BN257" si="156">AI252-AI255-AI256+AI253</f>
        <v>0</v>
      </c>
      <c r="AJ257" s="20">
        <f t="shared" si="156"/>
        <v>0</v>
      </c>
      <c r="AK257" s="20">
        <f t="shared" si="156"/>
        <v>0</v>
      </c>
      <c r="AL257" s="20">
        <f t="shared" si="156"/>
        <v>0</v>
      </c>
      <c r="AM257" s="20">
        <f t="shared" si="156"/>
        <v>0</v>
      </c>
      <c r="AN257" s="20">
        <f t="shared" si="156"/>
        <v>0</v>
      </c>
      <c r="AO257" s="20">
        <f t="shared" si="156"/>
        <v>0</v>
      </c>
      <c r="AP257" s="20">
        <f t="shared" si="156"/>
        <v>0</v>
      </c>
      <c r="AQ257" s="20">
        <f t="shared" si="156"/>
        <v>0</v>
      </c>
      <c r="AR257" s="20">
        <f t="shared" si="156"/>
        <v>0</v>
      </c>
      <c r="AS257" s="20">
        <f t="shared" si="156"/>
        <v>0</v>
      </c>
      <c r="AT257" s="20">
        <f t="shared" si="156"/>
        <v>0</v>
      </c>
      <c r="AU257" s="20">
        <f t="shared" si="156"/>
        <v>0</v>
      </c>
      <c r="AV257" s="20">
        <f t="shared" si="156"/>
        <v>0</v>
      </c>
      <c r="AW257" s="20">
        <f t="shared" si="156"/>
        <v>0</v>
      </c>
      <c r="AX257" s="20">
        <f t="shared" si="156"/>
        <v>0</v>
      </c>
      <c r="AY257" s="20">
        <f t="shared" si="156"/>
        <v>0</v>
      </c>
      <c r="AZ257" s="20">
        <f t="shared" si="156"/>
        <v>0</v>
      </c>
      <c r="BA257" s="20">
        <f t="shared" si="156"/>
        <v>0</v>
      </c>
      <c r="BB257" s="20">
        <f t="shared" si="156"/>
        <v>0</v>
      </c>
      <c r="BC257" s="20">
        <f t="shared" si="156"/>
        <v>0</v>
      </c>
      <c r="BD257" s="20">
        <f t="shared" si="156"/>
        <v>0</v>
      </c>
      <c r="BE257" s="20">
        <f t="shared" si="156"/>
        <v>0</v>
      </c>
      <c r="BF257" s="20">
        <f t="shared" si="156"/>
        <v>0</v>
      </c>
      <c r="BG257" s="20">
        <f t="shared" si="156"/>
        <v>0</v>
      </c>
      <c r="BH257" s="20">
        <f t="shared" si="156"/>
        <v>0</v>
      </c>
      <c r="BI257" s="20">
        <f t="shared" si="156"/>
        <v>0</v>
      </c>
      <c r="BJ257" s="20">
        <f t="shared" si="156"/>
        <v>0</v>
      </c>
      <c r="BK257" s="20">
        <f t="shared" si="156"/>
        <v>0</v>
      </c>
      <c r="BL257" s="20">
        <f t="shared" si="156"/>
        <v>0</v>
      </c>
      <c r="BM257" s="20">
        <f t="shared" si="156"/>
        <v>0</v>
      </c>
      <c r="BN257" s="20">
        <f t="shared" si="156"/>
        <v>0</v>
      </c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30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30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30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30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</row>
    <row r="258" spans="1:147" ht="13">
      <c r="A258" s="2" t="s">
        <v>922</v>
      </c>
      <c r="B258" s="2" t="s">
        <v>903</v>
      </c>
      <c r="C258" s="2" t="s">
        <v>210</v>
      </c>
      <c r="D258" s="2" t="s">
        <v>79</v>
      </c>
      <c r="E258" s="7" t="s">
        <v>590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>
        <f>AH138-AH137</f>
        <v>0</v>
      </c>
      <c r="AI258" s="20">
        <f t="shared" ref="AI258:BN258" si="157">AI138-AI137</f>
        <v>0</v>
      </c>
      <c r="AJ258" s="20">
        <f t="shared" si="157"/>
        <v>0</v>
      </c>
      <c r="AK258" s="20">
        <f t="shared" si="157"/>
        <v>0</v>
      </c>
      <c r="AL258" s="20">
        <f t="shared" si="157"/>
        <v>0</v>
      </c>
      <c r="AM258" s="20">
        <f t="shared" si="157"/>
        <v>0</v>
      </c>
      <c r="AN258" s="20">
        <f t="shared" si="157"/>
        <v>0</v>
      </c>
      <c r="AO258" s="20">
        <f t="shared" si="157"/>
        <v>0</v>
      </c>
      <c r="AP258" s="20">
        <f t="shared" si="157"/>
        <v>0</v>
      </c>
      <c r="AQ258" s="20">
        <f t="shared" si="157"/>
        <v>0</v>
      </c>
      <c r="AR258" s="20">
        <f t="shared" si="157"/>
        <v>0</v>
      </c>
      <c r="AS258" s="20">
        <f t="shared" si="157"/>
        <v>0</v>
      </c>
      <c r="AT258" s="20">
        <f t="shared" si="157"/>
        <v>0</v>
      </c>
      <c r="AU258" s="20">
        <f t="shared" si="157"/>
        <v>0</v>
      </c>
      <c r="AV258" s="20">
        <f t="shared" si="157"/>
        <v>0</v>
      </c>
      <c r="AW258" s="20">
        <f t="shared" si="157"/>
        <v>0</v>
      </c>
      <c r="AX258" s="20">
        <f t="shared" si="157"/>
        <v>0</v>
      </c>
      <c r="AY258" s="20">
        <f t="shared" si="157"/>
        <v>0</v>
      </c>
      <c r="AZ258" s="20">
        <f t="shared" si="157"/>
        <v>0</v>
      </c>
      <c r="BA258" s="20">
        <f t="shared" si="157"/>
        <v>0</v>
      </c>
      <c r="BB258" s="20">
        <f t="shared" si="157"/>
        <v>0</v>
      </c>
      <c r="BC258" s="20">
        <f t="shared" si="157"/>
        <v>0</v>
      </c>
      <c r="BD258" s="20">
        <f t="shared" si="157"/>
        <v>0</v>
      </c>
      <c r="BE258" s="20">
        <f t="shared" si="157"/>
        <v>0</v>
      </c>
      <c r="BF258" s="20">
        <f t="shared" si="157"/>
        <v>0</v>
      </c>
      <c r="BG258" s="20">
        <f t="shared" si="157"/>
        <v>0</v>
      </c>
      <c r="BH258" s="20">
        <f t="shared" si="157"/>
        <v>0</v>
      </c>
      <c r="BI258" s="20">
        <f t="shared" si="157"/>
        <v>0</v>
      </c>
      <c r="BJ258" s="20">
        <f t="shared" si="157"/>
        <v>0</v>
      </c>
      <c r="BK258" s="20">
        <f t="shared" si="157"/>
        <v>0</v>
      </c>
      <c r="BL258" s="20">
        <f t="shared" si="157"/>
        <v>0</v>
      </c>
      <c r="BM258" s="20">
        <f t="shared" si="157"/>
        <v>0</v>
      </c>
      <c r="BN258" s="20">
        <f t="shared" si="157"/>
        <v>0</v>
      </c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30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30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30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30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</row>
    <row r="259" spans="1:147" ht="13">
      <c r="A259" s="2" t="s">
        <v>923</v>
      </c>
      <c r="B259" s="2" t="s">
        <v>903</v>
      </c>
      <c r="C259" s="2" t="s">
        <v>211</v>
      </c>
      <c r="D259" s="2" t="s">
        <v>80</v>
      </c>
      <c r="E259" s="7" t="s">
        <v>591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>
        <f t="shared" ref="AH259" si="158">AH260+AH261</f>
        <v>0</v>
      </c>
      <c r="AI259" s="20">
        <f t="shared" ref="AI259:BN259" si="159">AI260+AI261</f>
        <v>0</v>
      </c>
      <c r="AJ259" s="20">
        <f t="shared" si="159"/>
        <v>0</v>
      </c>
      <c r="AK259" s="20">
        <f t="shared" si="159"/>
        <v>0</v>
      </c>
      <c r="AL259" s="20">
        <f t="shared" si="159"/>
        <v>0</v>
      </c>
      <c r="AM259" s="20">
        <f t="shared" si="159"/>
        <v>0</v>
      </c>
      <c r="AN259" s="20">
        <f t="shared" si="159"/>
        <v>0</v>
      </c>
      <c r="AO259" s="20">
        <f t="shared" si="159"/>
        <v>0</v>
      </c>
      <c r="AP259" s="20">
        <f t="shared" si="159"/>
        <v>0</v>
      </c>
      <c r="AQ259" s="20">
        <f t="shared" si="159"/>
        <v>0</v>
      </c>
      <c r="AR259" s="20">
        <f t="shared" si="159"/>
        <v>0</v>
      </c>
      <c r="AS259" s="20">
        <f t="shared" si="159"/>
        <v>0</v>
      </c>
      <c r="AT259" s="20">
        <f t="shared" si="159"/>
        <v>0</v>
      </c>
      <c r="AU259" s="20">
        <f t="shared" si="159"/>
        <v>0</v>
      </c>
      <c r="AV259" s="20">
        <f t="shared" si="159"/>
        <v>0</v>
      </c>
      <c r="AW259" s="20">
        <f t="shared" si="159"/>
        <v>0</v>
      </c>
      <c r="AX259" s="20">
        <f t="shared" si="159"/>
        <v>0</v>
      </c>
      <c r="AY259" s="20">
        <f t="shared" si="159"/>
        <v>0</v>
      </c>
      <c r="AZ259" s="20">
        <f t="shared" si="159"/>
        <v>0</v>
      </c>
      <c r="BA259" s="20">
        <f t="shared" si="159"/>
        <v>0</v>
      </c>
      <c r="BB259" s="20">
        <f t="shared" si="159"/>
        <v>0</v>
      </c>
      <c r="BC259" s="20">
        <f t="shared" si="159"/>
        <v>0</v>
      </c>
      <c r="BD259" s="20">
        <f t="shared" si="159"/>
        <v>0</v>
      </c>
      <c r="BE259" s="20">
        <f t="shared" si="159"/>
        <v>0</v>
      </c>
      <c r="BF259" s="20">
        <f t="shared" si="159"/>
        <v>0</v>
      </c>
      <c r="BG259" s="20">
        <f t="shared" si="159"/>
        <v>0</v>
      </c>
      <c r="BH259" s="20">
        <f t="shared" si="159"/>
        <v>0</v>
      </c>
      <c r="BI259" s="20">
        <f t="shared" si="159"/>
        <v>0</v>
      </c>
      <c r="BJ259" s="20">
        <f t="shared" si="159"/>
        <v>0</v>
      </c>
      <c r="BK259" s="20">
        <f t="shared" si="159"/>
        <v>0</v>
      </c>
      <c r="BL259" s="20">
        <f t="shared" si="159"/>
        <v>0</v>
      </c>
      <c r="BM259" s="20">
        <f t="shared" si="159"/>
        <v>0</v>
      </c>
      <c r="BN259" s="20">
        <f t="shared" si="159"/>
        <v>0</v>
      </c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30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30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30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30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</row>
    <row r="260" spans="1:147" ht="13">
      <c r="A260" s="2" t="s">
        <v>924</v>
      </c>
      <c r="B260" s="2" t="s">
        <v>903</v>
      </c>
      <c r="C260" s="2" t="s">
        <v>213</v>
      </c>
      <c r="D260" s="2" t="s">
        <v>25</v>
      </c>
      <c r="E260" s="7" t="s">
        <v>592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0">
        <f>AH114</f>
        <v>0</v>
      </c>
      <c r="AI260" s="20">
        <f t="shared" ref="AI260:BN260" si="160">AI114</f>
        <v>0</v>
      </c>
      <c r="AJ260" s="20">
        <f t="shared" si="160"/>
        <v>0</v>
      </c>
      <c r="AK260" s="20">
        <f t="shared" si="160"/>
        <v>0</v>
      </c>
      <c r="AL260" s="20">
        <f t="shared" si="160"/>
        <v>0</v>
      </c>
      <c r="AM260" s="20">
        <f t="shared" si="160"/>
        <v>0</v>
      </c>
      <c r="AN260" s="20">
        <f t="shared" si="160"/>
        <v>0</v>
      </c>
      <c r="AO260" s="20">
        <f t="shared" si="160"/>
        <v>0</v>
      </c>
      <c r="AP260" s="20">
        <f t="shared" si="160"/>
        <v>0</v>
      </c>
      <c r="AQ260" s="20">
        <f t="shared" si="160"/>
        <v>0</v>
      </c>
      <c r="AR260" s="20">
        <f t="shared" si="160"/>
        <v>0</v>
      </c>
      <c r="AS260" s="20">
        <f t="shared" si="160"/>
        <v>0</v>
      </c>
      <c r="AT260" s="20">
        <f t="shared" si="160"/>
        <v>0</v>
      </c>
      <c r="AU260" s="20">
        <f t="shared" si="160"/>
        <v>0</v>
      </c>
      <c r="AV260" s="20">
        <f t="shared" si="160"/>
        <v>0</v>
      </c>
      <c r="AW260" s="20">
        <f t="shared" si="160"/>
        <v>0</v>
      </c>
      <c r="AX260" s="20">
        <f t="shared" si="160"/>
        <v>0</v>
      </c>
      <c r="AY260" s="20">
        <f t="shared" si="160"/>
        <v>0</v>
      </c>
      <c r="AZ260" s="20">
        <f t="shared" si="160"/>
        <v>0</v>
      </c>
      <c r="BA260" s="20">
        <f t="shared" si="160"/>
        <v>0</v>
      </c>
      <c r="BB260" s="20">
        <f t="shared" si="160"/>
        <v>0</v>
      </c>
      <c r="BC260" s="20">
        <f t="shared" si="160"/>
        <v>0</v>
      </c>
      <c r="BD260" s="20">
        <f t="shared" si="160"/>
        <v>0</v>
      </c>
      <c r="BE260" s="20">
        <f t="shared" si="160"/>
        <v>0</v>
      </c>
      <c r="BF260" s="20">
        <f t="shared" si="160"/>
        <v>0</v>
      </c>
      <c r="BG260" s="20">
        <f t="shared" si="160"/>
        <v>0</v>
      </c>
      <c r="BH260" s="20">
        <f t="shared" si="160"/>
        <v>0</v>
      </c>
      <c r="BI260" s="20">
        <f t="shared" si="160"/>
        <v>0</v>
      </c>
      <c r="BJ260" s="20">
        <f t="shared" si="160"/>
        <v>0</v>
      </c>
      <c r="BK260" s="20">
        <f t="shared" si="160"/>
        <v>0</v>
      </c>
      <c r="BL260" s="20">
        <f t="shared" si="160"/>
        <v>0</v>
      </c>
      <c r="BM260" s="20">
        <f t="shared" si="160"/>
        <v>0</v>
      </c>
      <c r="BN260" s="20">
        <f t="shared" si="160"/>
        <v>0</v>
      </c>
      <c r="BO260" s="2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</row>
    <row r="261" spans="1:147" ht="13">
      <c r="A261" s="2" t="s">
        <v>925</v>
      </c>
      <c r="B261" s="2" t="s">
        <v>903</v>
      </c>
      <c r="C261" s="2" t="s">
        <v>214</v>
      </c>
      <c r="D261" s="2" t="s">
        <v>25</v>
      </c>
      <c r="E261" s="7" t="s">
        <v>593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0">
        <f>AH108+AH107</f>
        <v>0</v>
      </c>
      <c r="AI261" s="20">
        <f t="shared" ref="AI261:BN261" si="161">AI108+AI107</f>
        <v>0</v>
      </c>
      <c r="AJ261" s="20">
        <f t="shared" si="161"/>
        <v>0</v>
      </c>
      <c r="AK261" s="20">
        <f t="shared" si="161"/>
        <v>0</v>
      </c>
      <c r="AL261" s="20">
        <f t="shared" si="161"/>
        <v>0</v>
      </c>
      <c r="AM261" s="20">
        <f t="shared" si="161"/>
        <v>0</v>
      </c>
      <c r="AN261" s="20">
        <f t="shared" si="161"/>
        <v>0</v>
      </c>
      <c r="AO261" s="20">
        <f t="shared" si="161"/>
        <v>0</v>
      </c>
      <c r="AP261" s="20">
        <f t="shared" si="161"/>
        <v>0</v>
      </c>
      <c r="AQ261" s="20">
        <f t="shared" si="161"/>
        <v>0</v>
      </c>
      <c r="AR261" s="20">
        <f t="shared" si="161"/>
        <v>0</v>
      </c>
      <c r="AS261" s="20">
        <f t="shared" si="161"/>
        <v>0</v>
      </c>
      <c r="AT261" s="20">
        <f t="shared" si="161"/>
        <v>0</v>
      </c>
      <c r="AU261" s="20">
        <f t="shared" si="161"/>
        <v>0</v>
      </c>
      <c r="AV261" s="20">
        <f t="shared" si="161"/>
        <v>0</v>
      </c>
      <c r="AW261" s="20">
        <f t="shared" si="161"/>
        <v>0</v>
      </c>
      <c r="AX261" s="20">
        <f t="shared" si="161"/>
        <v>0</v>
      </c>
      <c r="AY261" s="20">
        <f t="shared" si="161"/>
        <v>0</v>
      </c>
      <c r="AZ261" s="20">
        <f t="shared" si="161"/>
        <v>0</v>
      </c>
      <c r="BA261" s="20">
        <f t="shared" si="161"/>
        <v>0</v>
      </c>
      <c r="BB261" s="20">
        <f t="shared" si="161"/>
        <v>0</v>
      </c>
      <c r="BC261" s="20">
        <f t="shared" si="161"/>
        <v>0</v>
      </c>
      <c r="BD261" s="20">
        <f t="shared" si="161"/>
        <v>0</v>
      </c>
      <c r="BE261" s="20">
        <f t="shared" si="161"/>
        <v>0</v>
      </c>
      <c r="BF261" s="20">
        <f t="shared" si="161"/>
        <v>0</v>
      </c>
      <c r="BG261" s="20">
        <f t="shared" si="161"/>
        <v>0</v>
      </c>
      <c r="BH261" s="20">
        <f t="shared" si="161"/>
        <v>0</v>
      </c>
      <c r="BI261" s="20">
        <f t="shared" si="161"/>
        <v>0</v>
      </c>
      <c r="BJ261" s="20">
        <f t="shared" si="161"/>
        <v>0</v>
      </c>
      <c r="BK261" s="20">
        <f t="shared" si="161"/>
        <v>0</v>
      </c>
      <c r="BL261" s="20">
        <f t="shared" si="161"/>
        <v>0</v>
      </c>
      <c r="BM261" s="20">
        <f t="shared" si="161"/>
        <v>0</v>
      </c>
      <c r="BN261" s="20">
        <f t="shared" si="161"/>
        <v>0</v>
      </c>
      <c r="BO261" s="2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</row>
    <row r="262" spans="1:147" ht="13">
      <c r="A262" s="2" t="s">
        <v>926</v>
      </c>
      <c r="B262" s="2" t="s">
        <v>903</v>
      </c>
      <c r="C262" s="2" t="s">
        <v>216</v>
      </c>
      <c r="D262" s="2" t="s">
        <v>81</v>
      </c>
      <c r="E262" s="7" t="s">
        <v>594</v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>
        <f>AH106</f>
        <v>0</v>
      </c>
      <c r="AI262" s="20">
        <f t="shared" ref="AI262:BN262" si="162">AI106</f>
        <v>0</v>
      </c>
      <c r="AJ262" s="20">
        <f t="shared" si="162"/>
        <v>0</v>
      </c>
      <c r="AK262" s="20">
        <f t="shared" si="162"/>
        <v>0</v>
      </c>
      <c r="AL262" s="20">
        <f t="shared" si="162"/>
        <v>0</v>
      </c>
      <c r="AM262" s="20">
        <f t="shared" si="162"/>
        <v>0</v>
      </c>
      <c r="AN262" s="20">
        <f t="shared" si="162"/>
        <v>0</v>
      </c>
      <c r="AO262" s="20">
        <f t="shared" si="162"/>
        <v>0</v>
      </c>
      <c r="AP262" s="20">
        <f t="shared" si="162"/>
        <v>0</v>
      </c>
      <c r="AQ262" s="20">
        <f t="shared" si="162"/>
        <v>0</v>
      </c>
      <c r="AR262" s="20">
        <f t="shared" si="162"/>
        <v>0</v>
      </c>
      <c r="AS262" s="20">
        <f t="shared" si="162"/>
        <v>0</v>
      </c>
      <c r="AT262" s="20">
        <f t="shared" si="162"/>
        <v>0</v>
      </c>
      <c r="AU262" s="20">
        <f t="shared" si="162"/>
        <v>0</v>
      </c>
      <c r="AV262" s="20">
        <f t="shared" si="162"/>
        <v>0</v>
      </c>
      <c r="AW262" s="20">
        <f t="shared" si="162"/>
        <v>0</v>
      </c>
      <c r="AX262" s="20">
        <f t="shared" si="162"/>
        <v>0</v>
      </c>
      <c r="AY262" s="20">
        <f t="shared" si="162"/>
        <v>0</v>
      </c>
      <c r="AZ262" s="20">
        <f t="shared" si="162"/>
        <v>0</v>
      </c>
      <c r="BA262" s="20">
        <f t="shared" si="162"/>
        <v>0</v>
      </c>
      <c r="BB262" s="20">
        <f t="shared" si="162"/>
        <v>0</v>
      </c>
      <c r="BC262" s="20">
        <f t="shared" si="162"/>
        <v>0</v>
      </c>
      <c r="BD262" s="20">
        <f t="shared" si="162"/>
        <v>0</v>
      </c>
      <c r="BE262" s="20">
        <f t="shared" si="162"/>
        <v>0</v>
      </c>
      <c r="BF262" s="20">
        <f t="shared" si="162"/>
        <v>0</v>
      </c>
      <c r="BG262" s="20">
        <f t="shared" si="162"/>
        <v>0</v>
      </c>
      <c r="BH262" s="20">
        <f t="shared" si="162"/>
        <v>0</v>
      </c>
      <c r="BI262" s="20">
        <f t="shared" si="162"/>
        <v>0</v>
      </c>
      <c r="BJ262" s="20">
        <f t="shared" si="162"/>
        <v>0</v>
      </c>
      <c r="BK262" s="20">
        <f t="shared" si="162"/>
        <v>0</v>
      </c>
      <c r="BL262" s="20">
        <f t="shared" si="162"/>
        <v>0</v>
      </c>
      <c r="BM262" s="20">
        <f t="shared" si="162"/>
        <v>0</v>
      </c>
      <c r="BN262" s="20">
        <f t="shared" si="162"/>
        <v>0</v>
      </c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30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30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30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30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</row>
    <row r="263" spans="1:147" ht="13">
      <c r="A263" s="2" t="s">
        <v>927</v>
      </c>
      <c r="B263" s="2" t="s">
        <v>903</v>
      </c>
      <c r="C263" s="2" t="s">
        <v>595</v>
      </c>
      <c r="D263" s="2" t="s">
        <v>82</v>
      </c>
      <c r="E263" s="7" t="s">
        <v>596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0">
        <f t="shared" ref="AH263" si="163">AH258+AH259+AH262</f>
        <v>0</v>
      </c>
      <c r="AI263" s="20">
        <f t="shared" ref="AI263:BN263" si="164">AI258+AI259+AI262</f>
        <v>0</v>
      </c>
      <c r="AJ263" s="20">
        <f t="shared" si="164"/>
        <v>0</v>
      </c>
      <c r="AK263" s="20">
        <f t="shared" si="164"/>
        <v>0</v>
      </c>
      <c r="AL263" s="20">
        <f t="shared" si="164"/>
        <v>0</v>
      </c>
      <c r="AM263" s="20">
        <f t="shared" si="164"/>
        <v>0</v>
      </c>
      <c r="AN263" s="20">
        <f t="shared" si="164"/>
        <v>0</v>
      </c>
      <c r="AO263" s="20">
        <f t="shared" si="164"/>
        <v>0</v>
      </c>
      <c r="AP263" s="20">
        <f t="shared" si="164"/>
        <v>0</v>
      </c>
      <c r="AQ263" s="20">
        <f t="shared" si="164"/>
        <v>0</v>
      </c>
      <c r="AR263" s="20">
        <f t="shared" si="164"/>
        <v>0</v>
      </c>
      <c r="AS263" s="20">
        <f t="shared" si="164"/>
        <v>0</v>
      </c>
      <c r="AT263" s="20">
        <f t="shared" si="164"/>
        <v>0</v>
      </c>
      <c r="AU263" s="20">
        <f t="shared" si="164"/>
        <v>0</v>
      </c>
      <c r="AV263" s="20">
        <f t="shared" si="164"/>
        <v>0</v>
      </c>
      <c r="AW263" s="20">
        <f t="shared" si="164"/>
        <v>0</v>
      </c>
      <c r="AX263" s="20">
        <f t="shared" si="164"/>
        <v>0</v>
      </c>
      <c r="AY263" s="20">
        <f t="shared" si="164"/>
        <v>0</v>
      </c>
      <c r="AZ263" s="20">
        <f t="shared" si="164"/>
        <v>0</v>
      </c>
      <c r="BA263" s="20">
        <f t="shared" si="164"/>
        <v>0</v>
      </c>
      <c r="BB263" s="20">
        <f t="shared" si="164"/>
        <v>0</v>
      </c>
      <c r="BC263" s="20">
        <f t="shared" si="164"/>
        <v>0</v>
      </c>
      <c r="BD263" s="20">
        <f t="shared" si="164"/>
        <v>0</v>
      </c>
      <c r="BE263" s="20">
        <f t="shared" si="164"/>
        <v>0</v>
      </c>
      <c r="BF263" s="20">
        <f t="shared" si="164"/>
        <v>0</v>
      </c>
      <c r="BG263" s="20">
        <f t="shared" si="164"/>
        <v>0</v>
      </c>
      <c r="BH263" s="20">
        <f t="shared" si="164"/>
        <v>0</v>
      </c>
      <c r="BI263" s="20">
        <f t="shared" si="164"/>
        <v>0</v>
      </c>
      <c r="BJ263" s="20">
        <f t="shared" si="164"/>
        <v>0</v>
      </c>
      <c r="BK263" s="20">
        <f t="shared" si="164"/>
        <v>0</v>
      </c>
      <c r="BL263" s="20">
        <f t="shared" si="164"/>
        <v>0</v>
      </c>
      <c r="BM263" s="20">
        <f t="shared" si="164"/>
        <v>0</v>
      </c>
      <c r="BN263" s="20">
        <f t="shared" si="164"/>
        <v>0</v>
      </c>
      <c r="BO263" s="2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</row>
    <row r="264" spans="1:147" ht="13">
      <c r="A264" s="2" t="s">
        <v>928</v>
      </c>
      <c r="B264" s="2" t="s">
        <v>903</v>
      </c>
      <c r="C264" s="2" t="s">
        <v>597</v>
      </c>
      <c r="D264" s="2" t="s">
        <v>83</v>
      </c>
      <c r="E264" s="7" t="s">
        <v>598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0">
        <f t="shared" ref="AH264" si="165">AH231</f>
        <v>0</v>
      </c>
      <c r="AI264" s="20">
        <f t="shared" ref="AI264:BN264" si="166">AI231</f>
        <v>0</v>
      </c>
      <c r="AJ264" s="20">
        <f t="shared" si="166"/>
        <v>0</v>
      </c>
      <c r="AK264" s="20">
        <f t="shared" si="166"/>
        <v>0</v>
      </c>
      <c r="AL264" s="20">
        <f t="shared" si="166"/>
        <v>0</v>
      </c>
      <c r="AM264" s="20">
        <f t="shared" si="166"/>
        <v>0</v>
      </c>
      <c r="AN264" s="20">
        <f t="shared" si="166"/>
        <v>0</v>
      </c>
      <c r="AO264" s="20">
        <f t="shared" si="166"/>
        <v>0</v>
      </c>
      <c r="AP264" s="20">
        <f t="shared" si="166"/>
        <v>0</v>
      </c>
      <c r="AQ264" s="20">
        <f t="shared" si="166"/>
        <v>0</v>
      </c>
      <c r="AR264" s="20">
        <f t="shared" si="166"/>
        <v>0</v>
      </c>
      <c r="AS264" s="20">
        <f t="shared" si="166"/>
        <v>0</v>
      </c>
      <c r="AT264" s="20">
        <f t="shared" si="166"/>
        <v>0</v>
      </c>
      <c r="AU264" s="20">
        <f t="shared" si="166"/>
        <v>0</v>
      </c>
      <c r="AV264" s="20">
        <f t="shared" si="166"/>
        <v>0</v>
      </c>
      <c r="AW264" s="20">
        <f t="shared" si="166"/>
        <v>0</v>
      </c>
      <c r="AX264" s="20">
        <f t="shared" si="166"/>
        <v>0</v>
      </c>
      <c r="AY264" s="20">
        <f t="shared" si="166"/>
        <v>0</v>
      </c>
      <c r="AZ264" s="20">
        <f t="shared" si="166"/>
        <v>0</v>
      </c>
      <c r="BA264" s="20">
        <f t="shared" si="166"/>
        <v>0</v>
      </c>
      <c r="BB264" s="20">
        <f t="shared" si="166"/>
        <v>0</v>
      </c>
      <c r="BC264" s="20">
        <f t="shared" si="166"/>
        <v>0</v>
      </c>
      <c r="BD264" s="20">
        <f t="shared" si="166"/>
        <v>0</v>
      </c>
      <c r="BE264" s="20">
        <f t="shared" si="166"/>
        <v>0</v>
      </c>
      <c r="BF264" s="20">
        <f t="shared" si="166"/>
        <v>0</v>
      </c>
      <c r="BG264" s="20">
        <f t="shared" si="166"/>
        <v>0</v>
      </c>
      <c r="BH264" s="20">
        <f t="shared" si="166"/>
        <v>0</v>
      </c>
      <c r="BI264" s="20">
        <f t="shared" si="166"/>
        <v>0</v>
      </c>
      <c r="BJ264" s="20">
        <f t="shared" si="166"/>
        <v>0</v>
      </c>
      <c r="BK264" s="20">
        <f t="shared" si="166"/>
        <v>0</v>
      </c>
      <c r="BL264" s="20">
        <f t="shared" si="166"/>
        <v>0</v>
      </c>
      <c r="BM264" s="20">
        <f t="shared" si="166"/>
        <v>0</v>
      </c>
      <c r="BN264" s="20">
        <f t="shared" si="166"/>
        <v>0</v>
      </c>
      <c r="BO264" s="2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</row>
    <row r="265" spans="1:147" ht="13">
      <c r="A265" s="2" t="s">
        <v>929</v>
      </c>
      <c r="B265" s="2" t="s">
        <v>903</v>
      </c>
      <c r="C265" s="2" t="s">
        <v>599</v>
      </c>
      <c r="D265" s="2" t="s">
        <v>84</v>
      </c>
      <c r="E265" s="7" t="s">
        <v>600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0">
        <f t="shared" ref="AH265" si="167">AH258+AH259+AH262+AH264</f>
        <v>0</v>
      </c>
      <c r="AI265" s="20">
        <f t="shared" ref="AI265:BN265" si="168">AI258+AI259+AI262+AI264</f>
        <v>0</v>
      </c>
      <c r="AJ265" s="20">
        <f t="shared" si="168"/>
        <v>0</v>
      </c>
      <c r="AK265" s="20">
        <f t="shared" si="168"/>
        <v>0</v>
      </c>
      <c r="AL265" s="20">
        <f t="shared" si="168"/>
        <v>0</v>
      </c>
      <c r="AM265" s="20">
        <f t="shared" si="168"/>
        <v>0</v>
      </c>
      <c r="AN265" s="20">
        <f t="shared" si="168"/>
        <v>0</v>
      </c>
      <c r="AO265" s="20">
        <f t="shared" si="168"/>
        <v>0</v>
      </c>
      <c r="AP265" s="20">
        <f t="shared" si="168"/>
        <v>0</v>
      </c>
      <c r="AQ265" s="20">
        <f t="shared" si="168"/>
        <v>0</v>
      </c>
      <c r="AR265" s="20">
        <f t="shared" si="168"/>
        <v>0</v>
      </c>
      <c r="AS265" s="20">
        <f t="shared" si="168"/>
        <v>0</v>
      </c>
      <c r="AT265" s="20">
        <f t="shared" si="168"/>
        <v>0</v>
      </c>
      <c r="AU265" s="20">
        <f t="shared" si="168"/>
        <v>0</v>
      </c>
      <c r="AV265" s="20">
        <f t="shared" si="168"/>
        <v>0</v>
      </c>
      <c r="AW265" s="20">
        <f t="shared" si="168"/>
        <v>0</v>
      </c>
      <c r="AX265" s="20">
        <f t="shared" si="168"/>
        <v>0</v>
      </c>
      <c r="AY265" s="20">
        <f t="shared" si="168"/>
        <v>0</v>
      </c>
      <c r="AZ265" s="20">
        <f t="shared" si="168"/>
        <v>0</v>
      </c>
      <c r="BA265" s="20">
        <f t="shared" si="168"/>
        <v>0</v>
      </c>
      <c r="BB265" s="20">
        <f t="shared" si="168"/>
        <v>0</v>
      </c>
      <c r="BC265" s="20">
        <f t="shared" si="168"/>
        <v>0</v>
      </c>
      <c r="BD265" s="20">
        <f t="shared" si="168"/>
        <v>0</v>
      </c>
      <c r="BE265" s="20">
        <f t="shared" si="168"/>
        <v>0</v>
      </c>
      <c r="BF265" s="20">
        <f t="shared" si="168"/>
        <v>0</v>
      </c>
      <c r="BG265" s="20">
        <f t="shared" si="168"/>
        <v>0</v>
      </c>
      <c r="BH265" s="20">
        <f t="shared" si="168"/>
        <v>0</v>
      </c>
      <c r="BI265" s="20">
        <f t="shared" si="168"/>
        <v>0</v>
      </c>
      <c r="BJ265" s="20">
        <f t="shared" si="168"/>
        <v>0</v>
      </c>
      <c r="BK265" s="20">
        <f t="shared" si="168"/>
        <v>0</v>
      </c>
      <c r="BL265" s="20">
        <f t="shared" si="168"/>
        <v>0</v>
      </c>
      <c r="BM265" s="20">
        <f t="shared" si="168"/>
        <v>0</v>
      </c>
      <c r="BN265" s="20">
        <f t="shared" si="168"/>
        <v>0</v>
      </c>
      <c r="BO265" s="2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</row>
    <row r="266" spans="1:147" ht="13">
      <c r="A266" s="2" t="s">
        <v>930</v>
      </c>
      <c r="B266" s="2" t="s">
        <v>903</v>
      </c>
      <c r="C266" s="2" t="s">
        <v>601</v>
      </c>
      <c r="D266" s="2" t="s">
        <v>85</v>
      </c>
      <c r="E266" s="9" t="s">
        <v>602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0">
        <f>AH137</f>
        <v>0</v>
      </c>
      <c r="AI266" s="20">
        <f t="shared" ref="AI266:BN266" si="169">AI137</f>
        <v>0</v>
      </c>
      <c r="AJ266" s="20">
        <f t="shared" si="169"/>
        <v>0</v>
      </c>
      <c r="AK266" s="20">
        <f t="shared" si="169"/>
        <v>0</v>
      </c>
      <c r="AL266" s="20">
        <f t="shared" si="169"/>
        <v>0</v>
      </c>
      <c r="AM266" s="20">
        <f t="shared" si="169"/>
        <v>0</v>
      </c>
      <c r="AN266" s="20">
        <f t="shared" si="169"/>
        <v>0</v>
      </c>
      <c r="AO266" s="20">
        <f t="shared" si="169"/>
        <v>0</v>
      </c>
      <c r="AP266" s="20">
        <f t="shared" si="169"/>
        <v>0</v>
      </c>
      <c r="AQ266" s="20">
        <f t="shared" si="169"/>
        <v>0</v>
      </c>
      <c r="AR266" s="20">
        <f t="shared" si="169"/>
        <v>0</v>
      </c>
      <c r="AS266" s="20">
        <f t="shared" si="169"/>
        <v>0</v>
      </c>
      <c r="AT266" s="20">
        <f t="shared" si="169"/>
        <v>0</v>
      </c>
      <c r="AU266" s="20">
        <f t="shared" si="169"/>
        <v>0</v>
      </c>
      <c r="AV266" s="20">
        <f t="shared" si="169"/>
        <v>0</v>
      </c>
      <c r="AW266" s="20">
        <f t="shared" si="169"/>
        <v>0</v>
      </c>
      <c r="AX266" s="20">
        <f t="shared" si="169"/>
        <v>0</v>
      </c>
      <c r="AY266" s="20">
        <f t="shared" si="169"/>
        <v>0</v>
      </c>
      <c r="AZ266" s="20">
        <f t="shared" si="169"/>
        <v>0</v>
      </c>
      <c r="BA266" s="20">
        <f t="shared" si="169"/>
        <v>0</v>
      </c>
      <c r="BB266" s="20">
        <f t="shared" si="169"/>
        <v>0</v>
      </c>
      <c r="BC266" s="20">
        <f t="shared" si="169"/>
        <v>0</v>
      </c>
      <c r="BD266" s="20">
        <f t="shared" si="169"/>
        <v>0</v>
      </c>
      <c r="BE266" s="20">
        <f t="shared" si="169"/>
        <v>0</v>
      </c>
      <c r="BF266" s="20">
        <f t="shared" si="169"/>
        <v>0</v>
      </c>
      <c r="BG266" s="20">
        <f t="shared" si="169"/>
        <v>0</v>
      </c>
      <c r="BH266" s="20">
        <f t="shared" si="169"/>
        <v>0</v>
      </c>
      <c r="BI266" s="20">
        <f t="shared" si="169"/>
        <v>0</v>
      </c>
      <c r="BJ266" s="20">
        <f t="shared" si="169"/>
        <v>0</v>
      </c>
      <c r="BK266" s="20">
        <f t="shared" si="169"/>
        <v>0</v>
      </c>
      <c r="BL266" s="20">
        <f t="shared" si="169"/>
        <v>0</v>
      </c>
      <c r="BM266" s="20">
        <f t="shared" si="169"/>
        <v>0</v>
      </c>
      <c r="BN266" s="20">
        <f t="shared" si="169"/>
        <v>0</v>
      </c>
      <c r="BO266" s="2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</row>
    <row r="267" spans="1:147" ht="13">
      <c r="A267" s="2" t="s">
        <v>931</v>
      </c>
      <c r="B267" s="2" t="s">
        <v>903</v>
      </c>
      <c r="C267" s="2" t="s">
        <v>603</v>
      </c>
      <c r="D267" s="2" t="s">
        <v>86</v>
      </c>
      <c r="E267" s="7" t="s">
        <v>604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0">
        <f>AH139+AH264</f>
        <v>0</v>
      </c>
      <c r="AI267" s="20">
        <f t="shared" ref="AI267:BN267" si="170">AI139+AI264</f>
        <v>0</v>
      </c>
      <c r="AJ267" s="20">
        <f t="shared" si="170"/>
        <v>0</v>
      </c>
      <c r="AK267" s="20">
        <f t="shared" si="170"/>
        <v>0</v>
      </c>
      <c r="AL267" s="20">
        <f t="shared" si="170"/>
        <v>0</v>
      </c>
      <c r="AM267" s="20">
        <f t="shared" si="170"/>
        <v>0</v>
      </c>
      <c r="AN267" s="20">
        <f t="shared" si="170"/>
        <v>0</v>
      </c>
      <c r="AO267" s="20">
        <f t="shared" si="170"/>
        <v>0</v>
      </c>
      <c r="AP267" s="20">
        <f t="shared" si="170"/>
        <v>0</v>
      </c>
      <c r="AQ267" s="20">
        <f t="shared" si="170"/>
        <v>0</v>
      </c>
      <c r="AR267" s="20">
        <f t="shared" si="170"/>
        <v>0</v>
      </c>
      <c r="AS267" s="20">
        <f t="shared" si="170"/>
        <v>0</v>
      </c>
      <c r="AT267" s="20">
        <f t="shared" si="170"/>
        <v>0</v>
      </c>
      <c r="AU267" s="20">
        <f t="shared" si="170"/>
        <v>0</v>
      </c>
      <c r="AV267" s="20">
        <f t="shared" si="170"/>
        <v>0</v>
      </c>
      <c r="AW267" s="20">
        <f t="shared" si="170"/>
        <v>0</v>
      </c>
      <c r="AX267" s="20">
        <f t="shared" si="170"/>
        <v>0</v>
      </c>
      <c r="AY267" s="20">
        <f t="shared" si="170"/>
        <v>0</v>
      </c>
      <c r="AZ267" s="20">
        <f t="shared" si="170"/>
        <v>0</v>
      </c>
      <c r="BA267" s="20">
        <f t="shared" si="170"/>
        <v>0</v>
      </c>
      <c r="BB267" s="20">
        <f t="shared" si="170"/>
        <v>0</v>
      </c>
      <c r="BC267" s="20">
        <f t="shared" si="170"/>
        <v>0</v>
      </c>
      <c r="BD267" s="20">
        <f t="shared" si="170"/>
        <v>0</v>
      </c>
      <c r="BE267" s="20">
        <f t="shared" si="170"/>
        <v>0</v>
      </c>
      <c r="BF267" s="20">
        <f t="shared" si="170"/>
        <v>0</v>
      </c>
      <c r="BG267" s="20">
        <f t="shared" si="170"/>
        <v>0</v>
      </c>
      <c r="BH267" s="20">
        <f t="shared" si="170"/>
        <v>0</v>
      </c>
      <c r="BI267" s="20">
        <f t="shared" si="170"/>
        <v>0</v>
      </c>
      <c r="BJ267" s="20">
        <f t="shared" si="170"/>
        <v>0</v>
      </c>
      <c r="BK267" s="20">
        <f t="shared" si="170"/>
        <v>0</v>
      </c>
      <c r="BL267" s="20">
        <f t="shared" si="170"/>
        <v>0</v>
      </c>
      <c r="BM267" s="20">
        <f t="shared" si="170"/>
        <v>0</v>
      </c>
      <c r="BN267" s="20">
        <f t="shared" si="170"/>
        <v>0</v>
      </c>
      <c r="BO267" s="2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</row>
    <row r="268" spans="1:147" ht="13">
      <c r="A268" s="2" t="s">
        <v>932</v>
      </c>
      <c r="B268" s="2" t="s">
        <v>903</v>
      </c>
      <c r="C268" s="2" t="s">
        <v>605</v>
      </c>
      <c r="D268" s="2" t="s">
        <v>87</v>
      </c>
      <c r="E268" s="7" t="s">
        <v>606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0">
        <f>IFERROR(AH258/AH252,0)</f>
        <v>0</v>
      </c>
      <c r="AI268" s="20">
        <f t="shared" ref="AI268:BN268" si="171">IFERROR(AI258/AI252,0)</f>
        <v>0</v>
      </c>
      <c r="AJ268" s="20">
        <f t="shared" si="171"/>
        <v>0</v>
      </c>
      <c r="AK268" s="20">
        <f t="shared" si="171"/>
        <v>0</v>
      </c>
      <c r="AL268" s="20">
        <f t="shared" si="171"/>
        <v>0</v>
      </c>
      <c r="AM268" s="20">
        <f t="shared" si="171"/>
        <v>0</v>
      </c>
      <c r="AN268" s="20">
        <f t="shared" si="171"/>
        <v>0</v>
      </c>
      <c r="AO268" s="20">
        <f t="shared" si="171"/>
        <v>0</v>
      </c>
      <c r="AP268" s="20">
        <f t="shared" si="171"/>
        <v>0</v>
      </c>
      <c r="AQ268" s="20">
        <f t="shared" si="171"/>
        <v>0</v>
      </c>
      <c r="AR268" s="20">
        <f t="shared" si="171"/>
        <v>0</v>
      </c>
      <c r="AS268" s="20">
        <f t="shared" si="171"/>
        <v>0</v>
      </c>
      <c r="AT268" s="20">
        <f t="shared" si="171"/>
        <v>0</v>
      </c>
      <c r="AU268" s="20">
        <f t="shared" si="171"/>
        <v>0</v>
      </c>
      <c r="AV268" s="20">
        <f t="shared" si="171"/>
        <v>0</v>
      </c>
      <c r="AW268" s="20">
        <f t="shared" si="171"/>
        <v>0</v>
      </c>
      <c r="AX268" s="20">
        <f t="shared" si="171"/>
        <v>0</v>
      </c>
      <c r="AY268" s="20">
        <f t="shared" si="171"/>
        <v>0</v>
      </c>
      <c r="AZ268" s="20">
        <f t="shared" si="171"/>
        <v>0</v>
      </c>
      <c r="BA268" s="20">
        <f t="shared" si="171"/>
        <v>0</v>
      </c>
      <c r="BB268" s="20">
        <f t="shared" si="171"/>
        <v>0</v>
      </c>
      <c r="BC268" s="20">
        <f t="shared" si="171"/>
        <v>0</v>
      </c>
      <c r="BD268" s="20">
        <f t="shared" si="171"/>
        <v>0</v>
      </c>
      <c r="BE268" s="20">
        <f t="shared" si="171"/>
        <v>0</v>
      </c>
      <c r="BF268" s="20">
        <f t="shared" si="171"/>
        <v>0</v>
      </c>
      <c r="BG268" s="20">
        <f t="shared" si="171"/>
        <v>0</v>
      </c>
      <c r="BH268" s="20">
        <f t="shared" si="171"/>
        <v>0</v>
      </c>
      <c r="BI268" s="20">
        <f t="shared" si="171"/>
        <v>0</v>
      </c>
      <c r="BJ268" s="20">
        <f t="shared" si="171"/>
        <v>0</v>
      </c>
      <c r="BK268" s="20">
        <f t="shared" si="171"/>
        <v>0</v>
      </c>
      <c r="BL268" s="20">
        <f t="shared" si="171"/>
        <v>0</v>
      </c>
      <c r="BM268" s="20">
        <f t="shared" si="171"/>
        <v>0</v>
      </c>
      <c r="BN268" s="20">
        <f t="shared" si="171"/>
        <v>0</v>
      </c>
      <c r="BO268" s="2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</row>
    <row r="269" spans="1:147" ht="13">
      <c r="A269" s="2" t="s">
        <v>933</v>
      </c>
      <c r="B269" s="2" t="s">
        <v>903</v>
      </c>
      <c r="C269" s="2" t="s">
        <v>607</v>
      </c>
      <c r="D269" s="2" t="s">
        <v>88</v>
      </c>
      <c r="E269" s="7" t="s">
        <v>608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0">
        <f>IFERROR(AH258/AH257,0)</f>
        <v>0</v>
      </c>
      <c r="AI269" s="20">
        <f t="shared" ref="AI269:BN269" si="172">IFERROR(AI258/AI257,0)</f>
        <v>0</v>
      </c>
      <c r="AJ269" s="20">
        <f t="shared" si="172"/>
        <v>0</v>
      </c>
      <c r="AK269" s="20">
        <f t="shared" si="172"/>
        <v>0</v>
      </c>
      <c r="AL269" s="20">
        <f t="shared" si="172"/>
        <v>0</v>
      </c>
      <c r="AM269" s="20">
        <f t="shared" si="172"/>
        <v>0</v>
      </c>
      <c r="AN269" s="20">
        <f t="shared" si="172"/>
        <v>0</v>
      </c>
      <c r="AO269" s="20">
        <f t="shared" si="172"/>
        <v>0</v>
      </c>
      <c r="AP269" s="20">
        <f t="shared" si="172"/>
        <v>0</v>
      </c>
      <c r="AQ269" s="20">
        <f t="shared" si="172"/>
        <v>0</v>
      </c>
      <c r="AR269" s="20">
        <f t="shared" si="172"/>
        <v>0</v>
      </c>
      <c r="AS269" s="20">
        <f t="shared" si="172"/>
        <v>0</v>
      </c>
      <c r="AT269" s="20">
        <f t="shared" si="172"/>
        <v>0</v>
      </c>
      <c r="AU269" s="20">
        <f t="shared" si="172"/>
        <v>0</v>
      </c>
      <c r="AV269" s="20">
        <f t="shared" si="172"/>
        <v>0</v>
      </c>
      <c r="AW269" s="20">
        <f t="shared" si="172"/>
        <v>0</v>
      </c>
      <c r="AX269" s="20">
        <f t="shared" si="172"/>
        <v>0</v>
      </c>
      <c r="AY269" s="20">
        <f t="shared" si="172"/>
        <v>0</v>
      </c>
      <c r="AZ269" s="20">
        <f t="shared" si="172"/>
        <v>0</v>
      </c>
      <c r="BA269" s="20">
        <f t="shared" si="172"/>
        <v>0</v>
      </c>
      <c r="BB269" s="20">
        <f t="shared" si="172"/>
        <v>0</v>
      </c>
      <c r="BC269" s="20">
        <f t="shared" si="172"/>
        <v>0</v>
      </c>
      <c r="BD269" s="20">
        <f t="shared" si="172"/>
        <v>0</v>
      </c>
      <c r="BE269" s="20">
        <f t="shared" si="172"/>
        <v>0</v>
      </c>
      <c r="BF269" s="20">
        <f t="shared" si="172"/>
        <v>0</v>
      </c>
      <c r="BG269" s="20">
        <f t="shared" si="172"/>
        <v>0</v>
      </c>
      <c r="BH269" s="20">
        <f t="shared" si="172"/>
        <v>0</v>
      </c>
      <c r="BI269" s="20">
        <f t="shared" si="172"/>
        <v>0</v>
      </c>
      <c r="BJ269" s="20">
        <f t="shared" si="172"/>
        <v>0</v>
      </c>
      <c r="BK269" s="20">
        <f t="shared" si="172"/>
        <v>0</v>
      </c>
      <c r="BL269" s="20">
        <f t="shared" si="172"/>
        <v>0</v>
      </c>
      <c r="BM269" s="20">
        <f t="shared" si="172"/>
        <v>0</v>
      </c>
      <c r="BN269" s="20">
        <f t="shared" si="172"/>
        <v>0</v>
      </c>
      <c r="BO269" s="2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</row>
    <row r="270" spans="1:147" ht="13">
      <c r="A270" s="2" t="s">
        <v>934</v>
      </c>
      <c r="B270" s="2" t="s">
        <v>903</v>
      </c>
      <c r="C270" s="2" t="s">
        <v>609</v>
      </c>
      <c r="D270" s="2" t="s">
        <v>89</v>
      </c>
      <c r="E270" s="7" t="s">
        <v>610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0">
        <f>IFERROR(AH265/AH252,0)</f>
        <v>0</v>
      </c>
      <c r="AI270" s="20">
        <f t="shared" ref="AI270:BN270" si="173">IFERROR(AI265/AI252,0)</f>
        <v>0</v>
      </c>
      <c r="AJ270" s="20">
        <f t="shared" si="173"/>
        <v>0</v>
      </c>
      <c r="AK270" s="20">
        <f t="shared" si="173"/>
        <v>0</v>
      </c>
      <c r="AL270" s="20">
        <f t="shared" si="173"/>
        <v>0</v>
      </c>
      <c r="AM270" s="20">
        <f t="shared" si="173"/>
        <v>0</v>
      </c>
      <c r="AN270" s="20">
        <f t="shared" si="173"/>
        <v>0</v>
      </c>
      <c r="AO270" s="20">
        <f t="shared" si="173"/>
        <v>0</v>
      </c>
      <c r="AP270" s="20">
        <f t="shared" si="173"/>
        <v>0</v>
      </c>
      <c r="AQ270" s="20">
        <f t="shared" si="173"/>
        <v>0</v>
      </c>
      <c r="AR270" s="20">
        <f t="shared" si="173"/>
        <v>0</v>
      </c>
      <c r="AS270" s="20">
        <f t="shared" si="173"/>
        <v>0</v>
      </c>
      <c r="AT270" s="20">
        <f t="shared" si="173"/>
        <v>0</v>
      </c>
      <c r="AU270" s="20">
        <f t="shared" si="173"/>
        <v>0</v>
      </c>
      <c r="AV270" s="20">
        <f t="shared" si="173"/>
        <v>0</v>
      </c>
      <c r="AW270" s="20">
        <f t="shared" si="173"/>
        <v>0</v>
      </c>
      <c r="AX270" s="20">
        <f t="shared" si="173"/>
        <v>0</v>
      </c>
      <c r="AY270" s="20">
        <f t="shared" si="173"/>
        <v>0</v>
      </c>
      <c r="AZ270" s="20">
        <f t="shared" si="173"/>
        <v>0</v>
      </c>
      <c r="BA270" s="20">
        <f t="shared" si="173"/>
        <v>0</v>
      </c>
      <c r="BB270" s="20">
        <f t="shared" si="173"/>
        <v>0</v>
      </c>
      <c r="BC270" s="20">
        <f t="shared" si="173"/>
        <v>0</v>
      </c>
      <c r="BD270" s="20">
        <f t="shared" si="173"/>
        <v>0</v>
      </c>
      <c r="BE270" s="20">
        <f t="shared" si="173"/>
        <v>0</v>
      </c>
      <c r="BF270" s="20">
        <f t="shared" si="173"/>
        <v>0</v>
      </c>
      <c r="BG270" s="20">
        <f t="shared" si="173"/>
        <v>0</v>
      </c>
      <c r="BH270" s="20">
        <f t="shared" si="173"/>
        <v>0</v>
      </c>
      <c r="BI270" s="20">
        <f t="shared" si="173"/>
        <v>0</v>
      </c>
      <c r="BJ270" s="20">
        <f t="shared" si="173"/>
        <v>0</v>
      </c>
      <c r="BK270" s="20">
        <f t="shared" si="173"/>
        <v>0</v>
      </c>
      <c r="BL270" s="20">
        <f t="shared" si="173"/>
        <v>0</v>
      </c>
      <c r="BM270" s="20">
        <f t="shared" si="173"/>
        <v>0</v>
      </c>
      <c r="BN270" s="20">
        <f t="shared" si="173"/>
        <v>0</v>
      </c>
      <c r="BO270" s="2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</row>
    <row r="271" spans="1:147" ht="13">
      <c r="A271" s="2" t="s">
        <v>935</v>
      </c>
      <c r="B271" s="2" t="s">
        <v>903</v>
      </c>
      <c r="C271" s="2" t="s">
        <v>611</v>
      </c>
      <c r="D271" s="2" t="s">
        <v>90</v>
      </c>
      <c r="E271" s="7" t="s">
        <v>612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0">
        <f>IFERROR(AH265/AH257,0)</f>
        <v>0</v>
      </c>
      <c r="AI271" s="20">
        <f t="shared" ref="AI271:BN271" si="174">IFERROR(AI265/AI257,0)</f>
        <v>0</v>
      </c>
      <c r="AJ271" s="20">
        <f t="shared" si="174"/>
        <v>0</v>
      </c>
      <c r="AK271" s="20">
        <f t="shared" si="174"/>
        <v>0</v>
      </c>
      <c r="AL271" s="20">
        <f t="shared" si="174"/>
        <v>0</v>
      </c>
      <c r="AM271" s="20">
        <f t="shared" si="174"/>
        <v>0</v>
      </c>
      <c r="AN271" s="20">
        <f t="shared" si="174"/>
        <v>0</v>
      </c>
      <c r="AO271" s="20">
        <f t="shared" si="174"/>
        <v>0</v>
      </c>
      <c r="AP271" s="20">
        <f t="shared" si="174"/>
        <v>0</v>
      </c>
      <c r="AQ271" s="20">
        <f t="shared" si="174"/>
        <v>0</v>
      </c>
      <c r="AR271" s="20">
        <f t="shared" si="174"/>
        <v>0</v>
      </c>
      <c r="AS271" s="20">
        <f t="shared" si="174"/>
        <v>0</v>
      </c>
      <c r="AT271" s="20">
        <f t="shared" si="174"/>
        <v>0</v>
      </c>
      <c r="AU271" s="20">
        <f t="shared" si="174"/>
        <v>0</v>
      </c>
      <c r="AV271" s="20">
        <f t="shared" si="174"/>
        <v>0</v>
      </c>
      <c r="AW271" s="20">
        <f t="shared" si="174"/>
        <v>0</v>
      </c>
      <c r="AX271" s="20">
        <f t="shared" si="174"/>
        <v>0</v>
      </c>
      <c r="AY271" s="20">
        <f t="shared" si="174"/>
        <v>0</v>
      </c>
      <c r="AZ271" s="20">
        <f t="shared" si="174"/>
        <v>0</v>
      </c>
      <c r="BA271" s="20">
        <f t="shared" si="174"/>
        <v>0</v>
      </c>
      <c r="BB271" s="20">
        <f t="shared" si="174"/>
        <v>0</v>
      </c>
      <c r="BC271" s="20">
        <f t="shared" si="174"/>
        <v>0</v>
      </c>
      <c r="BD271" s="20">
        <f t="shared" si="174"/>
        <v>0</v>
      </c>
      <c r="BE271" s="20">
        <f t="shared" si="174"/>
        <v>0</v>
      </c>
      <c r="BF271" s="20">
        <f t="shared" si="174"/>
        <v>0</v>
      </c>
      <c r="BG271" s="20">
        <f t="shared" si="174"/>
        <v>0</v>
      </c>
      <c r="BH271" s="20">
        <f t="shared" si="174"/>
        <v>0</v>
      </c>
      <c r="BI271" s="20">
        <f t="shared" si="174"/>
        <v>0</v>
      </c>
      <c r="BJ271" s="20">
        <f t="shared" si="174"/>
        <v>0</v>
      </c>
      <c r="BK271" s="20">
        <f t="shared" si="174"/>
        <v>0</v>
      </c>
      <c r="BL271" s="20">
        <f t="shared" si="174"/>
        <v>0</v>
      </c>
      <c r="BM271" s="20">
        <f t="shared" si="174"/>
        <v>0</v>
      </c>
      <c r="BN271" s="20">
        <f t="shared" si="174"/>
        <v>0</v>
      </c>
      <c r="BO271" s="2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</row>
    <row r="272" spans="1:147" ht="13">
      <c r="A272" s="2" t="s">
        <v>936</v>
      </c>
      <c r="B272" s="2" t="s">
        <v>903</v>
      </c>
      <c r="C272" s="2" t="s">
        <v>613</v>
      </c>
      <c r="D272" s="2" t="s">
        <v>453</v>
      </c>
      <c r="E272" s="7" t="s">
        <v>614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0">
        <f>IFERROR(AH265/(AH241*12/AH10),0)</f>
        <v>0</v>
      </c>
      <c r="AI272" s="20">
        <f t="shared" ref="AI272:BN272" si="175">IFERROR(AI265/(AI241*12/AI10),0)</f>
        <v>0</v>
      </c>
      <c r="AJ272" s="20">
        <f t="shared" si="175"/>
        <v>0</v>
      </c>
      <c r="AK272" s="20">
        <f t="shared" si="175"/>
        <v>0</v>
      </c>
      <c r="AL272" s="20">
        <f t="shared" si="175"/>
        <v>0</v>
      </c>
      <c r="AM272" s="20">
        <f t="shared" si="175"/>
        <v>0</v>
      </c>
      <c r="AN272" s="20">
        <f t="shared" si="175"/>
        <v>0</v>
      </c>
      <c r="AO272" s="20">
        <f t="shared" si="175"/>
        <v>0</v>
      </c>
      <c r="AP272" s="20">
        <f t="shared" si="175"/>
        <v>0</v>
      </c>
      <c r="AQ272" s="20">
        <f t="shared" si="175"/>
        <v>0</v>
      </c>
      <c r="AR272" s="20">
        <f t="shared" si="175"/>
        <v>0</v>
      </c>
      <c r="AS272" s="20">
        <f t="shared" si="175"/>
        <v>0</v>
      </c>
      <c r="AT272" s="20">
        <f t="shared" si="175"/>
        <v>0</v>
      </c>
      <c r="AU272" s="20">
        <f t="shared" si="175"/>
        <v>0</v>
      </c>
      <c r="AV272" s="20">
        <f t="shared" si="175"/>
        <v>0</v>
      </c>
      <c r="AW272" s="20">
        <f t="shared" si="175"/>
        <v>0</v>
      </c>
      <c r="AX272" s="20">
        <f t="shared" si="175"/>
        <v>0</v>
      </c>
      <c r="AY272" s="20">
        <f t="shared" si="175"/>
        <v>0</v>
      </c>
      <c r="AZ272" s="20">
        <f t="shared" si="175"/>
        <v>0</v>
      </c>
      <c r="BA272" s="20">
        <f t="shared" si="175"/>
        <v>0</v>
      </c>
      <c r="BB272" s="20">
        <f t="shared" si="175"/>
        <v>0</v>
      </c>
      <c r="BC272" s="20">
        <f t="shared" si="175"/>
        <v>0</v>
      </c>
      <c r="BD272" s="20">
        <f t="shared" si="175"/>
        <v>0</v>
      </c>
      <c r="BE272" s="20">
        <f t="shared" si="175"/>
        <v>0</v>
      </c>
      <c r="BF272" s="20">
        <f t="shared" si="175"/>
        <v>0</v>
      </c>
      <c r="BG272" s="20">
        <f t="shared" si="175"/>
        <v>0</v>
      </c>
      <c r="BH272" s="20">
        <f t="shared" si="175"/>
        <v>0</v>
      </c>
      <c r="BI272" s="20">
        <f t="shared" si="175"/>
        <v>0</v>
      </c>
      <c r="BJ272" s="20">
        <f t="shared" si="175"/>
        <v>0</v>
      </c>
      <c r="BK272" s="20">
        <f t="shared" si="175"/>
        <v>0</v>
      </c>
      <c r="BL272" s="20">
        <f t="shared" si="175"/>
        <v>0</v>
      </c>
      <c r="BM272" s="20">
        <f t="shared" si="175"/>
        <v>0</v>
      </c>
      <c r="BN272" s="20">
        <f t="shared" si="175"/>
        <v>0</v>
      </c>
      <c r="BO272" s="2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</row>
    <row r="273" spans="1:147" ht="13">
      <c r="A273" s="2" t="s">
        <v>937</v>
      </c>
      <c r="B273" s="2" t="s">
        <v>903</v>
      </c>
      <c r="C273" s="2" t="s">
        <v>615</v>
      </c>
      <c r="D273" s="2" t="s">
        <v>455</v>
      </c>
      <c r="E273" s="7" t="s">
        <v>616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0">
        <f>IFERROR(AH265/(AH250*12/AH10),0)</f>
        <v>0</v>
      </c>
      <c r="AI273" s="20">
        <f t="shared" ref="AI273:BN273" si="176">IFERROR(AI265/(AI250*12/AI10),0)</f>
        <v>0</v>
      </c>
      <c r="AJ273" s="20">
        <f t="shared" si="176"/>
        <v>0</v>
      </c>
      <c r="AK273" s="20">
        <f t="shared" si="176"/>
        <v>0</v>
      </c>
      <c r="AL273" s="20">
        <f t="shared" si="176"/>
        <v>0</v>
      </c>
      <c r="AM273" s="20">
        <f t="shared" si="176"/>
        <v>0</v>
      </c>
      <c r="AN273" s="20">
        <f t="shared" si="176"/>
        <v>0</v>
      </c>
      <c r="AO273" s="20">
        <f t="shared" si="176"/>
        <v>0</v>
      </c>
      <c r="AP273" s="20">
        <f t="shared" si="176"/>
        <v>0</v>
      </c>
      <c r="AQ273" s="20">
        <f t="shared" si="176"/>
        <v>0</v>
      </c>
      <c r="AR273" s="20">
        <f t="shared" si="176"/>
        <v>0</v>
      </c>
      <c r="AS273" s="20">
        <f t="shared" si="176"/>
        <v>0</v>
      </c>
      <c r="AT273" s="20">
        <f t="shared" si="176"/>
        <v>0</v>
      </c>
      <c r="AU273" s="20">
        <f t="shared" si="176"/>
        <v>0</v>
      </c>
      <c r="AV273" s="20">
        <f t="shared" si="176"/>
        <v>0</v>
      </c>
      <c r="AW273" s="20">
        <f t="shared" si="176"/>
        <v>0</v>
      </c>
      <c r="AX273" s="20">
        <f t="shared" si="176"/>
        <v>0</v>
      </c>
      <c r="AY273" s="20">
        <f t="shared" si="176"/>
        <v>0</v>
      </c>
      <c r="AZ273" s="20">
        <f t="shared" si="176"/>
        <v>0</v>
      </c>
      <c r="BA273" s="20">
        <f t="shared" si="176"/>
        <v>0</v>
      </c>
      <c r="BB273" s="20">
        <f t="shared" si="176"/>
        <v>0</v>
      </c>
      <c r="BC273" s="20">
        <f t="shared" si="176"/>
        <v>0</v>
      </c>
      <c r="BD273" s="20">
        <f t="shared" si="176"/>
        <v>0</v>
      </c>
      <c r="BE273" s="20">
        <f t="shared" si="176"/>
        <v>0</v>
      </c>
      <c r="BF273" s="20">
        <f t="shared" si="176"/>
        <v>0</v>
      </c>
      <c r="BG273" s="20">
        <f t="shared" si="176"/>
        <v>0</v>
      </c>
      <c r="BH273" s="20">
        <f t="shared" si="176"/>
        <v>0</v>
      </c>
      <c r="BI273" s="20">
        <f t="shared" si="176"/>
        <v>0</v>
      </c>
      <c r="BJ273" s="20">
        <f t="shared" si="176"/>
        <v>0</v>
      </c>
      <c r="BK273" s="20">
        <f t="shared" si="176"/>
        <v>0</v>
      </c>
      <c r="BL273" s="20">
        <f t="shared" si="176"/>
        <v>0</v>
      </c>
      <c r="BM273" s="20">
        <f t="shared" si="176"/>
        <v>0</v>
      </c>
      <c r="BN273" s="20">
        <f t="shared" si="176"/>
        <v>0</v>
      </c>
      <c r="BO273" s="2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</row>
    <row r="274" spans="1:147" ht="13">
      <c r="A274" s="2" t="s">
        <v>938</v>
      </c>
      <c r="B274" s="2" t="s">
        <v>903</v>
      </c>
      <c r="C274" s="2" t="s">
        <v>617</v>
      </c>
      <c r="D274" s="2" t="s">
        <v>457</v>
      </c>
      <c r="E274" s="7" t="s">
        <v>618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0">
        <f>IFERROR(AH267/AH252,0)</f>
        <v>0</v>
      </c>
      <c r="AI274" s="20">
        <f t="shared" ref="AI274:BN274" si="177">IFERROR(AI267/AI252,0)</f>
        <v>0</v>
      </c>
      <c r="AJ274" s="20">
        <f t="shared" si="177"/>
        <v>0</v>
      </c>
      <c r="AK274" s="20">
        <f t="shared" si="177"/>
        <v>0</v>
      </c>
      <c r="AL274" s="20">
        <f t="shared" si="177"/>
        <v>0</v>
      </c>
      <c r="AM274" s="20">
        <f t="shared" si="177"/>
        <v>0</v>
      </c>
      <c r="AN274" s="20">
        <f t="shared" si="177"/>
        <v>0</v>
      </c>
      <c r="AO274" s="20">
        <f t="shared" si="177"/>
        <v>0</v>
      </c>
      <c r="AP274" s="20">
        <f t="shared" si="177"/>
        <v>0</v>
      </c>
      <c r="AQ274" s="20">
        <f t="shared" si="177"/>
        <v>0</v>
      </c>
      <c r="AR274" s="20">
        <f t="shared" si="177"/>
        <v>0</v>
      </c>
      <c r="AS274" s="20">
        <f t="shared" si="177"/>
        <v>0</v>
      </c>
      <c r="AT274" s="20">
        <f t="shared" si="177"/>
        <v>0</v>
      </c>
      <c r="AU274" s="20">
        <f t="shared" si="177"/>
        <v>0</v>
      </c>
      <c r="AV274" s="20">
        <f t="shared" si="177"/>
        <v>0</v>
      </c>
      <c r="AW274" s="20">
        <f t="shared" si="177"/>
        <v>0</v>
      </c>
      <c r="AX274" s="20">
        <f t="shared" si="177"/>
        <v>0</v>
      </c>
      <c r="AY274" s="20">
        <f t="shared" si="177"/>
        <v>0</v>
      </c>
      <c r="AZ274" s="20">
        <f t="shared" si="177"/>
        <v>0</v>
      </c>
      <c r="BA274" s="20">
        <f t="shared" si="177"/>
        <v>0</v>
      </c>
      <c r="BB274" s="20">
        <f t="shared" si="177"/>
        <v>0</v>
      </c>
      <c r="BC274" s="20">
        <f t="shared" si="177"/>
        <v>0</v>
      </c>
      <c r="BD274" s="20">
        <f t="shared" si="177"/>
        <v>0</v>
      </c>
      <c r="BE274" s="20">
        <f t="shared" si="177"/>
        <v>0</v>
      </c>
      <c r="BF274" s="20">
        <f t="shared" si="177"/>
        <v>0</v>
      </c>
      <c r="BG274" s="20">
        <f t="shared" si="177"/>
        <v>0</v>
      </c>
      <c r="BH274" s="20">
        <f t="shared" si="177"/>
        <v>0</v>
      </c>
      <c r="BI274" s="20">
        <f t="shared" si="177"/>
        <v>0</v>
      </c>
      <c r="BJ274" s="20">
        <f t="shared" si="177"/>
        <v>0</v>
      </c>
      <c r="BK274" s="20">
        <f t="shared" si="177"/>
        <v>0</v>
      </c>
      <c r="BL274" s="20">
        <f t="shared" si="177"/>
        <v>0</v>
      </c>
      <c r="BM274" s="20">
        <f t="shared" si="177"/>
        <v>0</v>
      </c>
      <c r="BN274" s="20">
        <f t="shared" si="177"/>
        <v>0</v>
      </c>
      <c r="BO274" s="2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</row>
    <row r="275" spans="1:147" ht="13">
      <c r="A275" s="2" t="s">
        <v>939</v>
      </c>
      <c r="B275" s="2" t="s">
        <v>903</v>
      </c>
      <c r="C275" s="2" t="s">
        <v>619</v>
      </c>
      <c r="D275" s="2" t="s">
        <v>467</v>
      </c>
      <c r="E275" s="7" t="s">
        <v>620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0">
        <f>IFERROR(AH267/AH257,0)</f>
        <v>0</v>
      </c>
      <c r="AI275" s="20">
        <f t="shared" ref="AI275:BN275" si="178">IFERROR(AI267/AI257,0)</f>
        <v>0</v>
      </c>
      <c r="AJ275" s="20">
        <f t="shared" si="178"/>
        <v>0</v>
      </c>
      <c r="AK275" s="20">
        <f t="shared" si="178"/>
        <v>0</v>
      </c>
      <c r="AL275" s="20">
        <f t="shared" si="178"/>
        <v>0</v>
      </c>
      <c r="AM275" s="20">
        <f t="shared" si="178"/>
        <v>0</v>
      </c>
      <c r="AN275" s="20">
        <f t="shared" si="178"/>
        <v>0</v>
      </c>
      <c r="AO275" s="20">
        <f t="shared" si="178"/>
        <v>0</v>
      </c>
      <c r="AP275" s="20">
        <f t="shared" si="178"/>
        <v>0</v>
      </c>
      <c r="AQ275" s="20">
        <f t="shared" si="178"/>
        <v>0</v>
      </c>
      <c r="AR275" s="20">
        <f t="shared" si="178"/>
        <v>0</v>
      </c>
      <c r="AS275" s="20">
        <f t="shared" si="178"/>
        <v>0</v>
      </c>
      <c r="AT275" s="20">
        <f t="shared" si="178"/>
        <v>0</v>
      </c>
      <c r="AU275" s="20">
        <f t="shared" si="178"/>
        <v>0</v>
      </c>
      <c r="AV275" s="20">
        <f t="shared" si="178"/>
        <v>0</v>
      </c>
      <c r="AW275" s="20">
        <f t="shared" si="178"/>
        <v>0</v>
      </c>
      <c r="AX275" s="20">
        <f t="shared" si="178"/>
        <v>0</v>
      </c>
      <c r="AY275" s="20">
        <f t="shared" si="178"/>
        <v>0</v>
      </c>
      <c r="AZ275" s="20">
        <f t="shared" si="178"/>
        <v>0</v>
      </c>
      <c r="BA275" s="20">
        <f t="shared" si="178"/>
        <v>0</v>
      </c>
      <c r="BB275" s="20">
        <f t="shared" si="178"/>
        <v>0</v>
      </c>
      <c r="BC275" s="20">
        <f t="shared" si="178"/>
        <v>0</v>
      </c>
      <c r="BD275" s="20">
        <f t="shared" si="178"/>
        <v>0</v>
      </c>
      <c r="BE275" s="20">
        <f t="shared" si="178"/>
        <v>0</v>
      </c>
      <c r="BF275" s="20">
        <f t="shared" si="178"/>
        <v>0</v>
      </c>
      <c r="BG275" s="20">
        <f t="shared" si="178"/>
        <v>0</v>
      </c>
      <c r="BH275" s="20">
        <f t="shared" si="178"/>
        <v>0</v>
      </c>
      <c r="BI275" s="20">
        <f t="shared" si="178"/>
        <v>0</v>
      </c>
      <c r="BJ275" s="20">
        <f t="shared" si="178"/>
        <v>0</v>
      </c>
      <c r="BK275" s="20">
        <f t="shared" si="178"/>
        <v>0</v>
      </c>
      <c r="BL275" s="20">
        <f t="shared" si="178"/>
        <v>0</v>
      </c>
      <c r="BM275" s="20">
        <f t="shared" si="178"/>
        <v>0</v>
      </c>
      <c r="BN275" s="20">
        <f t="shared" si="178"/>
        <v>0</v>
      </c>
      <c r="BO275" s="2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</row>
    <row r="276" spans="1:147" ht="13">
      <c r="A276" s="2" t="s">
        <v>940</v>
      </c>
      <c r="B276" s="2" t="s">
        <v>903</v>
      </c>
      <c r="C276" s="2" t="s">
        <v>621</v>
      </c>
      <c r="D276" s="2" t="s">
        <v>469</v>
      </c>
      <c r="E276" s="7" t="s">
        <v>622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0">
        <f t="shared" ref="AH276:BN276" si="179">AH185</f>
        <v>0</v>
      </c>
      <c r="AI276" s="20">
        <f t="shared" si="179"/>
        <v>0</v>
      </c>
      <c r="AJ276" s="20">
        <f t="shared" si="179"/>
        <v>0</v>
      </c>
      <c r="AK276" s="20">
        <f t="shared" si="179"/>
        <v>0</v>
      </c>
      <c r="AL276" s="20">
        <f t="shared" si="179"/>
        <v>0</v>
      </c>
      <c r="AM276" s="20">
        <f t="shared" si="179"/>
        <v>0</v>
      </c>
      <c r="AN276" s="20">
        <f t="shared" si="179"/>
        <v>0</v>
      </c>
      <c r="AO276" s="20">
        <f t="shared" si="179"/>
        <v>0</v>
      </c>
      <c r="AP276" s="20">
        <f t="shared" si="179"/>
        <v>0</v>
      </c>
      <c r="AQ276" s="20">
        <f t="shared" si="179"/>
        <v>0</v>
      </c>
      <c r="AR276" s="20">
        <f t="shared" si="179"/>
        <v>0</v>
      </c>
      <c r="AS276" s="20">
        <f t="shared" si="179"/>
        <v>0</v>
      </c>
      <c r="AT276" s="20">
        <f t="shared" si="179"/>
        <v>0</v>
      </c>
      <c r="AU276" s="20">
        <f t="shared" si="179"/>
        <v>0</v>
      </c>
      <c r="AV276" s="20">
        <f t="shared" si="179"/>
        <v>0</v>
      </c>
      <c r="AW276" s="20">
        <f t="shared" si="179"/>
        <v>0</v>
      </c>
      <c r="AX276" s="20">
        <f t="shared" si="179"/>
        <v>0</v>
      </c>
      <c r="AY276" s="20">
        <f t="shared" si="179"/>
        <v>0</v>
      </c>
      <c r="AZ276" s="20">
        <f t="shared" si="179"/>
        <v>0</v>
      </c>
      <c r="BA276" s="20">
        <f t="shared" si="179"/>
        <v>0</v>
      </c>
      <c r="BB276" s="20">
        <f t="shared" si="179"/>
        <v>0</v>
      </c>
      <c r="BC276" s="20">
        <f t="shared" si="179"/>
        <v>0</v>
      </c>
      <c r="BD276" s="20">
        <f t="shared" si="179"/>
        <v>0</v>
      </c>
      <c r="BE276" s="20">
        <f t="shared" si="179"/>
        <v>0</v>
      </c>
      <c r="BF276" s="20">
        <f t="shared" si="179"/>
        <v>0</v>
      </c>
      <c r="BG276" s="20">
        <f t="shared" si="179"/>
        <v>0</v>
      </c>
      <c r="BH276" s="20">
        <f t="shared" si="179"/>
        <v>0</v>
      </c>
      <c r="BI276" s="20">
        <f t="shared" si="179"/>
        <v>0</v>
      </c>
      <c r="BJ276" s="20">
        <f t="shared" si="179"/>
        <v>0</v>
      </c>
      <c r="BK276" s="20">
        <f t="shared" si="179"/>
        <v>0</v>
      </c>
      <c r="BL276" s="20">
        <f t="shared" si="179"/>
        <v>0</v>
      </c>
      <c r="BM276" s="20">
        <f t="shared" si="179"/>
        <v>0</v>
      </c>
      <c r="BN276" s="20">
        <f t="shared" si="179"/>
        <v>0</v>
      </c>
      <c r="BO276" s="2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</row>
    <row r="277" spans="1:147" ht="13">
      <c r="A277" s="2" t="s">
        <v>941</v>
      </c>
      <c r="B277" s="2" t="s">
        <v>903</v>
      </c>
      <c r="C277" s="2" t="s">
        <v>623</v>
      </c>
      <c r="D277" s="2" t="s">
        <v>471</v>
      </c>
      <c r="E277" s="7" t="s">
        <v>624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0">
        <f>AH128</f>
        <v>0</v>
      </c>
      <c r="AI277" s="20">
        <f t="shared" ref="AI277:BN277" si="180">AI128</f>
        <v>0</v>
      </c>
      <c r="AJ277" s="20">
        <f t="shared" si="180"/>
        <v>0</v>
      </c>
      <c r="AK277" s="20">
        <f t="shared" si="180"/>
        <v>0</v>
      </c>
      <c r="AL277" s="20">
        <f t="shared" si="180"/>
        <v>0</v>
      </c>
      <c r="AM277" s="20">
        <f t="shared" si="180"/>
        <v>0</v>
      </c>
      <c r="AN277" s="20">
        <f t="shared" si="180"/>
        <v>0</v>
      </c>
      <c r="AO277" s="20">
        <f t="shared" si="180"/>
        <v>0</v>
      </c>
      <c r="AP277" s="20">
        <f t="shared" si="180"/>
        <v>0</v>
      </c>
      <c r="AQ277" s="20">
        <f t="shared" si="180"/>
        <v>0</v>
      </c>
      <c r="AR277" s="20">
        <f t="shared" si="180"/>
        <v>0</v>
      </c>
      <c r="AS277" s="20">
        <f t="shared" si="180"/>
        <v>0</v>
      </c>
      <c r="AT277" s="20">
        <f t="shared" si="180"/>
        <v>0</v>
      </c>
      <c r="AU277" s="20">
        <f t="shared" si="180"/>
        <v>0</v>
      </c>
      <c r="AV277" s="20">
        <f t="shared" si="180"/>
        <v>0</v>
      </c>
      <c r="AW277" s="20">
        <f t="shared" si="180"/>
        <v>0</v>
      </c>
      <c r="AX277" s="20">
        <f t="shared" si="180"/>
        <v>0</v>
      </c>
      <c r="AY277" s="20">
        <f t="shared" si="180"/>
        <v>0</v>
      </c>
      <c r="AZ277" s="20">
        <f t="shared" si="180"/>
        <v>0</v>
      </c>
      <c r="BA277" s="20">
        <f t="shared" si="180"/>
        <v>0</v>
      </c>
      <c r="BB277" s="20">
        <f t="shared" si="180"/>
        <v>0</v>
      </c>
      <c r="BC277" s="20">
        <f t="shared" si="180"/>
        <v>0</v>
      </c>
      <c r="BD277" s="20">
        <f t="shared" si="180"/>
        <v>0</v>
      </c>
      <c r="BE277" s="20">
        <f t="shared" si="180"/>
        <v>0</v>
      </c>
      <c r="BF277" s="20">
        <f t="shared" si="180"/>
        <v>0</v>
      </c>
      <c r="BG277" s="20">
        <f t="shared" si="180"/>
        <v>0</v>
      </c>
      <c r="BH277" s="20">
        <f t="shared" si="180"/>
        <v>0</v>
      </c>
      <c r="BI277" s="20">
        <f t="shared" si="180"/>
        <v>0</v>
      </c>
      <c r="BJ277" s="20">
        <f t="shared" si="180"/>
        <v>0</v>
      </c>
      <c r="BK277" s="20">
        <f t="shared" si="180"/>
        <v>0</v>
      </c>
      <c r="BL277" s="20">
        <f t="shared" si="180"/>
        <v>0</v>
      </c>
      <c r="BM277" s="20">
        <f t="shared" si="180"/>
        <v>0</v>
      </c>
      <c r="BN277" s="20">
        <f t="shared" si="180"/>
        <v>0</v>
      </c>
      <c r="BO277" s="2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</row>
    <row r="278" spans="1:147" ht="13">
      <c r="A278" s="2" t="s">
        <v>942</v>
      </c>
      <c r="B278" s="2" t="s">
        <v>903</v>
      </c>
      <c r="C278" s="2" t="s">
        <v>625</v>
      </c>
      <c r="D278" s="2" t="s">
        <v>477</v>
      </c>
      <c r="E278" s="9" t="s">
        <v>626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0">
        <f t="shared" ref="AH278" si="181">AH276-AH277</f>
        <v>0</v>
      </c>
      <c r="AI278" s="20">
        <f t="shared" ref="AI278:BN278" si="182">AI276-AI277</f>
        <v>0</v>
      </c>
      <c r="AJ278" s="20">
        <f t="shared" si="182"/>
        <v>0</v>
      </c>
      <c r="AK278" s="20">
        <f t="shared" si="182"/>
        <v>0</v>
      </c>
      <c r="AL278" s="20">
        <f t="shared" si="182"/>
        <v>0</v>
      </c>
      <c r="AM278" s="20">
        <f t="shared" si="182"/>
        <v>0</v>
      </c>
      <c r="AN278" s="20">
        <f t="shared" si="182"/>
        <v>0</v>
      </c>
      <c r="AO278" s="20">
        <f t="shared" si="182"/>
        <v>0</v>
      </c>
      <c r="AP278" s="20">
        <f t="shared" si="182"/>
        <v>0</v>
      </c>
      <c r="AQ278" s="20">
        <f t="shared" si="182"/>
        <v>0</v>
      </c>
      <c r="AR278" s="20">
        <f t="shared" si="182"/>
        <v>0</v>
      </c>
      <c r="AS278" s="20">
        <f t="shared" si="182"/>
        <v>0</v>
      </c>
      <c r="AT278" s="20">
        <f t="shared" si="182"/>
        <v>0</v>
      </c>
      <c r="AU278" s="20">
        <f t="shared" si="182"/>
        <v>0</v>
      </c>
      <c r="AV278" s="20">
        <f t="shared" si="182"/>
        <v>0</v>
      </c>
      <c r="AW278" s="20">
        <f t="shared" si="182"/>
        <v>0</v>
      </c>
      <c r="AX278" s="20">
        <f t="shared" si="182"/>
        <v>0</v>
      </c>
      <c r="AY278" s="20">
        <f t="shared" si="182"/>
        <v>0</v>
      </c>
      <c r="AZ278" s="20">
        <f t="shared" si="182"/>
        <v>0</v>
      </c>
      <c r="BA278" s="20">
        <f t="shared" si="182"/>
        <v>0</v>
      </c>
      <c r="BB278" s="20">
        <f t="shared" si="182"/>
        <v>0</v>
      </c>
      <c r="BC278" s="20">
        <f t="shared" si="182"/>
        <v>0</v>
      </c>
      <c r="BD278" s="20">
        <f t="shared" si="182"/>
        <v>0</v>
      </c>
      <c r="BE278" s="20">
        <f t="shared" si="182"/>
        <v>0</v>
      </c>
      <c r="BF278" s="20">
        <f t="shared" si="182"/>
        <v>0</v>
      </c>
      <c r="BG278" s="20">
        <f t="shared" si="182"/>
        <v>0</v>
      </c>
      <c r="BH278" s="20">
        <f t="shared" si="182"/>
        <v>0</v>
      </c>
      <c r="BI278" s="20">
        <f t="shared" si="182"/>
        <v>0</v>
      </c>
      <c r="BJ278" s="20">
        <f t="shared" si="182"/>
        <v>0</v>
      </c>
      <c r="BK278" s="20">
        <f t="shared" si="182"/>
        <v>0</v>
      </c>
      <c r="BL278" s="20">
        <f t="shared" si="182"/>
        <v>0</v>
      </c>
      <c r="BM278" s="20">
        <f t="shared" si="182"/>
        <v>0</v>
      </c>
      <c r="BN278" s="20">
        <f t="shared" si="182"/>
        <v>0</v>
      </c>
      <c r="BO278" s="2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</row>
    <row r="279" spans="1:147" ht="13">
      <c r="A279" s="2" t="s">
        <v>943</v>
      </c>
      <c r="B279" s="2" t="s">
        <v>903</v>
      </c>
      <c r="C279" s="2" t="s">
        <v>627</v>
      </c>
      <c r="D279" s="2" t="s">
        <v>481</v>
      </c>
      <c r="E279" s="7" t="s">
        <v>628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0">
        <f>IFERROR(AH276/AH277,0)</f>
        <v>0</v>
      </c>
      <c r="AI279" s="20">
        <f t="shared" ref="AI279:BN279" si="183">IFERROR(AI276/AI277,0)</f>
        <v>0</v>
      </c>
      <c r="AJ279" s="20">
        <f t="shared" si="183"/>
        <v>0</v>
      </c>
      <c r="AK279" s="20">
        <f t="shared" si="183"/>
        <v>0</v>
      </c>
      <c r="AL279" s="20">
        <f t="shared" si="183"/>
        <v>0</v>
      </c>
      <c r="AM279" s="20">
        <f t="shared" si="183"/>
        <v>0</v>
      </c>
      <c r="AN279" s="20">
        <f t="shared" si="183"/>
        <v>0</v>
      </c>
      <c r="AO279" s="20">
        <f t="shared" si="183"/>
        <v>0</v>
      </c>
      <c r="AP279" s="20">
        <f t="shared" si="183"/>
        <v>0</v>
      </c>
      <c r="AQ279" s="20">
        <f t="shared" si="183"/>
        <v>0</v>
      </c>
      <c r="AR279" s="20">
        <f t="shared" si="183"/>
        <v>0</v>
      </c>
      <c r="AS279" s="20">
        <f t="shared" si="183"/>
        <v>0</v>
      </c>
      <c r="AT279" s="20">
        <f t="shared" si="183"/>
        <v>0</v>
      </c>
      <c r="AU279" s="20">
        <f t="shared" si="183"/>
        <v>0</v>
      </c>
      <c r="AV279" s="20">
        <f t="shared" si="183"/>
        <v>0</v>
      </c>
      <c r="AW279" s="20">
        <f t="shared" si="183"/>
        <v>0</v>
      </c>
      <c r="AX279" s="20">
        <f t="shared" si="183"/>
        <v>0</v>
      </c>
      <c r="AY279" s="20">
        <f t="shared" si="183"/>
        <v>0</v>
      </c>
      <c r="AZ279" s="20">
        <f t="shared" si="183"/>
        <v>0</v>
      </c>
      <c r="BA279" s="20">
        <f t="shared" si="183"/>
        <v>0</v>
      </c>
      <c r="BB279" s="20">
        <f t="shared" si="183"/>
        <v>0</v>
      </c>
      <c r="BC279" s="20">
        <f t="shared" si="183"/>
        <v>0</v>
      </c>
      <c r="BD279" s="20">
        <f t="shared" si="183"/>
        <v>0</v>
      </c>
      <c r="BE279" s="20">
        <f t="shared" si="183"/>
        <v>0</v>
      </c>
      <c r="BF279" s="20">
        <f t="shared" si="183"/>
        <v>0</v>
      </c>
      <c r="BG279" s="20">
        <f t="shared" si="183"/>
        <v>0</v>
      </c>
      <c r="BH279" s="20">
        <f t="shared" si="183"/>
        <v>0</v>
      </c>
      <c r="BI279" s="20">
        <f t="shared" si="183"/>
        <v>0</v>
      </c>
      <c r="BJ279" s="20">
        <f t="shared" si="183"/>
        <v>0</v>
      </c>
      <c r="BK279" s="20">
        <f t="shared" si="183"/>
        <v>0</v>
      </c>
      <c r="BL279" s="20">
        <f t="shared" si="183"/>
        <v>0</v>
      </c>
      <c r="BM279" s="20">
        <f t="shared" si="183"/>
        <v>0</v>
      </c>
      <c r="BN279" s="20">
        <f t="shared" si="183"/>
        <v>0</v>
      </c>
      <c r="BO279" s="2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</row>
    <row r="280" spans="1:147" ht="13">
      <c r="A280" s="2" t="s">
        <v>944</v>
      </c>
      <c r="B280" s="2" t="s">
        <v>903</v>
      </c>
      <c r="C280" s="2" t="s">
        <v>629</v>
      </c>
      <c r="D280" s="2" t="s">
        <v>485</v>
      </c>
      <c r="E280" s="7" t="s">
        <v>630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0">
        <f t="shared" ref="AH280" si="184">AH207</f>
        <v>0</v>
      </c>
      <c r="AI280" s="20">
        <f t="shared" ref="AI280:BN280" si="185">AI207</f>
        <v>0</v>
      </c>
      <c r="AJ280" s="20">
        <f t="shared" si="185"/>
        <v>0</v>
      </c>
      <c r="AK280" s="20">
        <f t="shared" si="185"/>
        <v>0</v>
      </c>
      <c r="AL280" s="20">
        <f t="shared" si="185"/>
        <v>0</v>
      </c>
      <c r="AM280" s="20">
        <f t="shared" si="185"/>
        <v>0</v>
      </c>
      <c r="AN280" s="20">
        <f t="shared" si="185"/>
        <v>0</v>
      </c>
      <c r="AO280" s="20">
        <f t="shared" si="185"/>
        <v>0</v>
      </c>
      <c r="AP280" s="20">
        <f t="shared" si="185"/>
        <v>0</v>
      </c>
      <c r="AQ280" s="20">
        <f t="shared" si="185"/>
        <v>0</v>
      </c>
      <c r="AR280" s="20">
        <f t="shared" si="185"/>
        <v>0</v>
      </c>
      <c r="AS280" s="20">
        <f t="shared" si="185"/>
        <v>0</v>
      </c>
      <c r="AT280" s="20">
        <f t="shared" si="185"/>
        <v>0</v>
      </c>
      <c r="AU280" s="20">
        <f t="shared" si="185"/>
        <v>0</v>
      </c>
      <c r="AV280" s="20">
        <f t="shared" si="185"/>
        <v>0</v>
      </c>
      <c r="AW280" s="20">
        <f t="shared" si="185"/>
        <v>0</v>
      </c>
      <c r="AX280" s="20">
        <f t="shared" si="185"/>
        <v>0</v>
      </c>
      <c r="AY280" s="20">
        <f t="shared" si="185"/>
        <v>0</v>
      </c>
      <c r="AZ280" s="20">
        <f t="shared" si="185"/>
        <v>0</v>
      </c>
      <c r="BA280" s="20">
        <f t="shared" si="185"/>
        <v>0</v>
      </c>
      <c r="BB280" s="20">
        <f t="shared" si="185"/>
        <v>0</v>
      </c>
      <c r="BC280" s="20">
        <f t="shared" si="185"/>
        <v>0</v>
      </c>
      <c r="BD280" s="20">
        <f t="shared" si="185"/>
        <v>0</v>
      </c>
      <c r="BE280" s="20">
        <f t="shared" si="185"/>
        <v>0</v>
      </c>
      <c r="BF280" s="20">
        <f t="shared" si="185"/>
        <v>0</v>
      </c>
      <c r="BG280" s="20">
        <f t="shared" si="185"/>
        <v>0</v>
      </c>
      <c r="BH280" s="20">
        <f t="shared" si="185"/>
        <v>0</v>
      </c>
      <c r="BI280" s="20">
        <f t="shared" si="185"/>
        <v>0</v>
      </c>
      <c r="BJ280" s="20">
        <f t="shared" si="185"/>
        <v>0</v>
      </c>
      <c r="BK280" s="20">
        <f t="shared" si="185"/>
        <v>0</v>
      </c>
      <c r="BL280" s="20">
        <f t="shared" si="185"/>
        <v>0</v>
      </c>
      <c r="BM280" s="20">
        <f t="shared" si="185"/>
        <v>0</v>
      </c>
      <c r="BN280" s="20">
        <f t="shared" si="185"/>
        <v>0</v>
      </c>
      <c r="BO280" s="2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</row>
    <row r="281" spans="1:147" ht="13">
      <c r="A281" s="2" t="s">
        <v>945</v>
      </c>
      <c r="B281" s="2" t="s">
        <v>903</v>
      </c>
      <c r="C281" s="2" t="s">
        <v>631</v>
      </c>
      <c r="D281" s="2" t="s">
        <v>487</v>
      </c>
      <c r="E281" s="9" t="s">
        <v>632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0">
        <f>IFERROR((AH240*12/AH10)/AH251,0)</f>
        <v>0</v>
      </c>
      <c r="AI281" s="20">
        <f t="shared" ref="AI281:BN281" si="186">IFERROR((AI240*12/AI10)/AI251,0)</f>
        <v>0</v>
      </c>
      <c r="AJ281" s="20">
        <f t="shared" si="186"/>
        <v>0</v>
      </c>
      <c r="AK281" s="20">
        <f t="shared" si="186"/>
        <v>0</v>
      </c>
      <c r="AL281" s="20">
        <f t="shared" si="186"/>
        <v>0</v>
      </c>
      <c r="AM281" s="20">
        <f t="shared" si="186"/>
        <v>0</v>
      </c>
      <c r="AN281" s="20">
        <f t="shared" si="186"/>
        <v>0</v>
      </c>
      <c r="AO281" s="20">
        <f t="shared" si="186"/>
        <v>0</v>
      </c>
      <c r="AP281" s="20">
        <f t="shared" si="186"/>
        <v>0</v>
      </c>
      <c r="AQ281" s="20">
        <f t="shared" si="186"/>
        <v>0</v>
      </c>
      <c r="AR281" s="20">
        <f t="shared" si="186"/>
        <v>0</v>
      </c>
      <c r="AS281" s="20">
        <f t="shared" si="186"/>
        <v>0</v>
      </c>
      <c r="AT281" s="20">
        <f t="shared" si="186"/>
        <v>0</v>
      </c>
      <c r="AU281" s="20">
        <f t="shared" si="186"/>
        <v>0</v>
      </c>
      <c r="AV281" s="20">
        <f t="shared" si="186"/>
        <v>0</v>
      </c>
      <c r="AW281" s="20">
        <f t="shared" si="186"/>
        <v>0</v>
      </c>
      <c r="AX281" s="20">
        <f t="shared" si="186"/>
        <v>0</v>
      </c>
      <c r="AY281" s="20">
        <f t="shared" si="186"/>
        <v>0</v>
      </c>
      <c r="AZ281" s="20">
        <f t="shared" si="186"/>
        <v>0</v>
      </c>
      <c r="BA281" s="20">
        <f t="shared" si="186"/>
        <v>0</v>
      </c>
      <c r="BB281" s="20">
        <f t="shared" si="186"/>
        <v>0</v>
      </c>
      <c r="BC281" s="20">
        <f t="shared" si="186"/>
        <v>0</v>
      </c>
      <c r="BD281" s="20">
        <f t="shared" si="186"/>
        <v>0</v>
      </c>
      <c r="BE281" s="20">
        <f t="shared" si="186"/>
        <v>0</v>
      </c>
      <c r="BF281" s="20">
        <f t="shared" si="186"/>
        <v>0</v>
      </c>
      <c r="BG281" s="20">
        <f t="shared" si="186"/>
        <v>0</v>
      </c>
      <c r="BH281" s="20">
        <f t="shared" si="186"/>
        <v>0</v>
      </c>
      <c r="BI281" s="20">
        <f t="shared" si="186"/>
        <v>0</v>
      </c>
      <c r="BJ281" s="20">
        <f t="shared" si="186"/>
        <v>0</v>
      </c>
      <c r="BK281" s="20">
        <f t="shared" si="186"/>
        <v>0</v>
      </c>
      <c r="BL281" s="20">
        <f t="shared" si="186"/>
        <v>0</v>
      </c>
      <c r="BM281" s="20">
        <f t="shared" si="186"/>
        <v>0</v>
      </c>
      <c r="BN281" s="20">
        <f t="shared" si="186"/>
        <v>0</v>
      </c>
      <c r="BO281" s="2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</row>
    <row r="282" spans="1:147" ht="13">
      <c r="A282" s="2" t="s">
        <v>946</v>
      </c>
      <c r="B282" s="2" t="s">
        <v>903</v>
      </c>
      <c r="C282" s="2" t="s">
        <v>633</v>
      </c>
      <c r="D282" s="2" t="s">
        <v>492</v>
      </c>
      <c r="E282" s="7" t="s">
        <v>634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0">
        <f>IFERROR(365/(AH45*12/AH10)*AH170,0)</f>
        <v>0</v>
      </c>
      <c r="AI282" s="20">
        <f t="shared" ref="AI282:BN282" si="187">IFERROR(365/(AI45*12/AI10)*AI170,0)</f>
        <v>0</v>
      </c>
      <c r="AJ282" s="20">
        <f t="shared" si="187"/>
        <v>0</v>
      </c>
      <c r="AK282" s="20">
        <f t="shared" si="187"/>
        <v>0</v>
      </c>
      <c r="AL282" s="20">
        <f t="shared" si="187"/>
        <v>0</v>
      </c>
      <c r="AM282" s="20">
        <f t="shared" si="187"/>
        <v>0</v>
      </c>
      <c r="AN282" s="20">
        <f t="shared" si="187"/>
        <v>0</v>
      </c>
      <c r="AO282" s="20">
        <f t="shared" si="187"/>
        <v>0</v>
      </c>
      <c r="AP282" s="20">
        <f t="shared" si="187"/>
        <v>0</v>
      </c>
      <c r="AQ282" s="20">
        <f t="shared" si="187"/>
        <v>0</v>
      </c>
      <c r="AR282" s="20">
        <f t="shared" si="187"/>
        <v>0</v>
      </c>
      <c r="AS282" s="20">
        <f t="shared" si="187"/>
        <v>0</v>
      </c>
      <c r="AT282" s="20">
        <f t="shared" si="187"/>
        <v>0</v>
      </c>
      <c r="AU282" s="20">
        <f t="shared" si="187"/>
        <v>0</v>
      </c>
      <c r="AV282" s="20">
        <f t="shared" si="187"/>
        <v>0</v>
      </c>
      <c r="AW282" s="20">
        <f t="shared" si="187"/>
        <v>0</v>
      </c>
      <c r="AX282" s="20">
        <f t="shared" si="187"/>
        <v>0</v>
      </c>
      <c r="AY282" s="20">
        <f t="shared" si="187"/>
        <v>0</v>
      </c>
      <c r="AZ282" s="20">
        <f t="shared" si="187"/>
        <v>0</v>
      </c>
      <c r="BA282" s="20">
        <f t="shared" si="187"/>
        <v>0</v>
      </c>
      <c r="BB282" s="20">
        <f t="shared" si="187"/>
        <v>0</v>
      </c>
      <c r="BC282" s="20">
        <f t="shared" si="187"/>
        <v>0</v>
      </c>
      <c r="BD282" s="20">
        <f t="shared" si="187"/>
        <v>0</v>
      </c>
      <c r="BE282" s="20">
        <f t="shared" si="187"/>
        <v>0</v>
      </c>
      <c r="BF282" s="20">
        <f t="shared" si="187"/>
        <v>0</v>
      </c>
      <c r="BG282" s="20">
        <f t="shared" si="187"/>
        <v>0</v>
      </c>
      <c r="BH282" s="20">
        <f t="shared" si="187"/>
        <v>0</v>
      </c>
      <c r="BI282" s="20">
        <f t="shared" si="187"/>
        <v>0</v>
      </c>
      <c r="BJ282" s="20">
        <f t="shared" si="187"/>
        <v>0</v>
      </c>
      <c r="BK282" s="20">
        <f t="shared" si="187"/>
        <v>0</v>
      </c>
      <c r="BL282" s="20">
        <f t="shared" si="187"/>
        <v>0</v>
      </c>
      <c r="BM282" s="20">
        <f t="shared" si="187"/>
        <v>0</v>
      </c>
      <c r="BN282" s="20">
        <f t="shared" si="187"/>
        <v>0</v>
      </c>
      <c r="BO282" s="2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</row>
    <row r="283" spans="1:147" ht="13">
      <c r="A283" s="2" t="s">
        <v>947</v>
      </c>
      <c r="B283" s="2" t="s">
        <v>903</v>
      </c>
      <c r="C283" s="2" t="s">
        <v>635</v>
      </c>
      <c r="D283" s="2" t="s">
        <v>498</v>
      </c>
      <c r="E283" s="7" t="s">
        <v>636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0">
        <f>IFERROR(365*(AH167+AH168+AH204)/(AH27*12/AH10),0)</f>
        <v>0</v>
      </c>
      <c r="AI283" s="20">
        <f t="shared" ref="AI283:BN283" si="188">IFERROR(365*(AI167+AI168+AI204)/(AI27*12/AI10),0)</f>
        <v>0</v>
      </c>
      <c r="AJ283" s="20">
        <f t="shared" si="188"/>
        <v>0</v>
      </c>
      <c r="AK283" s="20">
        <f t="shared" si="188"/>
        <v>0</v>
      </c>
      <c r="AL283" s="20">
        <f t="shared" si="188"/>
        <v>0</v>
      </c>
      <c r="AM283" s="20">
        <f t="shared" si="188"/>
        <v>0</v>
      </c>
      <c r="AN283" s="20">
        <f t="shared" si="188"/>
        <v>0</v>
      </c>
      <c r="AO283" s="20">
        <f t="shared" si="188"/>
        <v>0</v>
      </c>
      <c r="AP283" s="20">
        <f t="shared" si="188"/>
        <v>0</v>
      </c>
      <c r="AQ283" s="20">
        <f t="shared" si="188"/>
        <v>0</v>
      </c>
      <c r="AR283" s="20">
        <f t="shared" si="188"/>
        <v>0</v>
      </c>
      <c r="AS283" s="20">
        <f t="shared" si="188"/>
        <v>0</v>
      </c>
      <c r="AT283" s="20">
        <f t="shared" si="188"/>
        <v>0</v>
      </c>
      <c r="AU283" s="20">
        <f t="shared" si="188"/>
        <v>0</v>
      </c>
      <c r="AV283" s="20">
        <f t="shared" si="188"/>
        <v>0</v>
      </c>
      <c r="AW283" s="20">
        <f t="shared" si="188"/>
        <v>0</v>
      </c>
      <c r="AX283" s="20">
        <f t="shared" si="188"/>
        <v>0</v>
      </c>
      <c r="AY283" s="20">
        <f t="shared" si="188"/>
        <v>0</v>
      </c>
      <c r="AZ283" s="20">
        <f t="shared" si="188"/>
        <v>0</v>
      </c>
      <c r="BA283" s="20">
        <f t="shared" si="188"/>
        <v>0</v>
      </c>
      <c r="BB283" s="20">
        <f t="shared" si="188"/>
        <v>0</v>
      </c>
      <c r="BC283" s="20">
        <f t="shared" si="188"/>
        <v>0</v>
      </c>
      <c r="BD283" s="20">
        <f t="shared" si="188"/>
        <v>0</v>
      </c>
      <c r="BE283" s="20">
        <f t="shared" si="188"/>
        <v>0</v>
      </c>
      <c r="BF283" s="20">
        <f t="shared" si="188"/>
        <v>0</v>
      </c>
      <c r="BG283" s="20">
        <f t="shared" si="188"/>
        <v>0</v>
      </c>
      <c r="BH283" s="20">
        <f t="shared" si="188"/>
        <v>0</v>
      </c>
      <c r="BI283" s="20">
        <f t="shared" si="188"/>
        <v>0</v>
      </c>
      <c r="BJ283" s="20">
        <f t="shared" si="188"/>
        <v>0</v>
      </c>
      <c r="BK283" s="20">
        <f t="shared" si="188"/>
        <v>0</v>
      </c>
      <c r="BL283" s="20">
        <f t="shared" si="188"/>
        <v>0</v>
      </c>
      <c r="BM283" s="20">
        <f t="shared" si="188"/>
        <v>0</v>
      </c>
      <c r="BN283" s="20">
        <f t="shared" si="188"/>
        <v>0</v>
      </c>
      <c r="BO283" s="2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</row>
    <row r="284" spans="1:147" ht="13">
      <c r="A284" s="2" t="s">
        <v>948</v>
      </c>
      <c r="B284" s="2" t="s">
        <v>903</v>
      </c>
      <c r="C284" s="2" t="s">
        <v>637</v>
      </c>
      <c r="D284" s="2" t="s">
        <v>501</v>
      </c>
      <c r="E284" s="7" t="s">
        <v>638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0">
        <f>IFERROR(365*AH109/(AH32*12/AH10),0)</f>
        <v>0</v>
      </c>
      <c r="AI284" s="20">
        <f t="shared" ref="AI284:BN284" si="189">IFERROR(365*AI109/(AI32*12/AI10),0)</f>
        <v>0</v>
      </c>
      <c r="AJ284" s="20">
        <f t="shared" si="189"/>
        <v>0</v>
      </c>
      <c r="AK284" s="20">
        <f t="shared" si="189"/>
        <v>0</v>
      </c>
      <c r="AL284" s="20">
        <f t="shared" si="189"/>
        <v>0</v>
      </c>
      <c r="AM284" s="20">
        <f t="shared" si="189"/>
        <v>0</v>
      </c>
      <c r="AN284" s="20">
        <f t="shared" si="189"/>
        <v>0</v>
      </c>
      <c r="AO284" s="20">
        <f t="shared" si="189"/>
        <v>0</v>
      </c>
      <c r="AP284" s="20">
        <f t="shared" si="189"/>
        <v>0</v>
      </c>
      <c r="AQ284" s="20">
        <f t="shared" si="189"/>
        <v>0</v>
      </c>
      <c r="AR284" s="20">
        <f t="shared" si="189"/>
        <v>0</v>
      </c>
      <c r="AS284" s="20">
        <f t="shared" si="189"/>
        <v>0</v>
      </c>
      <c r="AT284" s="20">
        <f t="shared" si="189"/>
        <v>0</v>
      </c>
      <c r="AU284" s="20">
        <f t="shared" si="189"/>
        <v>0</v>
      </c>
      <c r="AV284" s="20">
        <f t="shared" si="189"/>
        <v>0</v>
      </c>
      <c r="AW284" s="20">
        <f t="shared" si="189"/>
        <v>0</v>
      </c>
      <c r="AX284" s="20">
        <f t="shared" si="189"/>
        <v>0</v>
      </c>
      <c r="AY284" s="20">
        <f t="shared" si="189"/>
        <v>0</v>
      </c>
      <c r="AZ284" s="20">
        <f t="shared" si="189"/>
        <v>0</v>
      </c>
      <c r="BA284" s="20">
        <f t="shared" si="189"/>
        <v>0</v>
      </c>
      <c r="BB284" s="20">
        <f t="shared" si="189"/>
        <v>0</v>
      </c>
      <c r="BC284" s="20">
        <f t="shared" si="189"/>
        <v>0</v>
      </c>
      <c r="BD284" s="20">
        <f t="shared" si="189"/>
        <v>0</v>
      </c>
      <c r="BE284" s="20">
        <f t="shared" si="189"/>
        <v>0</v>
      </c>
      <c r="BF284" s="20">
        <f t="shared" si="189"/>
        <v>0</v>
      </c>
      <c r="BG284" s="20">
        <f t="shared" si="189"/>
        <v>0</v>
      </c>
      <c r="BH284" s="20">
        <f t="shared" si="189"/>
        <v>0</v>
      </c>
      <c r="BI284" s="20">
        <f t="shared" si="189"/>
        <v>0</v>
      </c>
      <c r="BJ284" s="20">
        <f t="shared" si="189"/>
        <v>0</v>
      </c>
      <c r="BK284" s="20">
        <f t="shared" si="189"/>
        <v>0</v>
      </c>
      <c r="BL284" s="20">
        <f t="shared" si="189"/>
        <v>0</v>
      </c>
      <c r="BM284" s="20">
        <f t="shared" si="189"/>
        <v>0</v>
      </c>
      <c r="BN284" s="20">
        <f t="shared" si="189"/>
        <v>0</v>
      </c>
      <c r="BO284" s="2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</row>
    <row r="285" spans="1:147" ht="13">
      <c r="A285" s="2" t="s">
        <v>949</v>
      </c>
      <c r="B285" s="2" t="s">
        <v>903</v>
      </c>
      <c r="C285" s="2" t="s">
        <v>639</v>
      </c>
      <c r="D285" s="2" t="s">
        <v>504</v>
      </c>
      <c r="E285" s="7" t="s">
        <v>640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0">
        <f t="shared" ref="AH285:BN285" si="190">AH282+AH283-AH284</f>
        <v>0</v>
      </c>
      <c r="AI285" s="20">
        <f t="shared" si="190"/>
        <v>0</v>
      </c>
      <c r="AJ285" s="20">
        <f t="shared" si="190"/>
        <v>0</v>
      </c>
      <c r="AK285" s="20">
        <f t="shared" si="190"/>
        <v>0</v>
      </c>
      <c r="AL285" s="20">
        <f t="shared" si="190"/>
        <v>0</v>
      </c>
      <c r="AM285" s="20">
        <f t="shared" si="190"/>
        <v>0</v>
      </c>
      <c r="AN285" s="20">
        <f t="shared" si="190"/>
        <v>0</v>
      </c>
      <c r="AO285" s="20">
        <f t="shared" si="190"/>
        <v>0</v>
      </c>
      <c r="AP285" s="20">
        <f t="shared" si="190"/>
        <v>0</v>
      </c>
      <c r="AQ285" s="20">
        <f t="shared" si="190"/>
        <v>0</v>
      </c>
      <c r="AR285" s="20">
        <f t="shared" si="190"/>
        <v>0</v>
      </c>
      <c r="AS285" s="20">
        <f t="shared" si="190"/>
        <v>0</v>
      </c>
      <c r="AT285" s="20">
        <f t="shared" si="190"/>
        <v>0</v>
      </c>
      <c r="AU285" s="20">
        <f t="shared" si="190"/>
        <v>0</v>
      </c>
      <c r="AV285" s="20">
        <f t="shared" si="190"/>
        <v>0</v>
      </c>
      <c r="AW285" s="20">
        <f t="shared" si="190"/>
        <v>0</v>
      </c>
      <c r="AX285" s="20">
        <f t="shared" si="190"/>
        <v>0</v>
      </c>
      <c r="AY285" s="20">
        <f t="shared" si="190"/>
        <v>0</v>
      </c>
      <c r="AZ285" s="20">
        <f t="shared" si="190"/>
        <v>0</v>
      </c>
      <c r="BA285" s="20">
        <f t="shared" si="190"/>
        <v>0</v>
      </c>
      <c r="BB285" s="20">
        <f t="shared" si="190"/>
        <v>0</v>
      </c>
      <c r="BC285" s="20">
        <f t="shared" si="190"/>
        <v>0</v>
      </c>
      <c r="BD285" s="20">
        <f t="shared" si="190"/>
        <v>0</v>
      </c>
      <c r="BE285" s="20">
        <f t="shared" si="190"/>
        <v>0</v>
      </c>
      <c r="BF285" s="20">
        <f t="shared" si="190"/>
        <v>0</v>
      </c>
      <c r="BG285" s="20">
        <f t="shared" si="190"/>
        <v>0</v>
      </c>
      <c r="BH285" s="20">
        <f t="shared" si="190"/>
        <v>0</v>
      </c>
      <c r="BI285" s="20">
        <f t="shared" si="190"/>
        <v>0</v>
      </c>
      <c r="BJ285" s="20">
        <f t="shared" si="190"/>
        <v>0</v>
      </c>
      <c r="BK285" s="20">
        <f t="shared" si="190"/>
        <v>0</v>
      </c>
      <c r="BL285" s="20">
        <f t="shared" si="190"/>
        <v>0</v>
      </c>
      <c r="BM285" s="20">
        <f t="shared" si="190"/>
        <v>0</v>
      </c>
      <c r="BN285" s="20">
        <f t="shared" si="190"/>
        <v>0</v>
      </c>
      <c r="BO285" s="2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</row>
    <row r="286" spans="1:147" ht="13">
      <c r="A286" s="2" t="s">
        <v>950</v>
      </c>
      <c r="B286" s="2" t="s">
        <v>903</v>
      </c>
      <c r="C286" s="2" t="s">
        <v>641</v>
      </c>
      <c r="D286" s="2" t="s">
        <v>517</v>
      </c>
      <c r="E286" s="7" t="s">
        <v>226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0">
        <f>IFERROR(((AH245+AH243+AH49)*12/AH10)/(AH258+AH259+AH262+AH252)*100,0)</f>
        <v>0</v>
      </c>
      <c r="AI286" s="20">
        <f t="shared" ref="AI286:BN286" si="191">IFERROR(((AI245+AI243+AI49)*12/AI10)/(AI258+AI259+AI262+AI252)*100,0)</f>
        <v>0</v>
      </c>
      <c r="AJ286" s="20">
        <f t="shared" si="191"/>
        <v>0</v>
      </c>
      <c r="AK286" s="20">
        <f t="shared" si="191"/>
        <v>0</v>
      </c>
      <c r="AL286" s="20">
        <f t="shared" si="191"/>
        <v>0</v>
      </c>
      <c r="AM286" s="20">
        <f t="shared" si="191"/>
        <v>0</v>
      </c>
      <c r="AN286" s="20">
        <f t="shared" si="191"/>
        <v>0</v>
      </c>
      <c r="AO286" s="20">
        <f t="shared" si="191"/>
        <v>0</v>
      </c>
      <c r="AP286" s="20">
        <f t="shared" si="191"/>
        <v>0</v>
      </c>
      <c r="AQ286" s="20">
        <f t="shared" si="191"/>
        <v>0</v>
      </c>
      <c r="AR286" s="20">
        <f t="shared" si="191"/>
        <v>0</v>
      </c>
      <c r="AS286" s="20">
        <f t="shared" si="191"/>
        <v>0</v>
      </c>
      <c r="AT286" s="20">
        <f t="shared" si="191"/>
        <v>0</v>
      </c>
      <c r="AU286" s="20">
        <f t="shared" si="191"/>
        <v>0</v>
      </c>
      <c r="AV286" s="20">
        <f t="shared" si="191"/>
        <v>0</v>
      </c>
      <c r="AW286" s="20">
        <f t="shared" si="191"/>
        <v>0</v>
      </c>
      <c r="AX286" s="20">
        <f t="shared" si="191"/>
        <v>0</v>
      </c>
      <c r="AY286" s="20">
        <f t="shared" si="191"/>
        <v>0</v>
      </c>
      <c r="AZ286" s="20">
        <f t="shared" si="191"/>
        <v>0</v>
      </c>
      <c r="BA286" s="20">
        <f t="shared" si="191"/>
        <v>0</v>
      </c>
      <c r="BB286" s="20">
        <f t="shared" si="191"/>
        <v>0</v>
      </c>
      <c r="BC286" s="20">
        <f t="shared" si="191"/>
        <v>0</v>
      </c>
      <c r="BD286" s="20">
        <f t="shared" si="191"/>
        <v>0</v>
      </c>
      <c r="BE286" s="20">
        <f t="shared" si="191"/>
        <v>0</v>
      </c>
      <c r="BF286" s="20">
        <f t="shared" si="191"/>
        <v>0</v>
      </c>
      <c r="BG286" s="20">
        <f t="shared" si="191"/>
        <v>0</v>
      </c>
      <c r="BH286" s="20">
        <f t="shared" si="191"/>
        <v>0</v>
      </c>
      <c r="BI286" s="20">
        <f t="shared" si="191"/>
        <v>0</v>
      </c>
      <c r="BJ286" s="20">
        <f t="shared" si="191"/>
        <v>0</v>
      </c>
      <c r="BK286" s="20">
        <f t="shared" si="191"/>
        <v>0</v>
      </c>
      <c r="BL286" s="20">
        <f t="shared" si="191"/>
        <v>0</v>
      </c>
      <c r="BM286" s="20">
        <f t="shared" si="191"/>
        <v>0</v>
      </c>
      <c r="BN286" s="20">
        <f t="shared" si="191"/>
        <v>0</v>
      </c>
      <c r="BO286" s="2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</row>
    <row r="287" spans="1:147" ht="13">
      <c r="A287" s="2" t="s">
        <v>951</v>
      </c>
      <c r="B287" s="2" t="s">
        <v>903</v>
      </c>
      <c r="C287" s="2" t="s">
        <v>642</v>
      </c>
      <c r="D287" s="2" t="s">
        <v>521</v>
      </c>
      <c r="E287" s="7" t="s">
        <v>643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0">
        <f>IFERROR((AH248+AH244+AH243-AH246+AH49+AH94)/(AH243+AH49),0)</f>
        <v>0</v>
      </c>
      <c r="AI287" s="20">
        <f t="shared" ref="AI287:BN287" si="192">IFERROR((AI248+AI244+AI243-AI246+AI49+AI94)/(AI243+AI49),0)</f>
        <v>0</v>
      </c>
      <c r="AJ287" s="20">
        <f t="shared" si="192"/>
        <v>0</v>
      </c>
      <c r="AK287" s="20">
        <f t="shared" si="192"/>
        <v>0</v>
      </c>
      <c r="AL287" s="20">
        <f t="shared" si="192"/>
        <v>0</v>
      </c>
      <c r="AM287" s="20">
        <f t="shared" si="192"/>
        <v>0</v>
      </c>
      <c r="AN287" s="20">
        <f t="shared" si="192"/>
        <v>0</v>
      </c>
      <c r="AO287" s="20">
        <f t="shared" si="192"/>
        <v>0</v>
      </c>
      <c r="AP287" s="20">
        <f t="shared" si="192"/>
        <v>0</v>
      </c>
      <c r="AQ287" s="20">
        <f t="shared" si="192"/>
        <v>0</v>
      </c>
      <c r="AR287" s="20">
        <f t="shared" si="192"/>
        <v>0</v>
      </c>
      <c r="AS287" s="20">
        <f t="shared" si="192"/>
        <v>0</v>
      </c>
      <c r="AT287" s="20">
        <f t="shared" si="192"/>
        <v>0</v>
      </c>
      <c r="AU287" s="20">
        <f t="shared" si="192"/>
        <v>0</v>
      </c>
      <c r="AV287" s="20">
        <f t="shared" si="192"/>
        <v>0</v>
      </c>
      <c r="AW287" s="20">
        <f t="shared" si="192"/>
        <v>0</v>
      </c>
      <c r="AX287" s="20">
        <f t="shared" si="192"/>
        <v>0</v>
      </c>
      <c r="AY287" s="20">
        <f t="shared" si="192"/>
        <v>0</v>
      </c>
      <c r="AZ287" s="20">
        <f t="shared" si="192"/>
        <v>0</v>
      </c>
      <c r="BA287" s="20">
        <f t="shared" si="192"/>
        <v>0</v>
      </c>
      <c r="BB287" s="20">
        <f t="shared" si="192"/>
        <v>0</v>
      </c>
      <c r="BC287" s="20">
        <f t="shared" si="192"/>
        <v>0</v>
      </c>
      <c r="BD287" s="20">
        <f t="shared" si="192"/>
        <v>0</v>
      </c>
      <c r="BE287" s="20">
        <f t="shared" si="192"/>
        <v>0</v>
      </c>
      <c r="BF287" s="20">
        <f t="shared" si="192"/>
        <v>0</v>
      </c>
      <c r="BG287" s="20">
        <f t="shared" si="192"/>
        <v>0</v>
      </c>
      <c r="BH287" s="20">
        <f t="shared" si="192"/>
        <v>0</v>
      </c>
      <c r="BI287" s="20">
        <f t="shared" si="192"/>
        <v>0</v>
      </c>
      <c r="BJ287" s="20">
        <f t="shared" si="192"/>
        <v>0</v>
      </c>
      <c r="BK287" s="20">
        <f t="shared" si="192"/>
        <v>0</v>
      </c>
      <c r="BL287" s="20">
        <f t="shared" si="192"/>
        <v>0</v>
      </c>
      <c r="BM287" s="20">
        <f t="shared" si="192"/>
        <v>0</v>
      </c>
      <c r="BN287" s="20">
        <f t="shared" si="192"/>
        <v>0</v>
      </c>
      <c r="BO287" s="2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</row>
    <row r="288" spans="1:147" ht="13">
      <c r="A288" s="2" t="s">
        <v>952</v>
      </c>
      <c r="B288" s="2" t="s">
        <v>903</v>
      </c>
      <c r="C288" s="2" t="s">
        <v>644</v>
      </c>
      <c r="D288" s="2" t="s">
        <v>524</v>
      </c>
      <c r="E288" s="9" t="s">
        <v>645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0">
        <f>(AH248-AH246+AH244+AH49+AH94+AH243)</f>
        <v>0</v>
      </c>
      <c r="AI288" s="20">
        <f t="shared" ref="AI288:BN288" si="193">(AI248-AI246+AI244+AI49+AI94+AI243)</f>
        <v>0</v>
      </c>
      <c r="AJ288" s="20">
        <f t="shared" si="193"/>
        <v>0</v>
      </c>
      <c r="AK288" s="20">
        <f t="shared" si="193"/>
        <v>0</v>
      </c>
      <c r="AL288" s="20">
        <f t="shared" si="193"/>
        <v>0</v>
      </c>
      <c r="AM288" s="20">
        <f t="shared" si="193"/>
        <v>0</v>
      </c>
      <c r="AN288" s="20">
        <f t="shared" si="193"/>
        <v>0</v>
      </c>
      <c r="AO288" s="20">
        <f t="shared" si="193"/>
        <v>0</v>
      </c>
      <c r="AP288" s="20">
        <f t="shared" si="193"/>
        <v>0</v>
      </c>
      <c r="AQ288" s="20">
        <f t="shared" si="193"/>
        <v>0</v>
      </c>
      <c r="AR288" s="20">
        <f t="shared" si="193"/>
        <v>0</v>
      </c>
      <c r="AS288" s="20">
        <f t="shared" si="193"/>
        <v>0</v>
      </c>
      <c r="AT288" s="20">
        <f t="shared" si="193"/>
        <v>0</v>
      </c>
      <c r="AU288" s="20">
        <f t="shared" si="193"/>
        <v>0</v>
      </c>
      <c r="AV288" s="20">
        <f t="shared" si="193"/>
        <v>0</v>
      </c>
      <c r="AW288" s="20">
        <f t="shared" si="193"/>
        <v>0</v>
      </c>
      <c r="AX288" s="20">
        <f t="shared" si="193"/>
        <v>0</v>
      </c>
      <c r="AY288" s="20">
        <f t="shared" si="193"/>
        <v>0</v>
      </c>
      <c r="AZ288" s="20">
        <f t="shared" si="193"/>
        <v>0</v>
      </c>
      <c r="BA288" s="20">
        <f t="shared" si="193"/>
        <v>0</v>
      </c>
      <c r="BB288" s="20">
        <f t="shared" si="193"/>
        <v>0</v>
      </c>
      <c r="BC288" s="20">
        <f t="shared" si="193"/>
        <v>0</v>
      </c>
      <c r="BD288" s="20">
        <f t="shared" si="193"/>
        <v>0</v>
      </c>
      <c r="BE288" s="20">
        <f t="shared" si="193"/>
        <v>0</v>
      </c>
      <c r="BF288" s="20">
        <f t="shared" si="193"/>
        <v>0</v>
      </c>
      <c r="BG288" s="20">
        <f t="shared" si="193"/>
        <v>0</v>
      </c>
      <c r="BH288" s="20">
        <f t="shared" si="193"/>
        <v>0</v>
      </c>
      <c r="BI288" s="20">
        <f t="shared" si="193"/>
        <v>0</v>
      </c>
      <c r="BJ288" s="20">
        <f t="shared" si="193"/>
        <v>0</v>
      </c>
      <c r="BK288" s="20">
        <f t="shared" si="193"/>
        <v>0</v>
      </c>
      <c r="BL288" s="20">
        <f t="shared" si="193"/>
        <v>0</v>
      </c>
      <c r="BM288" s="20">
        <f t="shared" si="193"/>
        <v>0</v>
      </c>
      <c r="BN288" s="20">
        <f t="shared" si="193"/>
        <v>0</v>
      </c>
      <c r="BO288" s="2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</row>
    <row r="289" spans="1:147" ht="13">
      <c r="A289" s="2" t="s">
        <v>953</v>
      </c>
      <c r="B289" s="2" t="s">
        <v>903</v>
      </c>
      <c r="C289" s="2" t="s">
        <v>646</v>
      </c>
      <c r="D289" s="2" t="s">
        <v>527</v>
      </c>
      <c r="E289" s="7" t="s">
        <v>647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0">
        <f>AH49+AH243+AG114</f>
        <v>0</v>
      </c>
      <c r="AI289" s="20">
        <f t="shared" ref="AI289:BN289" si="194">AI49+AI243+AH114</f>
        <v>0</v>
      </c>
      <c r="AJ289" s="20">
        <f t="shared" si="194"/>
        <v>0</v>
      </c>
      <c r="AK289" s="20">
        <f t="shared" si="194"/>
        <v>0</v>
      </c>
      <c r="AL289" s="20">
        <f t="shared" si="194"/>
        <v>0</v>
      </c>
      <c r="AM289" s="20">
        <f t="shared" si="194"/>
        <v>0</v>
      </c>
      <c r="AN289" s="20">
        <f t="shared" si="194"/>
        <v>0</v>
      </c>
      <c r="AO289" s="20">
        <f t="shared" si="194"/>
        <v>0</v>
      </c>
      <c r="AP289" s="20">
        <f t="shared" si="194"/>
        <v>0</v>
      </c>
      <c r="AQ289" s="20">
        <f t="shared" si="194"/>
        <v>0</v>
      </c>
      <c r="AR289" s="20">
        <f t="shared" si="194"/>
        <v>0</v>
      </c>
      <c r="AS289" s="20">
        <f t="shared" si="194"/>
        <v>0</v>
      </c>
      <c r="AT289" s="20">
        <f t="shared" si="194"/>
        <v>0</v>
      </c>
      <c r="AU289" s="20">
        <f t="shared" si="194"/>
        <v>0</v>
      </c>
      <c r="AV289" s="20">
        <f t="shared" si="194"/>
        <v>0</v>
      </c>
      <c r="AW289" s="20">
        <f t="shared" si="194"/>
        <v>0</v>
      </c>
      <c r="AX289" s="20">
        <f t="shared" si="194"/>
        <v>0</v>
      </c>
      <c r="AY289" s="20">
        <f t="shared" si="194"/>
        <v>0</v>
      </c>
      <c r="AZ289" s="20">
        <f t="shared" si="194"/>
        <v>0</v>
      </c>
      <c r="BA289" s="20">
        <f t="shared" si="194"/>
        <v>0</v>
      </c>
      <c r="BB289" s="20">
        <f t="shared" si="194"/>
        <v>0</v>
      </c>
      <c r="BC289" s="20">
        <f t="shared" si="194"/>
        <v>0</v>
      </c>
      <c r="BD289" s="20">
        <f t="shared" si="194"/>
        <v>0</v>
      </c>
      <c r="BE289" s="20">
        <f t="shared" si="194"/>
        <v>0</v>
      </c>
      <c r="BF289" s="20">
        <f t="shared" si="194"/>
        <v>0</v>
      </c>
      <c r="BG289" s="20">
        <f t="shared" si="194"/>
        <v>0</v>
      </c>
      <c r="BH289" s="20">
        <f t="shared" si="194"/>
        <v>0</v>
      </c>
      <c r="BI289" s="20">
        <f t="shared" si="194"/>
        <v>0</v>
      </c>
      <c r="BJ289" s="20">
        <f t="shared" si="194"/>
        <v>0</v>
      </c>
      <c r="BK289" s="20">
        <f t="shared" si="194"/>
        <v>0</v>
      </c>
      <c r="BL289" s="20">
        <f t="shared" si="194"/>
        <v>0</v>
      </c>
      <c r="BM289" s="20">
        <f t="shared" si="194"/>
        <v>0</v>
      </c>
      <c r="BN289" s="20">
        <f t="shared" si="194"/>
        <v>0</v>
      </c>
      <c r="BO289" s="2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</row>
    <row r="290" spans="1:147" ht="13">
      <c r="A290" s="2" t="s">
        <v>954</v>
      </c>
      <c r="B290" s="2" t="s">
        <v>903</v>
      </c>
      <c r="C290" s="2" t="s">
        <v>648</v>
      </c>
      <c r="D290" s="2" t="s">
        <v>530</v>
      </c>
      <c r="E290" s="7" t="s">
        <v>649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0">
        <f>IFERROR(AH288/AH289,0)</f>
        <v>0</v>
      </c>
      <c r="AI290" s="20">
        <f t="shared" ref="AI290:BN290" si="195">IFERROR(AI288/AI289,0)</f>
        <v>0</v>
      </c>
      <c r="AJ290" s="20">
        <f t="shared" si="195"/>
        <v>0</v>
      </c>
      <c r="AK290" s="20">
        <f t="shared" si="195"/>
        <v>0</v>
      </c>
      <c r="AL290" s="20">
        <f t="shared" si="195"/>
        <v>0</v>
      </c>
      <c r="AM290" s="20">
        <f t="shared" si="195"/>
        <v>0</v>
      </c>
      <c r="AN290" s="20">
        <f t="shared" si="195"/>
        <v>0</v>
      </c>
      <c r="AO290" s="20">
        <f t="shared" si="195"/>
        <v>0</v>
      </c>
      <c r="AP290" s="20">
        <f t="shared" si="195"/>
        <v>0</v>
      </c>
      <c r="AQ290" s="20">
        <f t="shared" si="195"/>
        <v>0</v>
      </c>
      <c r="AR290" s="20">
        <f t="shared" si="195"/>
        <v>0</v>
      </c>
      <c r="AS290" s="20">
        <f t="shared" si="195"/>
        <v>0</v>
      </c>
      <c r="AT290" s="20">
        <f t="shared" si="195"/>
        <v>0</v>
      </c>
      <c r="AU290" s="20">
        <f t="shared" si="195"/>
        <v>0</v>
      </c>
      <c r="AV290" s="20">
        <f t="shared" si="195"/>
        <v>0</v>
      </c>
      <c r="AW290" s="20">
        <f t="shared" si="195"/>
        <v>0</v>
      </c>
      <c r="AX290" s="20">
        <f t="shared" si="195"/>
        <v>0</v>
      </c>
      <c r="AY290" s="20">
        <f t="shared" si="195"/>
        <v>0</v>
      </c>
      <c r="AZ290" s="20">
        <f t="shared" si="195"/>
        <v>0</v>
      </c>
      <c r="BA290" s="20">
        <f t="shared" si="195"/>
        <v>0</v>
      </c>
      <c r="BB290" s="20">
        <f t="shared" si="195"/>
        <v>0</v>
      </c>
      <c r="BC290" s="20">
        <f t="shared" si="195"/>
        <v>0</v>
      </c>
      <c r="BD290" s="20">
        <f t="shared" si="195"/>
        <v>0</v>
      </c>
      <c r="BE290" s="20">
        <f t="shared" si="195"/>
        <v>0</v>
      </c>
      <c r="BF290" s="20">
        <f t="shared" si="195"/>
        <v>0</v>
      </c>
      <c r="BG290" s="20">
        <f t="shared" si="195"/>
        <v>0</v>
      </c>
      <c r="BH290" s="20">
        <f t="shared" si="195"/>
        <v>0</v>
      </c>
      <c r="BI290" s="20">
        <f t="shared" si="195"/>
        <v>0</v>
      </c>
      <c r="BJ290" s="20">
        <f t="shared" si="195"/>
        <v>0</v>
      </c>
      <c r="BK290" s="20">
        <f t="shared" si="195"/>
        <v>0</v>
      </c>
      <c r="BL290" s="20">
        <f t="shared" si="195"/>
        <v>0</v>
      </c>
      <c r="BM290" s="20">
        <f t="shared" si="195"/>
        <v>0</v>
      </c>
      <c r="BN290" s="20">
        <f t="shared" si="195"/>
        <v>0</v>
      </c>
      <c r="BO290" s="2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</row>
    <row r="291" spans="1:147" ht="13">
      <c r="A291" s="2" t="s">
        <v>955</v>
      </c>
      <c r="B291" s="2" t="s">
        <v>903</v>
      </c>
      <c r="C291" s="2" t="s">
        <v>650</v>
      </c>
      <c r="D291" s="2" t="s">
        <v>531</v>
      </c>
      <c r="E291" s="9" t="s">
        <v>651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0">
        <f t="shared" ref="AH291" si="196">AH223-AH264</f>
        <v>0</v>
      </c>
      <c r="AI291" s="20">
        <f t="shared" ref="AI291:BN291" si="197">AI223-AI264</f>
        <v>0</v>
      </c>
      <c r="AJ291" s="20">
        <f t="shared" si="197"/>
        <v>0</v>
      </c>
      <c r="AK291" s="20">
        <f t="shared" si="197"/>
        <v>0</v>
      </c>
      <c r="AL291" s="20">
        <f t="shared" si="197"/>
        <v>0</v>
      </c>
      <c r="AM291" s="20">
        <f t="shared" si="197"/>
        <v>0</v>
      </c>
      <c r="AN291" s="20">
        <f t="shared" si="197"/>
        <v>0</v>
      </c>
      <c r="AO291" s="20">
        <f t="shared" si="197"/>
        <v>0</v>
      </c>
      <c r="AP291" s="20">
        <f t="shared" si="197"/>
        <v>0</v>
      </c>
      <c r="AQ291" s="20">
        <f t="shared" si="197"/>
        <v>0</v>
      </c>
      <c r="AR291" s="20">
        <f t="shared" si="197"/>
        <v>0</v>
      </c>
      <c r="AS291" s="20">
        <f t="shared" si="197"/>
        <v>0</v>
      </c>
      <c r="AT291" s="20">
        <f t="shared" si="197"/>
        <v>0</v>
      </c>
      <c r="AU291" s="20">
        <f t="shared" si="197"/>
        <v>0</v>
      </c>
      <c r="AV291" s="20">
        <f t="shared" si="197"/>
        <v>0</v>
      </c>
      <c r="AW291" s="20">
        <f t="shared" si="197"/>
        <v>0</v>
      </c>
      <c r="AX291" s="20">
        <f t="shared" si="197"/>
        <v>0</v>
      </c>
      <c r="AY291" s="20">
        <f t="shared" si="197"/>
        <v>0</v>
      </c>
      <c r="AZ291" s="20">
        <f t="shared" si="197"/>
        <v>0</v>
      </c>
      <c r="BA291" s="20">
        <f t="shared" si="197"/>
        <v>0</v>
      </c>
      <c r="BB291" s="20">
        <f t="shared" si="197"/>
        <v>0</v>
      </c>
      <c r="BC291" s="20">
        <f t="shared" si="197"/>
        <v>0</v>
      </c>
      <c r="BD291" s="20">
        <f t="shared" si="197"/>
        <v>0</v>
      </c>
      <c r="BE291" s="20">
        <f t="shared" si="197"/>
        <v>0</v>
      </c>
      <c r="BF291" s="20">
        <f t="shared" si="197"/>
        <v>0</v>
      </c>
      <c r="BG291" s="20">
        <f t="shared" si="197"/>
        <v>0</v>
      </c>
      <c r="BH291" s="20">
        <f t="shared" si="197"/>
        <v>0</v>
      </c>
      <c r="BI291" s="20">
        <f t="shared" si="197"/>
        <v>0</v>
      </c>
      <c r="BJ291" s="20">
        <f t="shared" si="197"/>
        <v>0</v>
      </c>
      <c r="BK291" s="20">
        <f t="shared" si="197"/>
        <v>0</v>
      </c>
      <c r="BL291" s="20">
        <f t="shared" si="197"/>
        <v>0</v>
      </c>
      <c r="BM291" s="20">
        <f t="shared" si="197"/>
        <v>0</v>
      </c>
      <c r="BN291" s="20">
        <f t="shared" si="197"/>
        <v>0</v>
      </c>
      <c r="BO291" s="2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</row>
    <row r="292" spans="1:147" ht="13">
      <c r="A292" s="2" t="s">
        <v>956</v>
      </c>
      <c r="B292" s="2" t="s">
        <v>903</v>
      </c>
      <c r="C292" s="2" t="s">
        <v>652</v>
      </c>
      <c r="D292" s="2" t="s">
        <v>533</v>
      </c>
      <c r="E292" s="7" t="s">
        <v>653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0">
        <f>IFERROR(AH250/AH265*100,0)</f>
        <v>0</v>
      </c>
      <c r="AI292" s="20">
        <f t="shared" ref="AI292:BN292" si="198">IFERROR(AI250/AI265*100,0)</f>
        <v>0</v>
      </c>
      <c r="AJ292" s="20">
        <f t="shared" si="198"/>
        <v>0</v>
      </c>
      <c r="AK292" s="20">
        <f t="shared" si="198"/>
        <v>0</v>
      </c>
      <c r="AL292" s="20">
        <f t="shared" si="198"/>
        <v>0</v>
      </c>
      <c r="AM292" s="20">
        <f t="shared" si="198"/>
        <v>0</v>
      </c>
      <c r="AN292" s="20">
        <f t="shared" si="198"/>
        <v>0</v>
      </c>
      <c r="AO292" s="20">
        <f t="shared" si="198"/>
        <v>0</v>
      </c>
      <c r="AP292" s="20">
        <f t="shared" si="198"/>
        <v>0</v>
      </c>
      <c r="AQ292" s="20">
        <f t="shared" si="198"/>
        <v>0</v>
      </c>
      <c r="AR292" s="20">
        <f t="shared" si="198"/>
        <v>0</v>
      </c>
      <c r="AS292" s="20">
        <f t="shared" si="198"/>
        <v>0</v>
      </c>
      <c r="AT292" s="20">
        <f t="shared" si="198"/>
        <v>0</v>
      </c>
      <c r="AU292" s="20">
        <f t="shared" si="198"/>
        <v>0</v>
      </c>
      <c r="AV292" s="20">
        <f t="shared" si="198"/>
        <v>0</v>
      </c>
      <c r="AW292" s="20">
        <f t="shared" si="198"/>
        <v>0</v>
      </c>
      <c r="AX292" s="20">
        <f t="shared" si="198"/>
        <v>0</v>
      </c>
      <c r="AY292" s="20">
        <f t="shared" si="198"/>
        <v>0</v>
      </c>
      <c r="AZ292" s="20">
        <f t="shared" si="198"/>
        <v>0</v>
      </c>
      <c r="BA292" s="20">
        <f t="shared" si="198"/>
        <v>0</v>
      </c>
      <c r="BB292" s="20">
        <f t="shared" si="198"/>
        <v>0</v>
      </c>
      <c r="BC292" s="20">
        <f t="shared" si="198"/>
        <v>0</v>
      </c>
      <c r="BD292" s="20">
        <f t="shared" si="198"/>
        <v>0</v>
      </c>
      <c r="BE292" s="20">
        <f t="shared" si="198"/>
        <v>0</v>
      </c>
      <c r="BF292" s="20">
        <f t="shared" si="198"/>
        <v>0</v>
      </c>
      <c r="BG292" s="20">
        <f t="shared" si="198"/>
        <v>0</v>
      </c>
      <c r="BH292" s="20">
        <f t="shared" si="198"/>
        <v>0</v>
      </c>
      <c r="BI292" s="20">
        <f t="shared" si="198"/>
        <v>0</v>
      </c>
      <c r="BJ292" s="20">
        <f t="shared" si="198"/>
        <v>0</v>
      </c>
      <c r="BK292" s="20">
        <f t="shared" si="198"/>
        <v>0</v>
      </c>
      <c r="BL292" s="20">
        <f t="shared" si="198"/>
        <v>0</v>
      </c>
      <c r="BM292" s="20">
        <f t="shared" si="198"/>
        <v>0</v>
      </c>
      <c r="BN292" s="20">
        <f t="shared" si="198"/>
        <v>0</v>
      </c>
      <c r="BO292" s="2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</row>
    <row r="293" spans="1:147" ht="13">
      <c r="A293" s="2" t="s">
        <v>957</v>
      </c>
      <c r="B293" s="2" t="s">
        <v>903</v>
      </c>
      <c r="C293" s="2" t="s">
        <v>654</v>
      </c>
      <c r="D293" s="2" t="s">
        <v>534</v>
      </c>
      <c r="E293" s="7" t="s">
        <v>203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0">
        <f>IFERROR(AH160/AH265,0)</f>
        <v>0</v>
      </c>
      <c r="AI293" s="20">
        <f t="shared" ref="AI293:BN293" si="199">IFERROR(AI160/AI265,0)</f>
        <v>0</v>
      </c>
      <c r="AJ293" s="20">
        <f t="shared" si="199"/>
        <v>0</v>
      </c>
      <c r="AK293" s="20">
        <f t="shared" si="199"/>
        <v>0</v>
      </c>
      <c r="AL293" s="20">
        <f t="shared" si="199"/>
        <v>0</v>
      </c>
      <c r="AM293" s="20">
        <f t="shared" si="199"/>
        <v>0</v>
      </c>
      <c r="AN293" s="20">
        <f t="shared" si="199"/>
        <v>0</v>
      </c>
      <c r="AO293" s="20">
        <f t="shared" si="199"/>
        <v>0</v>
      </c>
      <c r="AP293" s="20">
        <f t="shared" si="199"/>
        <v>0</v>
      </c>
      <c r="AQ293" s="20">
        <f t="shared" si="199"/>
        <v>0</v>
      </c>
      <c r="AR293" s="20">
        <f t="shared" si="199"/>
        <v>0</v>
      </c>
      <c r="AS293" s="20">
        <f t="shared" si="199"/>
        <v>0</v>
      </c>
      <c r="AT293" s="20">
        <f t="shared" si="199"/>
        <v>0</v>
      </c>
      <c r="AU293" s="20">
        <f t="shared" si="199"/>
        <v>0</v>
      </c>
      <c r="AV293" s="20">
        <f t="shared" si="199"/>
        <v>0</v>
      </c>
      <c r="AW293" s="20">
        <f t="shared" si="199"/>
        <v>0</v>
      </c>
      <c r="AX293" s="20">
        <f t="shared" si="199"/>
        <v>0</v>
      </c>
      <c r="AY293" s="20">
        <f t="shared" si="199"/>
        <v>0</v>
      </c>
      <c r="AZ293" s="20">
        <f t="shared" si="199"/>
        <v>0</v>
      </c>
      <c r="BA293" s="20">
        <f t="shared" si="199"/>
        <v>0</v>
      </c>
      <c r="BB293" s="20">
        <f t="shared" si="199"/>
        <v>0</v>
      </c>
      <c r="BC293" s="20">
        <f t="shared" si="199"/>
        <v>0</v>
      </c>
      <c r="BD293" s="20">
        <f t="shared" si="199"/>
        <v>0</v>
      </c>
      <c r="BE293" s="20">
        <f t="shared" si="199"/>
        <v>0</v>
      </c>
      <c r="BF293" s="20">
        <f t="shared" si="199"/>
        <v>0</v>
      </c>
      <c r="BG293" s="20">
        <f t="shared" si="199"/>
        <v>0</v>
      </c>
      <c r="BH293" s="20">
        <f t="shared" si="199"/>
        <v>0</v>
      </c>
      <c r="BI293" s="20">
        <f t="shared" si="199"/>
        <v>0</v>
      </c>
      <c r="BJ293" s="20">
        <f t="shared" si="199"/>
        <v>0</v>
      </c>
      <c r="BK293" s="20">
        <f t="shared" si="199"/>
        <v>0</v>
      </c>
      <c r="BL293" s="20">
        <f t="shared" si="199"/>
        <v>0</v>
      </c>
      <c r="BM293" s="20">
        <f t="shared" si="199"/>
        <v>0</v>
      </c>
      <c r="BN293" s="20">
        <f t="shared" si="199"/>
        <v>0</v>
      </c>
      <c r="BO293" s="2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</row>
    <row r="294" spans="1:147" ht="13">
      <c r="A294" s="2" t="s">
        <v>958</v>
      </c>
      <c r="B294" s="2" t="s">
        <v>903</v>
      </c>
      <c r="C294" s="2" t="s">
        <v>655</v>
      </c>
      <c r="D294" s="2" t="s">
        <v>536</v>
      </c>
      <c r="E294" s="7" t="s">
        <v>656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0">
        <f>IFERROR(AH250/AG114,0)</f>
        <v>0</v>
      </c>
      <c r="AI294" s="20">
        <f t="shared" ref="AI294:BN294" si="200">IFERROR(AI250/AH114,0)</f>
        <v>0</v>
      </c>
      <c r="AJ294" s="20">
        <f t="shared" si="200"/>
        <v>0</v>
      </c>
      <c r="AK294" s="20">
        <f t="shared" si="200"/>
        <v>0</v>
      </c>
      <c r="AL294" s="20">
        <f t="shared" si="200"/>
        <v>0</v>
      </c>
      <c r="AM294" s="20">
        <f t="shared" si="200"/>
        <v>0</v>
      </c>
      <c r="AN294" s="20">
        <f t="shared" si="200"/>
        <v>0</v>
      </c>
      <c r="AO294" s="20">
        <f t="shared" si="200"/>
        <v>0</v>
      </c>
      <c r="AP294" s="20">
        <f t="shared" si="200"/>
        <v>0</v>
      </c>
      <c r="AQ294" s="20">
        <f t="shared" si="200"/>
        <v>0</v>
      </c>
      <c r="AR294" s="20">
        <f t="shared" si="200"/>
        <v>0</v>
      </c>
      <c r="AS294" s="20">
        <f t="shared" si="200"/>
        <v>0</v>
      </c>
      <c r="AT294" s="20">
        <f t="shared" si="200"/>
        <v>0</v>
      </c>
      <c r="AU294" s="20">
        <f t="shared" si="200"/>
        <v>0</v>
      </c>
      <c r="AV294" s="20">
        <f t="shared" si="200"/>
        <v>0</v>
      </c>
      <c r="AW294" s="20">
        <f t="shared" si="200"/>
        <v>0</v>
      </c>
      <c r="AX294" s="20">
        <f t="shared" si="200"/>
        <v>0</v>
      </c>
      <c r="AY294" s="20">
        <f t="shared" si="200"/>
        <v>0</v>
      </c>
      <c r="AZ294" s="20">
        <f t="shared" si="200"/>
        <v>0</v>
      </c>
      <c r="BA294" s="20">
        <f t="shared" si="200"/>
        <v>0</v>
      </c>
      <c r="BB294" s="20">
        <f t="shared" si="200"/>
        <v>0</v>
      </c>
      <c r="BC294" s="20">
        <f t="shared" si="200"/>
        <v>0</v>
      </c>
      <c r="BD294" s="20">
        <f t="shared" si="200"/>
        <v>0</v>
      </c>
      <c r="BE294" s="20">
        <f t="shared" si="200"/>
        <v>0</v>
      </c>
      <c r="BF294" s="20">
        <f t="shared" si="200"/>
        <v>0</v>
      </c>
      <c r="BG294" s="20">
        <f t="shared" si="200"/>
        <v>0</v>
      </c>
      <c r="BH294" s="20">
        <f t="shared" si="200"/>
        <v>0</v>
      </c>
      <c r="BI294" s="20">
        <f t="shared" si="200"/>
        <v>0</v>
      </c>
      <c r="BJ294" s="20">
        <f t="shared" si="200"/>
        <v>0</v>
      </c>
      <c r="BK294" s="20">
        <f t="shared" si="200"/>
        <v>0</v>
      </c>
      <c r="BL294" s="20">
        <f t="shared" si="200"/>
        <v>0</v>
      </c>
      <c r="BM294" s="20">
        <f t="shared" si="200"/>
        <v>0</v>
      </c>
      <c r="BN294" s="20">
        <f t="shared" si="200"/>
        <v>0</v>
      </c>
      <c r="BO294" s="2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</row>
    <row r="295" spans="1:147" ht="13">
      <c r="A295" s="2" t="s">
        <v>959</v>
      </c>
      <c r="B295" s="2" t="s">
        <v>903</v>
      </c>
      <c r="C295" s="2" t="s">
        <v>657</v>
      </c>
      <c r="D295" s="2" t="s">
        <v>537</v>
      </c>
      <c r="E295" s="7" t="s">
        <v>658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0">
        <f>IFERROR((AH27-AG27)/AG27*100,0)</f>
        <v>0</v>
      </c>
      <c r="AI295" s="20">
        <f t="shared" ref="AI295:BN295" si="201">IFERROR((AI27-AH27)/AH27*100,0)</f>
        <v>0</v>
      </c>
      <c r="AJ295" s="20">
        <f t="shared" si="201"/>
        <v>0</v>
      </c>
      <c r="AK295" s="20">
        <f t="shared" si="201"/>
        <v>0</v>
      </c>
      <c r="AL295" s="20">
        <f t="shared" si="201"/>
        <v>0</v>
      </c>
      <c r="AM295" s="20">
        <f t="shared" si="201"/>
        <v>0</v>
      </c>
      <c r="AN295" s="20">
        <f t="shared" si="201"/>
        <v>0</v>
      </c>
      <c r="AO295" s="20">
        <f t="shared" si="201"/>
        <v>0</v>
      </c>
      <c r="AP295" s="20">
        <f t="shared" si="201"/>
        <v>0</v>
      </c>
      <c r="AQ295" s="20">
        <f t="shared" si="201"/>
        <v>0</v>
      </c>
      <c r="AR295" s="20">
        <f t="shared" si="201"/>
        <v>0</v>
      </c>
      <c r="AS295" s="20">
        <f t="shared" si="201"/>
        <v>0</v>
      </c>
      <c r="AT295" s="20">
        <f t="shared" si="201"/>
        <v>0</v>
      </c>
      <c r="AU295" s="20">
        <f t="shared" si="201"/>
        <v>0</v>
      </c>
      <c r="AV295" s="20">
        <f t="shared" si="201"/>
        <v>0</v>
      </c>
      <c r="AW295" s="20">
        <f t="shared" si="201"/>
        <v>0</v>
      </c>
      <c r="AX295" s="20">
        <f t="shared" si="201"/>
        <v>0</v>
      </c>
      <c r="AY295" s="20">
        <f t="shared" si="201"/>
        <v>0</v>
      </c>
      <c r="AZ295" s="20">
        <f t="shared" si="201"/>
        <v>0</v>
      </c>
      <c r="BA295" s="20">
        <f t="shared" si="201"/>
        <v>0</v>
      </c>
      <c r="BB295" s="20">
        <f t="shared" si="201"/>
        <v>0</v>
      </c>
      <c r="BC295" s="20">
        <f t="shared" si="201"/>
        <v>0</v>
      </c>
      <c r="BD295" s="20">
        <f t="shared" si="201"/>
        <v>0</v>
      </c>
      <c r="BE295" s="20">
        <f t="shared" si="201"/>
        <v>0</v>
      </c>
      <c r="BF295" s="20">
        <f t="shared" si="201"/>
        <v>0</v>
      </c>
      <c r="BG295" s="20">
        <f t="shared" si="201"/>
        <v>0</v>
      </c>
      <c r="BH295" s="20">
        <f t="shared" si="201"/>
        <v>0</v>
      </c>
      <c r="BI295" s="20">
        <f t="shared" si="201"/>
        <v>0</v>
      </c>
      <c r="BJ295" s="20">
        <f t="shared" si="201"/>
        <v>0</v>
      </c>
      <c r="BK295" s="20">
        <f t="shared" si="201"/>
        <v>0</v>
      </c>
      <c r="BL295" s="20">
        <f t="shared" si="201"/>
        <v>0</v>
      </c>
      <c r="BM295" s="20">
        <f t="shared" si="201"/>
        <v>0</v>
      </c>
      <c r="BN295" s="20">
        <f t="shared" si="201"/>
        <v>0</v>
      </c>
      <c r="BO295" s="2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</row>
    <row r="296" spans="1:147" ht="13">
      <c r="A296" s="2" t="s">
        <v>960</v>
      </c>
      <c r="B296" s="2" t="s">
        <v>903</v>
      </c>
      <c r="C296" s="2" t="s">
        <v>659</v>
      </c>
      <c r="D296" s="2" t="s">
        <v>660</v>
      </c>
      <c r="E296" s="7" t="s">
        <v>212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0">
        <f t="shared" ref="AH296" si="202">AH285</f>
        <v>0</v>
      </c>
      <c r="AI296" s="20">
        <f t="shared" ref="AI296:BN296" si="203">AI285</f>
        <v>0</v>
      </c>
      <c r="AJ296" s="20">
        <f t="shared" si="203"/>
        <v>0</v>
      </c>
      <c r="AK296" s="20">
        <f t="shared" si="203"/>
        <v>0</v>
      </c>
      <c r="AL296" s="20">
        <f t="shared" si="203"/>
        <v>0</v>
      </c>
      <c r="AM296" s="20">
        <f t="shared" si="203"/>
        <v>0</v>
      </c>
      <c r="AN296" s="20">
        <f t="shared" si="203"/>
        <v>0</v>
      </c>
      <c r="AO296" s="20">
        <f t="shared" si="203"/>
        <v>0</v>
      </c>
      <c r="AP296" s="20">
        <f t="shared" si="203"/>
        <v>0</v>
      </c>
      <c r="AQ296" s="20">
        <f t="shared" si="203"/>
        <v>0</v>
      </c>
      <c r="AR296" s="20">
        <f t="shared" si="203"/>
        <v>0</v>
      </c>
      <c r="AS296" s="20">
        <f t="shared" si="203"/>
        <v>0</v>
      </c>
      <c r="AT296" s="20">
        <f t="shared" si="203"/>
        <v>0</v>
      </c>
      <c r="AU296" s="20">
        <f t="shared" si="203"/>
        <v>0</v>
      </c>
      <c r="AV296" s="20">
        <f t="shared" si="203"/>
        <v>0</v>
      </c>
      <c r="AW296" s="20">
        <f t="shared" si="203"/>
        <v>0</v>
      </c>
      <c r="AX296" s="20">
        <f t="shared" si="203"/>
        <v>0</v>
      </c>
      <c r="AY296" s="20">
        <f t="shared" si="203"/>
        <v>0</v>
      </c>
      <c r="AZ296" s="20">
        <f t="shared" si="203"/>
        <v>0</v>
      </c>
      <c r="BA296" s="20">
        <f t="shared" si="203"/>
        <v>0</v>
      </c>
      <c r="BB296" s="20">
        <f t="shared" si="203"/>
        <v>0</v>
      </c>
      <c r="BC296" s="20">
        <f t="shared" si="203"/>
        <v>0</v>
      </c>
      <c r="BD296" s="20">
        <f t="shared" si="203"/>
        <v>0</v>
      </c>
      <c r="BE296" s="20">
        <f t="shared" si="203"/>
        <v>0</v>
      </c>
      <c r="BF296" s="20">
        <f t="shared" si="203"/>
        <v>0</v>
      </c>
      <c r="BG296" s="20">
        <f t="shared" si="203"/>
        <v>0</v>
      </c>
      <c r="BH296" s="20">
        <f t="shared" si="203"/>
        <v>0</v>
      </c>
      <c r="BI296" s="20">
        <f t="shared" si="203"/>
        <v>0</v>
      </c>
      <c r="BJ296" s="20">
        <f t="shared" si="203"/>
        <v>0</v>
      </c>
      <c r="BK296" s="20">
        <f t="shared" si="203"/>
        <v>0</v>
      </c>
      <c r="BL296" s="20">
        <f t="shared" si="203"/>
        <v>0</v>
      </c>
      <c r="BM296" s="20">
        <f t="shared" si="203"/>
        <v>0</v>
      </c>
      <c r="BN296" s="20">
        <f t="shared" si="203"/>
        <v>0</v>
      </c>
      <c r="BO296" s="2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</row>
    <row r="297" spans="1:147" ht="13">
      <c r="A297" s="2" t="s">
        <v>961</v>
      </c>
      <c r="B297" s="2" t="s">
        <v>903</v>
      </c>
      <c r="C297" s="2" t="s">
        <v>661</v>
      </c>
      <c r="D297" s="2" t="s">
        <v>662</v>
      </c>
      <c r="E297" s="7" t="s">
        <v>663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0">
        <f>IFERROR((AH296-AG296)/AG296*100,0)</f>
        <v>0</v>
      </c>
      <c r="AI297" s="20">
        <f t="shared" ref="AI297:BN297" si="204">IFERROR((AI296-AH296)/AH296*100,0)</f>
        <v>0</v>
      </c>
      <c r="AJ297" s="20">
        <f t="shared" si="204"/>
        <v>0</v>
      </c>
      <c r="AK297" s="20">
        <f t="shared" si="204"/>
        <v>0</v>
      </c>
      <c r="AL297" s="20">
        <f t="shared" si="204"/>
        <v>0</v>
      </c>
      <c r="AM297" s="20">
        <f t="shared" si="204"/>
        <v>0</v>
      </c>
      <c r="AN297" s="20">
        <f t="shared" si="204"/>
        <v>0</v>
      </c>
      <c r="AO297" s="20">
        <f t="shared" si="204"/>
        <v>0</v>
      </c>
      <c r="AP297" s="20">
        <f t="shared" si="204"/>
        <v>0</v>
      </c>
      <c r="AQ297" s="20">
        <f t="shared" si="204"/>
        <v>0</v>
      </c>
      <c r="AR297" s="20">
        <f t="shared" si="204"/>
        <v>0</v>
      </c>
      <c r="AS297" s="20">
        <f t="shared" si="204"/>
        <v>0</v>
      </c>
      <c r="AT297" s="20">
        <f t="shared" si="204"/>
        <v>0</v>
      </c>
      <c r="AU297" s="20">
        <f t="shared" si="204"/>
        <v>0</v>
      </c>
      <c r="AV297" s="20">
        <f t="shared" si="204"/>
        <v>0</v>
      </c>
      <c r="AW297" s="20">
        <f t="shared" si="204"/>
        <v>0</v>
      </c>
      <c r="AX297" s="20">
        <f t="shared" si="204"/>
        <v>0</v>
      </c>
      <c r="AY297" s="20">
        <f t="shared" si="204"/>
        <v>0</v>
      </c>
      <c r="AZ297" s="20">
        <f t="shared" si="204"/>
        <v>0</v>
      </c>
      <c r="BA297" s="20">
        <f t="shared" si="204"/>
        <v>0</v>
      </c>
      <c r="BB297" s="20">
        <f t="shared" si="204"/>
        <v>0</v>
      </c>
      <c r="BC297" s="20">
        <f t="shared" si="204"/>
        <v>0</v>
      </c>
      <c r="BD297" s="20">
        <f t="shared" si="204"/>
        <v>0</v>
      </c>
      <c r="BE297" s="20">
        <f t="shared" si="204"/>
        <v>0</v>
      </c>
      <c r="BF297" s="20">
        <f t="shared" si="204"/>
        <v>0</v>
      </c>
      <c r="BG297" s="20">
        <f t="shared" si="204"/>
        <v>0</v>
      </c>
      <c r="BH297" s="20">
        <f t="shared" si="204"/>
        <v>0</v>
      </c>
      <c r="BI297" s="20">
        <f t="shared" si="204"/>
        <v>0</v>
      </c>
      <c r="BJ297" s="20">
        <f t="shared" si="204"/>
        <v>0</v>
      </c>
      <c r="BK297" s="20">
        <f t="shared" si="204"/>
        <v>0</v>
      </c>
      <c r="BL297" s="20">
        <f t="shared" si="204"/>
        <v>0</v>
      </c>
      <c r="BM297" s="20">
        <f t="shared" si="204"/>
        <v>0</v>
      </c>
      <c r="BN297" s="20">
        <f t="shared" si="204"/>
        <v>0</v>
      </c>
      <c r="BO297" s="2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</row>
    <row r="298" spans="1:147" ht="13">
      <c r="A298" s="2" t="s">
        <v>990</v>
      </c>
      <c r="B298" s="2" t="s">
        <v>903</v>
      </c>
      <c r="C298" s="2" t="s">
        <v>664</v>
      </c>
      <c r="D298" s="2" t="s">
        <v>991</v>
      </c>
      <c r="E298" s="7" t="s">
        <v>992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0">
        <f t="shared" ref="AH298:BN298" si="205">AH252+AH258+AH259+AH262</f>
        <v>0</v>
      </c>
      <c r="AI298" s="20">
        <f t="shared" si="205"/>
        <v>0</v>
      </c>
      <c r="AJ298" s="20">
        <f t="shared" si="205"/>
        <v>0</v>
      </c>
      <c r="AK298" s="20">
        <f t="shared" si="205"/>
        <v>0</v>
      </c>
      <c r="AL298" s="20">
        <f t="shared" si="205"/>
        <v>0</v>
      </c>
      <c r="AM298" s="20">
        <f t="shared" si="205"/>
        <v>0</v>
      </c>
      <c r="AN298" s="20">
        <f t="shared" si="205"/>
        <v>0</v>
      </c>
      <c r="AO298" s="20">
        <f t="shared" si="205"/>
        <v>0</v>
      </c>
      <c r="AP298" s="20">
        <f t="shared" si="205"/>
        <v>0</v>
      </c>
      <c r="AQ298" s="20">
        <f t="shared" si="205"/>
        <v>0</v>
      </c>
      <c r="AR298" s="20">
        <f t="shared" si="205"/>
        <v>0</v>
      </c>
      <c r="AS298" s="20">
        <f t="shared" si="205"/>
        <v>0</v>
      </c>
      <c r="AT298" s="20">
        <f t="shared" si="205"/>
        <v>0</v>
      </c>
      <c r="AU298" s="20">
        <f t="shared" si="205"/>
        <v>0</v>
      </c>
      <c r="AV298" s="20">
        <f t="shared" si="205"/>
        <v>0</v>
      </c>
      <c r="AW298" s="20">
        <f t="shared" si="205"/>
        <v>0</v>
      </c>
      <c r="AX298" s="20">
        <f t="shared" si="205"/>
        <v>0</v>
      </c>
      <c r="AY298" s="20">
        <f t="shared" si="205"/>
        <v>0</v>
      </c>
      <c r="AZ298" s="20">
        <f t="shared" si="205"/>
        <v>0</v>
      </c>
      <c r="BA298" s="20">
        <f t="shared" si="205"/>
        <v>0</v>
      </c>
      <c r="BB298" s="20">
        <f t="shared" si="205"/>
        <v>0</v>
      </c>
      <c r="BC298" s="20">
        <f t="shared" si="205"/>
        <v>0</v>
      </c>
      <c r="BD298" s="20">
        <f t="shared" si="205"/>
        <v>0</v>
      </c>
      <c r="BE298" s="20">
        <f t="shared" si="205"/>
        <v>0</v>
      </c>
      <c r="BF298" s="20">
        <f t="shared" si="205"/>
        <v>0</v>
      </c>
      <c r="BG298" s="20">
        <f t="shared" si="205"/>
        <v>0</v>
      </c>
      <c r="BH298" s="20">
        <f t="shared" si="205"/>
        <v>0</v>
      </c>
      <c r="BI298" s="20">
        <f t="shared" si="205"/>
        <v>0</v>
      </c>
      <c r="BJ298" s="20">
        <f t="shared" si="205"/>
        <v>0</v>
      </c>
      <c r="BK298" s="20">
        <f t="shared" si="205"/>
        <v>0</v>
      </c>
      <c r="BL298" s="20">
        <f t="shared" si="205"/>
        <v>0</v>
      </c>
      <c r="BM298" s="20">
        <f t="shared" si="205"/>
        <v>0</v>
      </c>
      <c r="BN298" s="20">
        <f t="shared" si="205"/>
        <v>0</v>
      </c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</row>
    <row r="299" spans="1:147">
      <c r="A299" s="2" t="s">
        <v>962</v>
      </c>
      <c r="B299" s="2" t="s">
        <v>903</v>
      </c>
      <c r="C299" s="2" t="s">
        <v>665</v>
      </c>
      <c r="D299" s="2" t="s">
        <v>25</v>
      </c>
      <c r="E299" s="46" t="s">
        <v>35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2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</row>
    <row r="300" spans="1:147" ht="13">
      <c r="A300" s="2" t="s">
        <v>963</v>
      </c>
      <c r="B300" s="2" t="s">
        <v>903</v>
      </c>
      <c r="C300" s="2" t="s">
        <v>671</v>
      </c>
      <c r="D300" s="2"/>
      <c r="E300" s="9" t="s">
        <v>215</v>
      </c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30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30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30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30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</row>
    <row r="301" spans="1:147" ht="13">
      <c r="A301" s="2" t="s">
        <v>964</v>
      </c>
      <c r="B301" s="2" t="s">
        <v>963</v>
      </c>
      <c r="C301" s="2" t="s">
        <v>673</v>
      </c>
      <c r="D301" s="2"/>
      <c r="E301" s="6" t="s">
        <v>226</v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36">
        <f>IF(AJ212=0,-1,IF(AI212=0,AJ286,IF(AH212=0,IF((AI286&gt;AJ286),AJ286,((3*AJ286+2*AI286)/5)),IF((AI286&gt;AJ286),AJ286,((AJ286*3+AI286*2+AH286)/6)))))</f>
        <v>-1</v>
      </c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30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30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30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30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</row>
    <row r="302" spans="1:147" ht="13">
      <c r="A302" s="2" t="s">
        <v>965</v>
      </c>
      <c r="B302" s="2" t="s">
        <v>963</v>
      </c>
      <c r="C302" s="2" t="s">
        <v>674</v>
      </c>
      <c r="D302" s="2" t="s">
        <v>25</v>
      </c>
      <c r="E302" s="6" t="s">
        <v>666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36">
        <f>IF(AJ212=0,0,IF(AI212=0,AJ242,IF(AH212=0,IF((AI242&gt;AJ242),AJ242,((AJ242*3+AI242*2)/5)),IF((AI242&gt;AJ242),AJ242,((AJ242*3+AI242*2+AH242)/6)))))</f>
        <v>0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2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</row>
    <row r="303" spans="1:147" ht="13">
      <c r="A303" s="2" t="s">
        <v>966</v>
      </c>
      <c r="B303" s="2" t="s">
        <v>963</v>
      </c>
      <c r="C303" s="2" t="s">
        <v>675</v>
      </c>
      <c r="D303" s="2"/>
      <c r="E303" s="6" t="s">
        <v>199</v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36">
        <f>IF(AJ212=0,-1,IF(AI212=0,AJ287,IF(AH212=0,IF((AI287&gt;AJ287),AJ287,((3*AJ287+2*AI287)/5)),IF((AI287&gt;AJ287),AJ287,((AJ287*3+AI287*2+AH287)/6)))))</f>
        <v>-1</v>
      </c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30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30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30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30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</row>
    <row r="304" spans="1:147" ht="13">
      <c r="A304" s="2" t="s">
        <v>967</v>
      </c>
      <c r="B304" s="2" t="s">
        <v>963</v>
      </c>
      <c r="C304" s="2" t="s">
        <v>676</v>
      </c>
      <c r="D304" s="2"/>
      <c r="E304" s="6" t="s">
        <v>200</v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36" t="b">
        <f>IF(AJ12="Actuals",(AJ252/10000000),IF(AJ12="Thousands",(AJ252/10000),IF(AJ12="Lakhs",(AJ252/100),IF(AJ12="Millions",(AJ252/10),IF(AJ12="Crores",AJ252)))))</f>
        <v>0</v>
      </c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30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30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30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30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</row>
    <row r="305" spans="1:147" ht="13">
      <c r="A305" s="2" t="s">
        <v>968</v>
      </c>
      <c r="B305" s="2" t="s">
        <v>963</v>
      </c>
      <c r="C305" s="2" t="s">
        <v>677</v>
      </c>
      <c r="D305" s="2"/>
      <c r="E305" s="6" t="s">
        <v>201</v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36">
        <f>IF(AJ212=0,100,IF(AI212=0,AJ270,IF(AH212=0,IF(AI270&lt;AJ270,AJ270,((AJ270*3)+(AI270*2))/5),IF((AI270&lt;AJ270),AJ270,((AJ270*3+AI270*2+AH270)/6)))))</f>
        <v>100</v>
      </c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30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30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30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30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</row>
    <row r="306" spans="1:147" ht="13">
      <c r="A306" s="2" t="s">
        <v>969</v>
      </c>
      <c r="B306" s="2" t="s">
        <v>963</v>
      </c>
      <c r="C306" s="2" t="s">
        <v>678</v>
      </c>
      <c r="D306" s="2"/>
      <c r="E306" s="6" t="s">
        <v>202</v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36">
        <f>AJ292</f>
        <v>0</v>
      </c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30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30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30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30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</row>
    <row r="307" spans="1:147" ht="13">
      <c r="A307" s="2" t="s">
        <v>970</v>
      </c>
      <c r="B307" s="2" t="s">
        <v>963</v>
      </c>
      <c r="C307" s="2" t="s">
        <v>679</v>
      </c>
      <c r="D307" s="2"/>
      <c r="E307" s="6" t="s">
        <v>203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36">
        <f>AJ293</f>
        <v>0</v>
      </c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30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30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30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30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</row>
    <row r="308" spans="1:147" ht="13">
      <c r="A308" s="2" t="s">
        <v>971</v>
      </c>
      <c r="B308" s="2" t="s">
        <v>963</v>
      </c>
      <c r="C308" s="2" t="s">
        <v>680</v>
      </c>
      <c r="D308" s="2"/>
      <c r="E308" s="6" t="s">
        <v>667</v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36">
        <f>AJ294</f>
        <v>0</v>
      </c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30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30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30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30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</row>
    <row r="309" spans="1:147" ht="13">
      <c r="A309" s="2" t="s">
        <v>972</v>
      </c>
      <c r="B309" s="2" t="s">
        <v>963</v>
      </c>
      <c r="C309" s="2" t="s">
        <v>681</v>
      </c>
      <c r="D309" s="2" t="s">
        <v>25</v>
      </c>
      <c r="E309" s="6" t="s">
        <v>176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36">
        <f>AJ279</f>
        <v>0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2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</row>
    <row r="310" spans="1:147" ht="13">
      <c r="A310" s="2" t="s">
        <v>973</v>
      </c>
      <c r="B310" s="2" t="s">
        <v>963</v>
      </c>
      <c r="C310" s="2" t="s">
        <v>682</v>
      </c>
      <c r="D310" s="2" t="s">
        <v>25</v>
      </c>
      <c r="E310" s="11" t="s">
        <v>668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36">
        <f>IF(AJ212=0,100,IF(AI212=0,AJ274,IF(AH212=0,IF((AI274&lt;AJ274),AJ274,((3*AJ274+2*AI274)/5)),IF((AI274&lt;AJ274),AJ274,((AJ274*3+AI274*2+AH274)/6)))))</f>
        <v>100</v>
      </c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2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</row>
    <row r="311" spans="1:147" ht="13">
      <c r="A311" s="2" t="s">
        <v>974</v>
      </c>
      <c r="B311" s="2" t="s">
        <v>963</v>
      </c>
      <c r="C311" s="2" t="s">
        <v>683</v>
      </c>
      <c r="D311" s="2" t="s">
        <v>25</v>
      </c>
      <c r="E311" s="6" t="s">
        <v>669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36">
        <f>AJ295</f>
        <v>0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2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</row>
    <row r="312" spans="1:147" ht="13">
      <c r="A312" s="2" t="s">
        <v>975</v>
      </c>
      <c r="B312" s="2" t="s">
        <v>963</v>
      </c>
      <c r="C312" s="2" t="s">
        <v>684</v>
      </c>
      <c r="D312" s="2" t="s">
        <v>25</v>
      </c>
      <c r="E312" s="6" t="s">
        <v>670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36">
        <f>AJ297</f>
        <v>0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2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</row>
    <row r="313" spans="1:147" ht="13">
      <c r="A313" s="2" t="s">
        <v>976</v>
      </c>
      <c r="B313" s="2" t="s">
        <v>903</v>
      </c>
      <c r="C313" s="2" t="s">
        <v>993</v>
      </c>
      <c r="D313" s="2"/>
      <c r="E313" s="9" t="s">
        <v>217</v>
      </c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30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30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30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30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</row>
    <row r="314" spans="1:147" ht="13">
      <c r="A314" s="2" t="s">
        <v>977</v>
      </c>
      <c r="B314" s="2" t="s">
        <v>976</v>
      </c>
      <c r="C314" s="2" t="s">
        <v>994</v>
      </c>
      <c r="D314" s="2"/>
      <c r="E314" s="6" t="s">
        <v>672</v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36" t="str">
        <f>IF(AND($AK$212=0,$AL$212=0),"NA",(IF($AL$212=0,AK286,AVERAGE(AK286:AL286))))</f>
        <v>NA</v>
      </c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30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30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30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30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</row>
    <row r="315" spans="1:147" ht="13">
      <c r="A315" s="2" t="s">
        <v>978</v>
      </c>
      <c r="B315" s="2" t="s">
        <v>976</v>
      </c>
      <c r="C315" s="2" t="s">
        <v>995</v>
      </c>
      <c r="D315" s="2" t="s">
        <v>25</v>
      </c>
      <c r="E315" s="6" t="s">
        <v>666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36" t="str">
        <f>IF(AND($AK$212=0,$AL$212=0),"NA",(IF($AL$212=0,AK242,AVERAGE(AK242:AL242))))</f>
        <v>NA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2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</row>
    <row r="316" spans="1:147" ht="13">
      <c r="A316" s="2" t="s">
        <v>979</v>
      </c>
      <c r="B316" s="2" t="s">
        <v>976</v>
      </c>
      <c r="C316" s="2" t="s">
        <v>996</v>
      </c>
      <c r="D316" s="2"/>
      <c r="E316" s="6" t="s">
        <v>199</v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36" t="str">
        <f>IF(AND($AK$212=0,$AL$212=0),"NA",(IF($AL$212=0,AK287,AVERAGE(AK287:AL287))))</f>
        <v>NA</v>
      </c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30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30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30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30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</row>
    <row r="317" spans="1:147" ht="13">
      <c r="A317" s="2" t="s">
        <v>980</v>
      </c>
      <c r="B317" s="2" t="s">
        <v>976</v>
      </c>
      <c r="C317" s="2" t="s">
        <v>997</v>
      </c>
      <c r="D317" s="2"/>
      <c r="E317" s="6" t="s">
        <v>200</v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36" t="str">
        <f>IF(AND($AK$212=0,$AL$212=0),"NA",IF(AJ12="Actuals",(AK252/10000000),IF(AJ12="Thousands",(AK252/10000),IF(AJ12="Lakhs",(AK252/100),IF(AJ12="Millions",(AK252/10),IF(AJ12="Crores",AK252))))))</f>
        <v>NA</v>
      </c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30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30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30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30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</row>
    <row r="318" spans="1:147" ht="13">
      <c r="A318" s="2" t="s">
        <v>981</v>
      </c>
      <c r="B318" s="2" t="s">
        <v>976</v>
      </c>
      <c r="C318" s="2" t="s">
        <v>998</v>
      </c>
      <c r="D318" s="2"/>
      <c r="E318" s="6" t="s">
        <v>201</v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36" t="str">
        <f>IF(AND($AK$212=0,$AL$212=0),"NA",(IF($AL$212=0,AK270,AVERAGE(AK270:AL270))))</f>
        <v>NA</v>
      </c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30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30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30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30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</row>
    <row r="319" spans="1:147" ht="13">
      <c r="A319" s="2" t="s">
        <v>982</v>
      </c>
      <c r="B319" s="2" t="s">
        <v>976</v>
      </c>
      <c r="C319" s="2" t="s">
        <v>999</v>
      </c>
      <c r="D319" s="2"/>
      <c r="E319" s="6" t="s">
        <v>202</v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36" t="str">
        <f>IF(AND($AK$212=0,$AL$212=0),"NA",AK292)</f>
        <v>NA</v>
      </c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30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30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30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30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</row>
    <row r="320" spans="1:147" ht="13">
      <c r="A320" s="2" t="s">
        <v>983</v>
      </c>
      <c r="B320" s="2" t="s">
        <v>976</v>
      </c>
      <c r="C320" s="2" t="s">
        <v>1000</v>
      </c>
      <c r="D320" s="2"/>
      <c r="E320" s="6" t="s">
        <v>203</v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36" t="str">
        <f>IF(AND($AK$212=0,$AL$212=0),"NA",AK293)</f>
        <v>NA</v>
      </c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30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30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30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30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</row>
    <row r="321" spans="1:147" ht="13">
      <c r="A321" s="2" t="s">
        <v>984</v>
      </c>
      <c r="B321" s="2" t="s">
        <v>976</v>
      </c>
      <c r="C321" s="2" t="s">
        <v>1001</v>
      </c>
      <c r="D321" s="2"/>
      <c r="E321" s="6" t="s">
        <v>667</v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36" t="str">
        <f>IF(AND($AK$212=0,$AL$212=0),"NA",AK294)</f>
        <v>NA</v>
      </c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30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30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30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30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</row>
    <row r="322" spans="1:147" ht="13">
      <c r="A322" s="2" t="s">
        <v>985</v>
      </c>
      <c r="B322" s="2" t="s">
        <v>976</v>
      </c>
      <c r="C322" s="2" t="s">
        <v>1002</v>
      </c>
      <c r="D322" s="2" t="s">
        <v>25</v>
      </c>
      <c r="E322" s="6" t="s">
        <v>176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36" t="str">
        <f>IF(AND($AK$212=0,$AL$212=0),"NA",AK279)</f>
        <v>NA</v>
      </c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2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</row>
    <row r="323" spans="1:147" ht="13">
      <c r="A323" s="2" t="s">
        <v>986</v>
      </c>
      <c r="B323" s="2" t="s">
        <v>976</v>
      </c>
      <c r="C323" s="2" t="s">
        <v>1003</v>
      </c>
      <c r="D323" s="2" t="s">
        <v>25</v>
      </c>
      <c r="E323" s="11" t="s">
        <v>668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36" t="str">
        <f>IF(AND($AK$212=0,$AL$212=0),"NA",(IF($AL$212=0,AK274,AVERAGE(AK274:AL274))))</f>
        <v>NA</v>
      </c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2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</row>
    <row r="324" spans="1:147" ht="13">
      <c r="A324" s="2" t="s">
        <v>987</v>
      </c>
      <c r="B324" s="2" t="s">
        <v>976</v>
      </c>
      <c r="C324" s="2" t="s">
        <v>1004</v>
      </c>
      <c r="D324" s="2" t="s">
        <v>25</v>
      </c>
      <c r="E324" s="6" t="s">
        <v>669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36" t="str">
        <f>IF(AND($AK$212=0,$AL$212=0),"NA",AK295)</f>
        <v>NA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2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</row>
    <row r="325" spans="1:147" ht="13">
      <c r="A325" s="2" t="s">
        <v>988</v>
      </c>
      <c r="B325" s="2" t="s">
        <v>976</v>
      </c>
      <c r="C325" s="2" t="s">
        <v>1005</v>
      </c>
      <c r="D325" s="2" t="s">
        <v>25</v>
      </c>
      <c r="E325" s="6" t="s">
        <v>670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36" t="str">
        <f>IF(AND($AK$212=0,$AL$212=0),"NA",AK297)</f>
        <v>NA</v>
      </c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2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</row>
  </sheetData>
  <sheetProtection algorithmName="SHA-512" hashValue="bjENT+Havyp5pycKnbOsXc5jRs2/gMzAfGOeR21HsUXF5blhHylLD0/zZp2Ndn5WkgE8etc6PMTmtM35GyT/0g==" saltValue="xvUiGuBoluEbcLdOULOfxA==" spinCount="100000" sheet="1" objects="1" scenarios="1"/>
  <dataValidations count="2">
    <dataValidation type="custom" operator="lessThanOrEqual" allowBlank="1" showInputMessage="1" showErrorMessage="1" sqref="F155:AG155 F160:AG160 AH160:AL178 F166:AG166 F170:AG171 AH180:AL187 F185:AG186 AI147:AL155 F192:AG193 F195:AG195 AH201:AL206 F208:AG208 AI192:AL199 AK208 AL208:AL209 F211:AG212 AH143:AH155 AI143:AL145 AH189:AH199 AI189:AL190 AH208:AH212 AI208:AJ209 AI211:AL212" xr:uid="{00000000-0002-0000-0400-000000000000}">
      <formula1>#REF!=ROUND(#REF!,10)</formula1>
    </dataValidation>
    <dataValidation type="list" allowBlank="1" showInputMessage="1" showErrorMessage="1" sqref="AH12:AL12" xr:uid="{00000000-0002-0000-0400-000001000000}">
      <formula1>"Actuals,Lakhs,Crores,Millions,Thousands"</formula1>
    </dataValidation>
  </dataValidations>
  <pageMargins left="0.75" right="0.75" top="1" bottom="1" header="0.5" footer="0.5"/>
  <pageSetup orientation="portrait"/>
  <ignoredErrors>
    <ignoredError sqref="AH160" unlockedFormula="1"/>
    <ignoredError sqref="AH114 AH1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Profit and Loss Statement</vt:lpstr>
      <vt:lpstr>Balance Sheet</vt:lpstr>
      <vt:lpstr>Additional Information</vt:lpstr>
      <vt:lpstr>Ratios</vt:lpstr>
      <vt:lpstr>Financial Spreading &amp;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Narendra Padma</dc:creator>
  <cp:keywords/>
  <dc:description/>
  <cp:lastModifiedBy>Kashmira Omkar Pradhan</cp:lastModifiedBy>
  <dcterms:created xsi:type="dcterms:W3CDTF">2024-03-04T08:46:30Z</dcterms:created>
  <dcterms:modified xsi:type="dcterms:W3CDTF">2026-09-16T07:00:39Z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2024-03-03T14:02:43Z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6fc8d0cf-043c-42af-a7bc-ff29a867e89a</vt:lpwstr>
  </property>
  <property fmtid="{D5CDD505-2E9C-101B-9397-08002B2CF9AE}" pid="8" name="MSIP_Label_8c63c790-1b4f-473b-b88f-a693ca173b52_ContentBits">
    <vt:lpwstr>0</vt:lpwstr>
  </property>
</Properties>
</file>